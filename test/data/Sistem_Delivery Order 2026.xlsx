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-120" windowWidth="8595" windowHeight="11160"/>
  </bookViews>
  <sheets>
    <sheet name="Jan" sheetId="1" r:id="rId1"/>
  </sheets>
  <definedNames>
    <definedName name="_xlnm._FilterDatabase" localSheetId="0" hidden="1">Jan!$A$6:$AN$148</definedName>
    <definedName name="_xlnm.Print_Area" localSheetId="0">Jan!$A$1:$Q$155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" l="1"/>
  <c r="N39" i="1" l="1"/>
  <c r="N41" i="1" l="1"/>
  <c r="N32" i="1"/>
  <c r="AE45" i="1" l="1"/>
  <c r="AF45" i="1" s="1"/>
  <c r="AG45" i="1" s="1"/>
  <c r="O54" i="1" l="1"/>
  <c r="O52" i="1"/>
  <c r="O51" i="1"/>
  <c r="O43" i="1" l="1"/>
  <c r="V32" i="1"/>
  <c r="O36" i="1"/>
  <c r="O35" i="1"/>
  <c r="N29" i="1"/>
  <c r="O30" i="1"/>
  <c r="O25" i="1"/>
  <c r="N22" i="1"/>
  <c r="N17" i="1"/>
  <c r="N13" i="1"/>
  <c r="N7" i="1"/>
  <c r="O26" i="1" l="1"/>
  <c r="O24" i="1"/>
  <c r="O23" i="1"/>
  <c r="P159" i="1" l="1"/>
  <c r="AE147" i="1" l="1"/>
  <c r="AF147" i="1" s="1"/>
  <c r="AG147" i="1" s="1"/>
  <c r="AE146" i="1"/>
  <c r="AF146" i="1" s="1"/>
  <c r="AG146" i="1" s="1"/>
  <c r="AE145" i="1"/>
  <c r="AF145" i="1" s="1"/>
  <c r="AG145" i="1" s="1"/>
  <c r="AE144" i="1"/>
  <c r="AF144" i="1" s="1"/>
  <c r="AG144" i="1" s="1"/>
  <c r="AE143" i="1"/>
  <c r="AF143" i="1" s="1"/>
  <c r="AG143" i="1" s="1"/>
  <c r="AE142" i="1"/>
  <c r="AF142" i="1" s="1"/>
  <c r="AG142" i="1" s="1"/>
  <c r="AE141" i="1"/>
  <c r="AF141" i="1" s="1"/>
  <c r="AG141" i="1" s="1"/>
  <c r="AE140" i="1"/>
  <c r="AF140" i="1" s="1"/>
  <c r="AG140" i="1" s="1"/>
  <c r="AE139" i="1"/>
  <c r="AF139" i="1" s="1"/>
  <c r="AG139" i="1" s="1"/>
  <c r="AE138" i="1"/>
  <c r="AF138" i="1" s="1"/>
  <c r="AG138" i="1" s="1"/>
  <c r="AE137" i="1"/>
  <c r="AF137" i="1" s="1"/>
  <c r="AG137" i="1" s="1"/>
  <c r="AE136" i="1"/>
  <c r="AF136" i="1" s="1"/>
  <c r="AG136" i="1" s="1"/>
  <c r="AE135" i="1"/>
  <c r="AF135" i="1" s="1"/>
  <c r="AG135" i="1" s="1"/>
  <c r="AE134" i="1"/>
  <c r="AF134" i="1" s="1"/>
  <c r="AG134" i="1" s="1"/>
  <c r="AE133" i="1"/>
  <c r="AF133" i="1" s="1"/>
  <c r="AG133" i="1" s="1"/>
  <c r="AE132" i="1"/>
  <c r="AF132" i="1" s="1"/>
  <c r="AG132" i="1" s="1"/>
  <c r="AE131" i="1"/>
  <c r="AF131" i="1" s="1"/>
  <c r="AG131" i="1" s="1"/>
  <c r="AE130" i="1"/>
  <c r="AF130" i="1" s="1"/>
  <c r="AG130" i="1" s="1"/>
  <c r="AE129" i="1"/>
  <c r="AF129" i="1" s="1"/>
  <c r="AG129" i="1" s="1"/>
  <c r="AE128" i="1"/>
  <c r="AF128" i="1" s="1"/>
  <c r="AG128" i="1" s="1"/>
  <c r="AE127" i="1"/>
  <c r="AF127" i="1" s="1"/>
  <c r="AG127" i="1" s="1"/>
  <c r="AE126" i="1"/>
  <c r="AF126" i="1" s="1"/>
  <c r="AG126" i="1" s="1"/>
  <c r="AE125" i="1"/>
  <c r="AF125" i="1" s="1"/>
  <c r="AG125" i="1" s="1"/>
  <c r="AE124" i="1"/>
  <c r="AF124" i="1" s="1"/>
  <c r="AG124" i="1" s="1"/>
  <c r="AE123" i="1"/>
  <c r="AF123" i="1" s="1"/>
  <c r="AG123" i="1" s="1"/>
  <c r="AE122" i="1"/>
  <c r="AF122" i="1" s="1"/>
  <c r="AG122" i="1" s="1"/>
  <c r="AE121" i="1"/>
  <c r="AF121" i="1" s="1"/>
  <c r="AG121" i="1" s="1"/>
  <c r="AE120" i="1"/>
  <c r="AF120" i="1" s="1"/>
  <c r="AG120" i="1" s="1"/>
  <c r="AE119" i="1"/>
  <c r="AF119" i="1" s="1"/>
  <c r="AG119" i="1" s="1"/>
  <c r="AE118" i="1"/>
  <c r="AF118" i="1" s="1"/>
  <c r="AG118" i="1" s="1"/>
  <c r="AE117" i="1"/>
  <c r="AF117" i="1" s="1"/>
  <c r="AG117" i="1" s="1"/>
  <c r="AE116" i="1"/>
  <c r="AF116" i="1" s="1"/>
  <c r="AG116" i="1" s="1"/>
  <c r="AE115" i="1"/>
  <c r="AF115" i="1" s="1"/>
  <c r="AG115" i="1" s="1"/>
  <c r="AE114" i="1"/>
  <c r="AF114" i="1" s="1"/>
  <c r="AG114" i="1" s="1"/>
  <c r="AE113" i="1"/>
  <c r="AF113" i="1" s="1"/>
  <c r="AG113" i="1" s="1"/>
  <c r="AE112" i="1"/>
  <c r="AF112" i="1" s="1"/>
  <c r="AG112" i="1" s="1"/>
  <c r="AE111" i="1"/>
  <c r="AF111" i="1" s="1"/>
  <c r="AG111" i="1" s="1"/>
  <c r="AE110" i="1"/>
  <c r="AF110" i="1" s="1"/>
  <c r="AG110" i="1" s="1"/>
  <c r="AE109" i="1"/>
  <c r="AF109" i="1" s="1"/>
  <c r="AG109" i="1" s="1"/>
  <c r="AE108" i="1"/>
  <c r="AF108" i="1" s="1"/>
  <c r="AG108" i="1" s="1"/>
  <c r="AE107" i="1"/>
  <c r="AF107" i="1" s="1"/>
  <c r="AG107" i="1" s="1"/>
  <c r="AE106" i="1"/>
  <c r="AF106" i="1" s="1"/>
  <c r="AG106" i="1" s="1"/>
  <c r="AE105" i="1"/>
  <c r="AF105" i="1" s="1"/>
  <c r="AG105" i="1" s="1"/>
  <c r="AE104" i="1"/>
  <c r="AF104" i="1" s="1"/>
  <c r="AG104" i="1" s="1"/>
  <c r="AE103" i="1"/>
  <c r="AF103" i="1" s="1"/>
  <c r="AG103" i="1" s="1"/>
  <c r="AE102" i="1"/>
  <c r="AF102" i="1" s="1"/>
  <c r="AG102" i="1" s="1"/>
  <c r="AE101" i="1"/>
  <c r="AF101" i="1" s="1"/>
  <c r="AG101" i="1" s="1"/>
  <c r="AE100" i="1"/>
  <c r="AF100" i="1" s="1"/>
  <c r="AG100" i="1" s="1"/>
  <c r="AE99" i="1"/>
  <c r="AF99" i="1" s="1"/>
  <c r="AG99" i="1" s="1"/>
  <c r="AE98" i="1"/>
  <c r="AF98" i="1" s="1"/>
  <c r="AG98" i="1" s="1"/>
  <c r="AE97" i="1"/>
  <c r="AF97" i="1" s="1"/>
  <c r="AG97" i="1" s="1"/>
  <c r="AE96" i="1"/>
  <c r="AF96" i="1" s="1"/>
  <c r="AG96" i="1" s="1"/>
  <c r="AE95" i="1"/>
  <c r="AF95" i="1" s="1"/>
  <c r="AG95" i="1" s="1"/>
  <c r="AE94" i="1"/>
  <c r="AF94" i="1" s="1"/>
  <c r="AG94" i="1" s="1"/>
  <c r="AE93" i="1"/>
  <c r="AF93" i="1" s="1"/>
  <c r="AG93" i="1" s="1"/>
  <c r="AE92" i="1"/>
  <c r="AF92" i="1" s="1"/>
  <c r="AG92" i="1" s="1"/>
  <c r="AE91" i="1"/>
  <c r="AF91" i="1" s="1"/>
  <c r="AG91" i="1" s="1"/>
  <c r="AE90" i="1"/>
  <c r="AF90" i="1" s="1"/>
  <c r="AG90" i="1" s="1"/>
  <c r="AE89" i="1"/>
  <c r="AF89" i="1" s="1"/>
  <c r="AG89" i="1" s="1"/>
  <c r="AE88" i="1"/>
  <c r="AF88" i="1" s="1"/>
  <c r="AG88" i="1" s="1"/>
  <c r="AE87" i="1"/>
  <c r="AF87" i="1" s="1"/>
  <c r="AG87" i="1" s="1"/>
  <c r="AE86" i="1"/>
  <c r="AF86" i="1" s="1"/>
  <c r="AG86" i="1" s="1"/>
  <c r="AE85" i="1"/>
  <c r="AF85" i="1" s="1"/>
  <c r="AG85" i="1" s="1"/>
  <c r="AE84" i="1"/>
  <c r="AF84" i="1" s="1"/>
  <c r="AG84" i="1" s="1"/>
  <c r="AE83" i="1"/>
  <c r="AF83" i="1" s="1"/>
  <c r="AG83" i="1" s="1"/>
  <c r="AE82" i="1"/>
  <c r="AF82" i="1" s="1"/>
  <c r="AG82" i="1" s="1"/>
  <c r="AE81" i="1"/>
  <c r="AF81" i="1" s="1"/>
  <c r="AG81" i="1" s="1"/>
  <c r="AE80" i="1"/>
  <c r="AF80" i="1" s="1"/>
  <c r="AG80" i="1" s="1"/>
  <c r="AE79" i="1"/>
  <c r="AF79" i="1" s="1"/>
  <c r="AG79" i="1" s="1"/>
  <c r="AE78" i="1"/>
  <c r="AF78" i="1" s="1"/>
  <c r="AG78" i="1" s="1"/>
  <c r="AE77" i="1"/>
  <c r="AF77" i="1" s="1"/>
  <c r="AG77" i="1" s="1"/>
  <c r="AE76" i="1"/>
  <c r="AF76" i="1" s="1"/>
  <c r="AG76" i="1" s="1"/>
  <c r="AE75" i="1"/>
  <c r="AF75" i="1" s="1"/>
  <c r="AG75" i="1" s="1"/>
  <c r="AE74" i="1"/>
  <c r="AF74" i="1" s="1"/>
  <c r="AG74" i="1" s="1"/>
  <c r="AE73" i="1"/>
  <c r="AF73" i="1" s="1"/>
  <c r="AG73" i="1" s="1"/>
  <c r="AE72" i="1"/>
  <c r="AF72" i="1" s="1"/>
  <c r="AG72" i="1" s="1"/>
  <c r="AE71" i="1"/>
  <c r="AF71" i="1" s="1"/>
  <c r="AG71" i="1" s="1"/>
  <c r="AE70" i="1"/>
  <c r="AF70" i="1" s="1"/>
  <c r="AG70" i="1" s="1"/>
  <c r="AE69" i="1"/>
  <c r="AF69" i="1" s="1"/>
  <c r="AG69" i="1" s="1"/>
  <c r="AE68" i="1"/>
  <c r="AF68" i="1" s="1"/>
  <c r="AG68" i="1" s="1"/>
  <c r="AE67" i="1"/>
  <c r="AF67" i="1" s="1"/>
  <c r="AG67" i="1" s="1"/>
  <c r="AE66" i="1"/>
  <c r="AF66" i="1" s="1"/>
  <c r="AG66" i="1" s="1"/>
  <c r="AE65" i="1"/>
  <c r="AF65" i="1" s="1"/>
  <c r="AG65" i="1" s="1"/>
  <c r="AE64" i="1"/>
  <c r="AF64" i="1" s="1"/>
  <c r="AG64" i="1" s="1"/>
  <c r="AE63" i="1"/>
  <c r="AF63" i="1" s="1"/>
  <c r="AG63" i="1" s="1"/>
  <c r="AE62" i="1"/>
  <c r="AF62" i="1" s="1"/>
  <c r="AG62" i="1" s="1"/>
  <c r="AE61" i="1"/>
  <c r="AF61" i="1" s="1"/>
  <c r="AG61" i="1" s="1"/>
  <c r="AE60" i="1"/>
  <c r="AF60" i="1" s="1"/>
  <c r="AG60" i="1" s="1"/>
  <c r="AE59" i="1"/>
  <c r="AF59" i="1" s="1"/>
  <c r="AG59" i="1" s="1"/>
  <c r="AE58" i="1"/>
  <c r="AF58" i="1" s="1"/>
  <c r="AG58" i="1" s="1"/>
  <c r="AE57" i="1"/>
  <c r="AF57" i="1" s="1"/>
  <c r="AG57" i="1" s="1"/>
  <c r="AE56" i="1"/>
  <c r="AF56" i="1" s="1"/>
  <c r="AG56" i="1" s="1"/>
  <c r="AE55" i="1"/>
  <c r="AF55" i="1" s="1"/>
  <c r="AG55" i="1" s="1"/>
  <c r="AE54" i="1"/>
  <c r="AF54" i="1" s="1"/>
  <c r="AG54" i="1" s="1"/>
  <c r="AE53" i="1"/>
  <c r="AF53" i="1" s="1"/>
  <c r="AG53" i="1" s="1"/>
  <c r="AE52" i="1"/>
  <c r="AF52" i="1" s="1"/>
  <c r="AG52" i="1" s="1"/>
  <c r="AE51" i="1"/>
  <c r="AF51" i="1" s="1"/>
  <c r="AG51" i="1" s="1"/>
  <c r="AE50" i="1"/>
  <c r="AF50" i="1" s="1"/>
  <c r="AG50" i="1" s="1"/>
  <c r="AE49" i="1"/>
  <c r="AF49" i="1" s="1"/>
  <c r="AG49" i="1" s="1"/>
  <c r="AE48" i="1"/>
  <c r="AF48" i="1" s="1"/>
  <c r="AG48" i="1" s="1"/>
  <c r="AE47" i="1"/>
  <c r="AF47" i="1" s="1"/>
  <c r="AG47" i="1" s="1"/>
  <c r="AE46" i="1"/>
  <c r="AF46" i="1" s="1"/>
  <c r="AG46" i="1" s="1"/>
  <c r="AE44" i="1"/>
  <c r="AF44" i="1" s="1"/>
  <c r="AG44" i="1" s="1"/>
  <c r="AE43" i="1"/>
  <c r="AF43" i="1" s="1"/>
  <c r="AG43" i="1" s="1"/>
  <c r="AE42" i="1"/>
  <c r="AF42" i="1" s="1"/>
  <c r="AG42" i="1" s="1"/>
  <c r="AE41" i="1"/>
  <c r="AF41" i="1" s="1"/>
  <c r="AG41" i="1" s="1"/>
  <c r="AE40" i="1"/>
  <c r="AF40" i="1" s="1"/>
  <c r="AG40" i="1" s="1"/>
  <c r="AE39" i="1"/>
  <c r="AF39" i="1" s="1"/>
  <c r="AG39" i="1" s="1"/>
  <c r="AE38" i="1"/>
  <c r="AF38" i="1" s="1"/>
  <c r="AG38" i="1" s="1"/>
  <c r="AE37" i="1"/>
  <c r="AF37" i="1" s="1"/>
  <c r="AG37" i="1" s="1"/>
  <c r="AE36" i="1"/>
  <c r="AF36" i="1" s="1"/>
  <c r="AG36" i="1" s="1"/>
  <c r="AE35" i="1"/>
  <c r="AF35" i="1" s="1"/>
  <c r="AG35" i="1" s="1"/>
  <c r="AE34" i="1"/>
  <c r="AF34" i="1" s="1"/>
  <c r="AG34" i="1" s="1"/>
  <c r="AE33" i="1"/>
  <c r="AF33" i="1" s="1"/>
  <c r="AG33" i="1" s="1"/>
  <c r="AE32" i="1"/>
  <c r="AF32" i="1" s="1"/>
  <c r="AG32" i="1" s="1"/>
  <c r="AE31" i="1"/>
  <c r="AF31" i="1" s="1"/>
  <c r="AG31" i="1" s="1"/>
  <c r="AE30" i="1"/>
  <c r="AF30" i="1" s="1"/>
  <c r="AG30" i="1" s="1"/>
  <c r="AE29" i="1"/>
  <c r="AF29" i="1" s="1"/>
  <c r="AG29" i="1" s="1"/>
  <c r="AE28" i="1"/>
  <c r="AF28" i="1" s="1"/>
  <c r="AG28" i="1" s="1"/>
  <c r="AE27" i="1"/>
  <c r="AF27" i="1" s="1"/>
  <c r="AG27" i="1" s="1"/>
  <c r="AE26" i="1"/>
  <c r="AF26" i="1" s="1"/>
  <c r="AG26" i="1" s="1"/>
  <c r="AE25" i="1"/>
  <c r="AF25" i="1" s="1"/>
  <c r="AG25" i="1" s="1"/>
  <c r="AE24" i="1"/>
  <c r="AF24" i="1" s="1"/>
  <c r="AG24" i="1" s="1"/>
  <c r="AE23" i="1"/>
  <c r="AF23" i="1" s="1"/>
  <c r="AG23" i="1" s="1"/>
  <c r="AE22" i="1"/>
  <c r="AF22" i="1" s="1"/>
  <c r="AG22" i="1" s="1"/>
  <c r="AE21" i="1"/>
  <c r="AF21" i="1" s="1"/>
  <c r="AG21" i="1" s="1"/>
  <c r="AE20" i="1"/>
  <c r="AF20" i="1" s="1"/>
  <c r="AG20" i="1" s="1"/>
  <c r="AE19" i="1"/>
  <c r="AF19" i="1" s="1"/>
  <c r="AG19" i="1" s="1"/>
  <c r="AE18" i="1"/>
  <c r="AF18" i="1" s="1"/>
  <c r="AG18" i="1" s="1"/>
  <c r="AE17" i="1"/>
  <c r="AF17" i="1" s="1"/>
  <c r="AG17" i="1" s="1"/>
  <c r="AE16" i="1"/>
  <c r="AF16" i="1" s="1"/>
  <c r="AG16" i="1" s="1"/>
  <c r="AE15" i="1"/>
  <c r="AF15" i="1" s="1"/>
  <c r="AG15" i="1" s="1"/>
  <c r="AE14" i="1"/>
  <c r="AF14" i="1" s="1"/>
  <c r="AG14" i="1" s="1"/>
  <c r="AE13" i="1"/>
  <c r="AF13" i="1" s="1"/>
  <c r="AG13" i="1" s="1"/>
  <c r="AE12" i="1"/>
  <c r="AF12" i="1" s="1"/>
  <c r="AG12" i="1" s="1"/>
  <c r="AE11" i="1"/>
  <c r="AF11" i="1" s="1"/>
  <c r="AG11" i="1" s="1"/>
  <c r="AE10" i="1"/>
  <c r="AF10" i="1" s="1"/>
  <c r="AG10" i="1" s="1"/>
  <c r="AE9" i="1"/>
  <c r="AF9" i="1" s="1"/>
  <c r="AE8" i="1"/>
  <c r="AF8" i="1" s="1"/>
  <c r="AG8" i="1" s="1"/>
  <c r="O9" i="1"/>
  <c r="J164" i="1"/>
  <c r="I164" i="1"/>
  <c r="H164" i="1"/>
  <c r="F164" i="1"/>
  <c r="J163" i="1"/>
  <c r="G163" i="1"/>
  <c r="F163" i="1"/>
  <c r="J162" i="1"/>
  <c r="F162" i="1"/>
  <c r="AH154" i="1"/>
  <c r="R149" i="1"/>
  <c r="E154" i="1" s="1"/>
  <c r="AE148" i="1"/>
  <c r="AF148" i="1" s="1"/>
  <c r="AG148" i="1" s="1"/>
  <c r="N149" i="1"/>
  <c r="D153" i="1" s="1"/>
  <c r="AE7" i="1"/>
  <c r="AF7" i="1" s="1"/>
  <c r="K164" i="1" l="1"/>
  <c r="AG9" i="1"/>
  <c r="O149" i="1"/>
  <c r="E153" i="1" s="1"/>
  <c r="E155" i="1" s="1"/>
  <c r="E151" i="1" s="1"/>
  <c r="AG7" i="1"/>
  <c r="AE149" i="1"/>
  <c r="D154" i="1" s="1"/>
  <c r="D155" i="1" s="1"/>
  <c r="K163" i="1"/>
  <c r="K162" i="1"/>
  <c r="E159" i="1" l="1"/>
  <c r="E156" i="1"/>
  <c r="E157" i="1"/>
  <c r="AF149" i="1"/>
  <c r="AG149" i="1"/>
  <c r="F155" i="1" l="1"/>
  <c r="F153" i="1" l="1"/>
  <c r="F157" i="1" s="1"/>
  <c r="F154" i="1"/>
  <c r="F156" i="1" s="1"/>
  <c r="D157" i="1"/>
  <c r="D151" i="1"/>
</calcChain>
</file>

<file path=xl/sharedStrings.xml><?xml version="1.0" encoding="utf-8"?>
<sst xmlns="http://schemas.openxmlformats.org/spreadsheetml/2006/main" count="691" uniqueCount="219">
  <si>
    <t>kpp.435@pajak.go.id</t>
  </si>
  <si>
    <t>No</t>
  </si>
  <si>
    <t>Date</t>
  </si>
  <si>
    <t>CUSTOMER</t>
  </si>
  <si>
    <t>TUJUAN</t>
  </si>
  <si>
    <t>Total</t>
  </si>
  <si>
    <t>Pick</t>
  </si>
  <si>
    <t>Subcont</t>
  </si>
  <si>
    <t>S.J KEMBALI</t>
  </si>
  <si>
    <t>Harga Customer</t>
  </si>
  <si>
    <t>No invoice</t>
  </si>
  <si>
    <t>Distribusi inv</t>
  </si>
  <si>
    <t>Vendor</t>
  </si>
  <si>
    <t>Keterangan</t>
  </si>
  <si>
    <t xml:space="preserve"> U/J</t>
  </si>
  <si>
    <t>Total Cost</t>
  </si>
  <si>
    <t>Grand total Cost</t>
  </si>
  <si>
    <t>Selisih</t>
  </si>
  <si>
    <t>BAYAR KE SUBCON</t>
  </si>
  <si>
    <t>SISA PEMBYARAN KE SUBCON</t>
  </si>
  <si>
    <t>INV NO</t>
  </si>
  <si>
    <t>SRT JLN</t>
  </si>
  <si>
    <t>SUPIR</t>
  </si>
  <si>
    <t>KETERANGAN</t>
  </si>
  <si>
    <t>Up</t>
  </si>
  <si>
    <t>Police No.</t>
  </si>
  <si>
    <t>Sopir</t>
  </si>
  <si>
    <t>Nama</t>
  </si>
  <si>
    <t>Jenis Mobil</t>
  </si>
  <si>
    <t>harga</t>
  </si>
  <si>
    <t>Dp</t>
  </si>
  <si>
    <t>Sisa</t>
  </si>
  <si>
    <t>Actual U/J</t>
  </si>
  <si>
    <t>Abnormal</t>
  </si>
  <si>
    <t>TGL</t>
  </si>
  <si>
    <t>JUMLAH</t>
  </si>
  <si>
    <t>TLJP</t>
  </si>
  <si>
    <t>UM</t>
  </si>
  <si>
    <t>Solar</t>
  </si>
  <si>
    <t>Tol</t>
  </si>
  <si>
    <t>Muat</t>
  </si>
  <si>
    <t>bongkarn</t>
  </si>
  <si>
    <t xml:space="preserve">Fee </t>
  </si>
  <si>
    <t>Inap</t>
  </si>
  <si>
    <t>Tilang/retribusi</t>
  </si>
  <si>
    <t>co</t>
  </si>
  <si>
    <t>wilmar</t>
  </si>
  <si>
    <t>tanggerang</t>
  </si>
  <si>
    <t>B9619FXW</t>
  </si>
  <si>
    <t>Fusso</t>
  </si>
  <si>
    <t>B9219FXY</t>
  </si>
  <si>
    <t>kasori</t>
  </si>
  <si>
    <t>ECD</t>
  </si>
  <si>
    <t>gresik</t>
  </si>
  <si>
    <t>b</t>
  </si>
  <si>
    <t>kempar</t>
  </si>
  <si>
    <t>CDD</t>
  </si>
  <si>
    <t>ritel</t>
  </si>
  <si>
    <t>nono</t>
  </si>
  <si>
    <t>semarang</t>
  </si>
  <si>
    <t>pasuruan</t>
  </si>
  <si>
    <t>cirebon</t>
  </si>
  <si>
    <t>cikarang</t>
  </si>
  <si>
    <t>bibin</t>
  </si>
  <si>
    <t>bas</t>
  </si>
  <si>
    <t>B9104FXY</t>
  </si>
  <si>
    <t>iwan</t>
  </si>
  <si>
    <t>bogor</t>
  </si>
  <si>
    <t>kbi</t>
  </si>
  <si>
    <t>Penjualan</t>
  </si>
  <si>
    <t>Bop</t>
  </si>
  <si>
    <t>Fee vendor</t>
  </si>
  <si>
    <t xml:space="preserve"> </t>
  </si>
  <si>
    <t>Km</t>
  </si>
  <si>
    <t>Unit</t>
  </si>
  <si>
    <t>Tagihan</t>
  </si>
  <si>
    <t>Modal</t>
  </si>
  <si>
    <t>Titipn</t>
  </si>
  <si>
    <t>Profit</t>
  </si>
  <si>
    <t xml:space="preserve">CDD </t>
  </si>
  <si>
    <t>CDD LONG</t>
  </si>
  <si>
    <t>TRONTON</t>
  </si>
  <si>
    <t>bekasii</t>
  </si>
  <si>
    <t>prayitno</t>
  </si>
  <si>
    <t>swilmar</t>
  </si>
  <si>
    <t>G8767 FC</t>
  </si>
  <si>
    <t>B 9834 HP</t>
  </si>
  <si>
    <t>Datang asli dan copy 06/01/2026, asli kirim JNE</t>
  </si>
  <si>
    <t>Datang hanya copy 06/01/2026</t>
  </si>
  <si>
    <t>unifood</t>
  </si>
  <si>
    <t>jakarta</t>
  </si>
  <si>
    <t>demak</t>
  </si>
  <si>
    <t>bandung</t>
  </si>
  <si>
    <t>purwakarta</t>
  </si>
  <si>
    <t>roji</t>
  </si>
  <si>
    <t>B9882KXS</t>
  </si>
  <si>
    <t>karanganyar</t>
  </si>
  <si>
    <t>pati</t>
  </si>
  <si>
    <t>Datang copy 08/1/2026</t>
  </si>
  <si>
    <t>Datang asli dan copy 09/01/2026, asli JNE</t>
  </si>
  <si>
    <t>Datang : 09/01/2026, Kirim 12/01/2026</t>
  </si>
  <si>
    <t>Datang 9/1/2026, kirim 12/1/2026</t>
  </si>
  <si>
    <t>Datang hanya copy 09/01/2026</t>
  </si>
  <si>
    <t>B</t>
  </si>
  <si>
    <t>kawata</t>
  </si>
  <si>
    <t>cibitung</t>
  </si>
  <si>
    <t>B9017FVD</t>
  </si>
  <si>
    <t>tedi</t>
  </si>
  <si>
    <t>Pick up</t>
  </si>
  <si>
    <t>pick up</t>
  </si>
  <si>
    <t>Datang 12/1/2026, kirim 13/01/2026</t>
  </si>
  <si>
    <t>Datang hanya copy 12/01/2026</t>
  </si>
  <si>
    <t>0147/JL/CKRG/0126</t>
  </si>
  <si>
    <t>0148/JL/CKRG/0126</t>
  </si>
  <si>
    <t>B9508FXX</t>
  </si>
  <si>
    <t>kusnadi</t>
  </si>
  <si>
    <t>prayetno</t>
  </si>
  <si>
    <t>Datang 14/01/2026, kirim 15/01/2026</t>
  </si>
  <si>
    <t>Datang asli dan copy 14/1/2026, asli JNE</t>
  </si>
  <si>
    <t>Datang : 15/1/2026 kirim : 19/1/2026</t>
  </si>
  <si>
    <t>Datang hanya copy 15/1/2026</t>
  </si>
  <si>
    <t>Datang copy dan asli 15/1/2026, asli titip Pak Iwan</t>
  </si>
  <si>
    <t>103-1</t>
  </si>
  <si>
    <t>Datang 20/1/2026, kirim 21/1/2026</t>
  </si>
  <si>
    <t>Datang hanya copy tgl 20/1/2026</t>
  </si>
  <si>
    <t>Datang asli dan copy 20/1/2026, asli nunggu konfirmasi dari pak pras kirim kapan</t>
  </si>
  <si>
    <t>Datang : 21/1/2026, kirim 22/1/2026</t>
  </si>
  <si>
    <t>0271/JL/CKRG/0126</t>
  </si>
  <si>
    <t>0272/JL/CKRG/0126</t>
  </si>
  <si>
    <t>0273/JL/CKRG/0126</t>
  </si>
  <si>
    <t>0274/JL/CKRG/0126</t>
  </si>
  <si>
    <t>0275/JL/CKRG/0126</t>
  </si>
  <si>
    <t>0276/JL/CKRG/0126</t>
  </si>
  <si>
    <t>0277/JL/CKRG/0126</t>
  </si>
  <si>
    <t>0278/JL/CKRG/0126 + 0286/JL/CKRG/0126</t>
  </si>
  <si>
    <t>0279/JL/CKRG/0126</t>
  </si>
  <si>
    <t>0280/JL/CKRG/0126 + 0287/JL/CKRG/0126</t>
  </si>
  <si>
    <t>0281/JL/CKRG/0126</t>
  </si>
  <si>
    <t>0282/JL/CKRG/0126</t>
  </si>
  <si>
    <t>0283/JL/CKRG/0126</t>
  </si>
  <si>
    <t>0284/JL/CKRG/0126</t>
  </si>
  <si>
    <t>0285/JL/CKRG/0126</t>
  </si>
  <si>
    <t>yamaha</t>
  </si>
  <si>
    <t>krawang</t>
  </si>
  <si>
    <t>Datang : 22/1/2026, kirim 23/1/2026</t>
  </si>
  <si>
    <t>0311/JL/CKRG/0126</t>
  </si>
  <si>
    <t>0312/JL/CKRG/0126</t>
  </si>
  <si>
    <t>08/01/2025, SUDAH INPUT SISTEM</t>
  </si>
  <si>
    <t>12/01/2026, SUDAH INPUT SISTEM</t>
  </si>
  <si>
    <t>22/01/2026, SUDAH INPUT SISTEM</t>
  </si>
  <si>
    <t>14/01/2026, SUDAH INPUT SISTEM</t>
  </si>
  <si>
    <t>Input/Belum Input</t>
  </si>
  <si>
    <t>Sistem (DO)</t>
  </si>
  <si>
    <t>Keteranagn</t>
  </si>
  <si>
    <t>Sistem DN</t>
  </si>
  <si>
    <t>Input SJ/ Belum Input SJ</t>
  </si>
  <si>
    <t>No DO</t>
  </si>
  <si>
    <t>Sudah</t>
  </si>
  <si>
    <t>Belum Input SJ</t>
  </si>
  <si>
    <t>DO-20260107-2107</t>
  </si>
  <si>
    <t>DO-20260107-1504</t>
  </si>
  <si>
    <t>DO-20260114-7916</t>
  </si>
  <si>
    <t>DO-20260123-1118</t>
  </si>
  <si>
    <t>DO-20260113-9516</t>
  </si>
  <si>
    <t>DO-20260113-9785</t>
  </si>
  <si>
    <t>DO-20260107-2714</t>
  </si>
  <si>
    <t>DO-20260123-6540</t>
  </si>
  <si>
    <t>DO-20260107-3194</t>
  </si>
  <si>
    <t>DO-20260107-7344</t>
  </si>
  <si>
    <t>DO-20260107-6903</t>
  </si>
  <si>
    <t>DO-20260107-0051</t>
  </si>
  <si>
    <t>DO-20260107-8242</t>
  </si>
  <si>
    <t>DO-20260113-5111</t>
  </si>
  <si>
    <t>DO-20260113-1825</t>
  </si>
  <si>
    <t>DO-20260113-9011</t>
  </si>
  <si>
    <t>DO-20260113-4475</t>
  </si>
  <si>
    <t>DO-20260115-3239</t>
  </si>
  <si>
    <t>DO-20260115-4605</t>
  </si>
  <si>
    <t>DO-20260123-3270</t>
  </si>
  <si>
    <t>DO-20260123-0313</t>
  </si>
  <si>
    <t>DO-20260123-7661</t>
  </si>
  <si>
    <t>DO-20260123-6707</t>
  </si>
  <si>
    <t>DO-20260123-0583</t>
  </si>
  <si>
    <t>DO-20260123-1535</t>
  </si>
  <si>
    <t>DO-20260107-3404</t>
  </si>
  <si>
    <t>DO-20260107-7969</t>
  </si>
  <si>
    <t>DO-20260107-2326</t>
  </si>
  <si>
    <t>DO-20260107-2569</t>
  </si>
  <si>
    <t>DO-20260107-9278</t>
  </si>
  <si>
    <t>DO-20260107-7257</t>
  </si>
  <si>
    <t>DO-20260108-8990</t>
  </si>
  <si>
    <t>DO-20260108-8335</t>
  </si>
  <si>
    <t>DO-20260108-4640</t>
  </si>
  <si>
    <t>DO-20260113-4726</t>
  </si>
  <si>
    <t>DO-20260113-8382</t>
  </si>
  <si>
    <t>DO-20260113-8976</t>
  </si>
  <si>
    <t>DO-20260113-4553</t>
  </si>
  <si>
    <t>DO-20260113-9186</t>
  </si>
  <si>
    <t>DO-20260113-0906</t>
  </si>
  <si>
    <t>DO-20260113-0989</t>
  </si>
  <si>
    <t>DO-20260113-2853</t>
  </si>
  <si>
    <t>DO-20260113-2773</t>
  </si>
  <si>
    <t>DO-20260113-9992</t>
  </si>
  <si>
    <t>DO-20260115-9948</t>
  </si>
  <si>
    <t>DO-20260115-6700</t>
  </si>
  <si>
    <t xml:space="preserve">DO-20260123-7509 </t>
  </si>
  <si>
    <t>DO-20260123-2915</t>
  </si>
  <si>
    <t>DO-20260123-8979</t>
  </si>
  <si>
    <t>DO-20260123-2461</t>
  </si>
  <si>
    <t>DO-20260123-8127</t>
  </si>
  <si>
    <t>DO-20260123-0055</t>
  </si>
  <si>
    <t>DO-20260123-5179</t>
  </si>
  <si>
    <t>DO-20260123-7699</t>
  </si>
  <si>
    <t>DO-20260123-3486</t>
  </si>
  <si>
    <t>DO-20260123-7324</t>
  </si>
  <si>
    <t>bekasi</t>
  </si>
  <si>
    <t>Datang hanya copy 27/1/2026</t>
  </si>
  <si>
    <t>Belum</t>
  </si>
  <si>
    <t>B2570FFR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</si>
</sst>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(* #,##0.00_);_(* \(#,##0.00\);_(* &quot;-&quot;??_);_(@_)"/>
    <numFmt numFmtId="165" formatCode="dd/mm/yyyy;@"/>
    <numFmt numFmtId="166" formatCode="_(* #,##0_);_(* \(#,##0\);_(* \-_);_(@_)"/>
    <numFmt numFmtId="167" formatCode="[$-3809]dd\ mmmm\ yyyy;@"/>
    <numFmt numFmtId="168" formatCode="[$-421]dd\ mmmm\ yyyy;@"/>
    <numFmt numFmtId="169" formatCode="_(* #,##0.00_);_(* \(#,##0.00\);_(* \-??_);_(@_)"/>
    <numFmt numFmtId="170" formatCode="dd/mm/yy;@"/>
    <numFmt numFmtId="171" formatCode="_(* #,##0_);_(* \(#,##0\);_(* \-??_);_(@_)"/>
    <numFmt numFmtId="172" formatCode="[$-409]d\-mmm\-yy;@"/>
    <numFmt numFmtId="173" formatCode="_(* #,##0.0000000_);_(* \(#,##0.0000000\);_(* \-_);_(@_)"/>
  </numFmts>
  <fonts count="3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Arial"/>
      <family val="2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Bookman Old Style"/>
      <family val="1"/>
      <charset val="1"/>
    </font>
    <font>
      <sz val="11"/>
      <color theme="1"/>
      <name val="Calibri"/>
      <family val="2"/>
    </font>
    <font>
      <sz val="11"/>
      <name val="Bookman Old Style"/>
      <family val="1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6"/>
      <color rgb="FF000000"/>
      <name val="Calibri"/>
      <family val="2"/>
      <charset val="1"/>
    </font>
    <font>
      <sz val="16"/>
      <color rgb="FF000000"/>
      <name val="Arial"/>
      <family val="2"/>
    </font>
    <font>
      <sz val="16"/>
      <name val="Calibri"/>
      <family val="2"/>
      <charset val="1"/>
    </font>
    <font>
      <sz val="16"/>
      <name val="Calibri"/>
      <family val="2"/>
    </font>
    <font>
      <sz val="16"/>
      <color rgb="FFFFFFFF"/>
      <name val="Calibri"/>
      <family val="2"/>
      <charset val="1"/>
    </font>
    <font>
      <sz val="14"/>
      <color rgb="FFFF0000"/>
      <name val="Calibri"/>
      <family val="2"/>
      <charset val="1"/>
    </font>
    <font>
      <sz val="9"/>
      <name val="Arial"/>
      <family val="2"/>
    </font>
    <font>
      <sz val="9"/>
      <name val="Arial Black"/>
      <family val="2"/>
    </font>
    <font>
      <sz val="9"/>
      <color rgb="FF000000"/>
      <name val="Arial Black"/>
      <family val="2"/>
    </font>
    <font>
      <sz val="9"/>
      <name val="Calibri"/>
      <family val="2"/>
    </font>
    <font>
      <sz val="11"/>
      <color rgb="FFFF0000"/>
      <name val="Bookman Old Style"/>
      <family val="1"/>
      <charset val="1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FFFF00"/>
      </patternFill>
    </fill>
    <fill>
      <patternFill patternType="solid">
        <fgColor rgb="FFADB9CA"/>
        <bgColor rgb="FF99CCFF"/>
      </patternFill>
    </fill>
    <fill>
      <patternFill patternType="solid">
        <fgColor rgb="FF00B050"/>
        <bgColor rgb="FF00808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CC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rgb="FFFFFFCC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9" fontId="1" fillId="0" borderId="0" applyBorder="0" applyProtection="0"/>
    <xf numFmtId="9" fontId="1" fillId="0" borderId="0" applyBorder="0" applyProtection="0"/>
    <xf numFmtId="0" fontId="3" fillId="0" borderId="0" applyBorder="0" applyProtection="0"/>
    <xf numFmtId="166" fontId="1" fillId="0" borderId="0" applyBorder="0" applyProtection="0"/>
  </cellStyleXfs>
  <cellXfs count="30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3" applyBorder="1" applyProtection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/>
    <xf numFmtId="166" fontId="6" fillId="3" borderId="2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7" fontId="5" fillId="2" borderId="14" xfId="0" applyNumberFormat="1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right"/>
    </xf>
    <xf numFmtId="0" fontId="5" fillId="2" borderId="16" xfId="0" applyFont="1" applyFill="1" applyBorder="1" applyAlignment="1">
      <alignment horizontal="center"/>
    </xf>
    <xf numFmtId="166" fontId="5" fillId="2" borderId="14" xfId="0" applyNumberFormat="1" applyFont="1" applyFill="1" applyBorder="1" applyAlignment="1">
      <alignment horizontal="center"/>
    </xf>
    <xf numFmtId="166" fontId="5" fillId="2" borderId="14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3" fontId="10" fillId="4" borderId="14" xfId="0" applyNumberFormat="1" applyFont="1" applyFill="1" applyBorder="1" applyAlignment="1">
      <alignment horizontal="center"/>
    </xf>
    <xf numFmtId="3" fontId="10" fillId="2" borderId="14" xfId="0" applyNumberFormat="1" applyFont="1" applyFill="1" applyBorder="1" applyAlignment="1">
      <alignment horizontal="center"/>
    </xf>
    <xf numFmtId="3" fontId="10" fillId="2" borderId="14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/>
    </xf>
    <xf numFmtId="9" fontId="10" fillId="0" borderId="0" xfId="2" applyFont="1" applyBorder="1" applyProtection="1"/>
    <xf numFmtId="0" fontId="11" fillId="0" borderId="0" xfId="0" applyFont="1"/>
    <xf numFmtId="0" fontId="10" fillId="0" borderId="0" xfId="2" applyNumberFormat="1" applyFont="1" applyBorder="1" applyProtection="1"/>
    <xf numFmtId="3" fontId="10" fillId="4" borderId="2" xfId="0" applyNumberFormat="1" applyFont="1" applyFill="1" applyBorder="1" applyAlignment="1">
      <alignment horizontal="center"/>
    </xf>
    <xf numFmtId="3" fontId="10" fillId="4" borderId="16" xfId="0" applyNumberFormat="1" applyFont="1" applyFill="1" applyBorder="1" applyAlignment="1">
      <alignment horizontal="center"/>
    </xf>
    <xf numFmtId="0" fontId="10" fillId="2" borderId="3" xfId="0" applyFont="1" applyFill="1" applyBorder="1"/>
    <xf numFmtId="0" fontId="10" fillId="2" borderId="3" xfId="0" applyFont="1" applyFill="1" applyBorder="1" applyAlignment="1">
      <alignment horizontal="center"/>
    </xf>
    <xf numFmtId="0" fontId="10" fillId="2" borderId="14" xfId="0" applyFont="1" applyFill="1" applyBorder="1"/>
    <xf numFmtId="0" fontId="10" fillId="2" borderId="14" xfId="0" applyFont="1" applyFill="1" applyBorder="1" applyAlignment="1">
      <alignment horizontal="center"/>
    </xf>
    <xf numFmtId="0" fontId="10" fillId="4" borderId="14" xfId="0" applyFont="1" applyFill="1" applyBorder="1"/>
    <xf numFmtId="0" fontId="10" fillId="4" borderId="14" xfId="0" applyFont="1" applyFill="1" applyBorder="1" applyAlignment="1">
      <alignment horizontal="center"/>
    </xf>
    <xf numFmtId="0" fontId="11" fillId="5" borderId="0" xfId="0" applyFont="1" applyFill="1"/>
    <xf numFmtId="0" fontId="13" fillId="4" borderId="2" xfId="0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9" fontId="10" fillId="5" borderId="0" xfId="2" applyFont="1" applyFill="1" applyBorder="1" applyProtection="1"/>
    <xf numFmtId="0" fontId="5" fillId="4" borderId="2" xfId="0" applyFont="1" applyFill="1" applyBorder="1" applyAlignment="1">
      <alignment horizontal="center" vertical="center"/>
    </xf>
    <xf numFmtId="170" fontId="5" fillId="4" borderId="2" xfId="0" applyNumberFormat="1" applyFont="1" applyFill="1" applyBorder="1" applyAlignment="1">
      <alignment horizontal="center"/>
    </xf>
    <xf numFmtId="166" fontId="5" fillId="4" borderId="14" xfId="4" applyFont="1" applyFill="1" applyBorder="1" applyAlignment="1" applyProtection="1">
      <alignment horizontal="center"/>
    </xf>
    <xf numFmtId="166" fontId="13" fillId="4" borderId="14" xfId="4" applyFont="1" applyFill="1" applyBorder="1" applyAlignment="1" applyProtection="1">
      <alignment horizontal="center"/>
    </xf>
    <xf numFmtId="168" fontId="13" fillId="4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69" fontId="13" fillId="4" borderId="2" xfId="0" applyNumberFormat="1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167" fontId="13" fillId="4" borderId="14" xfId="0" applyNumberFormat="1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wrapText="1"/>
    </xf>
    <xf numFmtId="3" fontId="13" fillId="4" borderId="2" xfId="0" applyNumberFormat="1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/>
    </xf>
    <xf numFmtId="167" fontId="13" fillId="4" borderId="2" xfId="4" applyNumberFormat="1" applyFont="1" applyFill="1" applyBorder="1" applyAlignment="1" applyProtection="1">
      <alignment horizontal="center" vertical="center"/>
    </xf>
    <xf numFmtId="168" fontId="13" fillId="4" borderId="2" xfId="0" applyNumberFormat="1" applyFont="1" applyFill="1" applyBorder="1" applyAlignment="1">
      <alignment horizontal="center"/>
    </xf>
    <xf numFmtId="3" fontId="13" fillId="2" borderId="14" xfId="0" applyNumberFormat="1" applyFont="1" applyFill="1" applyBorder="1" applyAlignment="1">
      <alignment horizontal="center"/>
    </xf>
    <xf numFmtId="3" fontId="13" fillId="2" borderId="14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4" xfId="0" applyFont="1" applyFill="1" applyBorder="1"/>
    <xf numFmtId="0" fontId="13" fillId="2" borderId="14" xfId="0" applyFont="1" applyFill="1" applyBorder="1" applyAlignment="1">
      <alignment horizontal="center"/>
    </xf>
    <xf numFmtId="9" fontId="13" fillId="0" borderId="0" xfId="2" applyFont="1" applyBorder="1" applyProtection="1"/>
    <xf numFmtId="0" fontId="14" fillId="0" borderId="0" xfId="0" applyFont="1"/>
    <xf numFmtId="167" fontId="13" fillId="4" borderId="2" xfId="0" applyNumberFormat="1" applyFont="1" applyFill="1" applyBorder="1" applyAlignment="1">
      <alignment horizontal="center"/>
    </xf>
    <xf numFmtId="166" fontId="13" fillId="4" borderId="2" xfId="4" applyFont="1" applyFill="1" applyBorder="1" applyAlignment="1" applyProtection="1">
      <alignment horizontal="center"/>
    </xf>
    <xf numFmtId="166" fontId="13" fillId="4" borderId="2" xfId="4" applyFont="1" applyFill="1" applyBorder="1" applyAlignment="1" applyProtection="1">
      <alignment horizontal="right"/>
    </xf>
    <xf numFmtId="0" fontId="13" fillId="4" borderId="3" xfId="0" applyFont="1" applyFill="1" applyBorder="1" applyAlignment="1">
      <alignment horizontal="center" vertical="center"/>
    </xf>
    <xf numFmtId="169" fontId="13" fillId="4" borderId="3" xfId="0" applyNumberFormat="1" applyFont="1" applyFill="1" applyBorder="1" applyAlignment="1">
      <alignment horizontal="center"/>
    </xf>
    <xf numFmtId="168" fontId="13" fillId="4" borderId="3" xfId="0" applyNumberFormat="1" applyFont="1" applyFill="1" applyBorder="1" applyAlignment="1">
      <alignment horizontal="center"/>
    </xf>
    <xf numFmtId="166" fontId="13" fillId="4" borderId="16" xfId="4" applyFont="1" applyFill="1" applyBorder="1" applyAlignment="1" applyProtection="1">
      <alignment horizontal="center"/>
    </xf>
    <xf numFmtId="3" fontId="13" fillId="4" borderId="3" xfId="0" applyNumberFormat="1" applyFont="1" applyFill="1" applyBorder="1" applyAlignment="1">
      <alignment horizontal="center"/>
    </xf>
    <xf numFmtId="3" fontId="13" fillId="2" borderId="2" xfId="0" applyNumberFormat="1" applyFont="1" applyFill="1" applyBorder="1" applyAlignment="1">
      <alignment horizontal="center"/>
    </xf>
    <xf numFmtId="168" fontId="5" fillId="4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69" fontId="5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168" fontId="5" fillId="4" borderId="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7" fontId="5" fillId="4" borderId="14" xfId="0" applyNumberFormat="1" applyFont="1" applyFill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166" fontId="5" fillId="4" borderId="2" xfId="4" applyFont="1" applyFill="1" applyBorder="1" applyAlignment="1" applyProtection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167" fontId="5" fillId="4" borderId="2" xfId="4" applyNumberFormat="1" applyFont="1" applyFill="1" applyBorder="1" applyAlignment="1" applyProtection="1">
      <alignment horizontal="center" vertical="center"/>
    </xf>
    <xf numFmtId="166" fontId="5" fillId="4" borderId="2" xfId="4" applyFont="1" applyFill="1" applyBorder="1" applyAlignment="1" applyProtection="1">
      <alignment horizontal="right"/>
    </xf>
    <xf numFmtId="166" fontId="5" fillId="4" borderId="16" xfId="4" applyFont="1" applyFill="1" applyBorder="1" applyAlignment="1" applyProtection="1">
      <alignment horizontal="center"/>
    </xf>
    <xf numFmtId="3" fontId="5" fillId="4" borderId="3" xfId="0" applyNumberFormat="1" applyFont="1" applyFill="1" applyBorder="1" applyAlignment="1">
      <alignment horizontal="center"/>
    </xf>
    <xf numFmtId="168" fontId="13" fillId="4" borderId="3" xfId="0" applyNumberFormat="1" applyFont="1" applyFill="1" applyBorder="1" applyAlignment="1">
      <alignment horizontal="center" vertical="center"/>
    </xf>
    <xf numFmtId="166" fontId="16" fillId="4" borderId="2" xfId="4" applyFont="1" applyFill="1" applyBorder="1" applyAlignment="1" applyProtection="1">
      <alignment horizontal="center" vertical="center"/>
    </xf>
    <xf numFmtId="167" fontId="13" fillId="4" borderId="2" xfId="4" applyNumberFormat="1" applyFont="1" applyFill="1" applyBorder="1" applyAlignment="1" applyProtection="1">
      <alignment horizontal="center"/>
    </xf>
    <xf numFmtId="4" fontId="13" fillId="4" borderId="2" xfId="0" applyNumberFormat="1" applyFont="1" applyFill="1" applyBorder="1" applyAlignment="1">
      <alignment horizontal="center"/>
    </xf>
    <xf numFmtId="0" fontId="14" fillId="4" borderId="2" xfId="0" applyFont="1" applyFill="1" applyBorder="1"/>
    <xf numFmtId="10" fontId="11" fillId="4" borderId="0" xfId="2" applyNumberFormat="1" applyFont="1" applyFill="1" applyBorder="1" applyAlignment="1" applyProtection="1">
      <alignment horizontal="center" vertical="center"/>
    </xf>
    <xf numFmtId="10" fontId="12" fillId="2" borderId="0" xfId="2" applyNumberFormat="1" applyFont="1" applyFill="1" applyBorder="1" applyAlignment="1" applyProtection="1">
      <alignment horizontal="center" vertical="center"/>
    </xf>
    <xf numFmtId="10" fontId="11" fillId="2" borderId="0" xfId="2" applyNumberFormat="1" applyFont="1" applyFill="1" applyBorder="1" applyAlignment="1" applyProtection="1">
      <alignment horizontal="center" vertical="center"/>
    </xf>
    <xf numFmtId="166" fontId="18" fillId="2" borderId="2" xfId="0" applyNumberFormat="1" applyFont="1" applyFill="1" applyBorder="1"/>
    <xf numFmtId="166" fontId="9" fillId="2" borderId="0" xfId="0" applyNumberFormat="1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166" fontId="18" fillId="2" borderId="2" xfId="4" applyFont="1" applyFill="1" applyBorder="1" applyAlignment="1" applyProtection="1">
      <alignment horizontal="right"/>
    </xf>
    <xf numFmtId="0" fontId="18" fillId="2" borderId="0" xfId="0" applyFont="1" applyFill="1"/>
    <xf numFmtId="166" fontId="0" fillId="6" borderId="2" xfId="0" applyNumberFormat="1" applyFill="1" applyBorder="1"/>
    <xf numFmtId="166" fontId="0" fillId="3" borderId="2" xfId="0" applyNumberFormat="1" applyFill="1" applyBorder="1"/>
    <xf numFmtId="9" fontId="5" fillId="0" borderId="0" xfId="2" applyFont="1" applyBorder="1" applyProtection="1"/>
    <xf numFmtId="0" fontId="0" fillId="5" borderId="0" xfId="0" applyFill="1" applyAlignment="1">
      <alignment horizontal="center" vertical="center"/>
    </xf>
    <xf numFmtId="0" fontId="0" fillId="5" borderId="0" xfId="0" applyFill="1"/>
    <xf numFmtId="10" fontId="12" fillId="4" borderId="0" xfId="2" applyNumberFormat="1" applyFont="1" applyFill="1" applyBorder="1" applyAlignment="1" applyProtection="1">
      <alignment horizontal="center" vertical="center"/>
    </xf>
    <xf numFmtId="0" fontId="0" fillId="5" borderId="0" xfId="0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166" fontId="18" fillId="4" borderId="0" xfId="0" applyNumberFormat="1" applyFont="1" applyFill="1"/>
    <xf numFmtId="166" fontId="9" fillId="4" borderId="0" xfId="0" applyNumberFormat="1" applyFont="1" applyFill="1" applyAlignment="1">
      <alignment horizontal="center" vertical="center"/>
    </xf>
    <xf numFmtId="165" fontId="18" fillId="4" borderId="0" xfId="0" applyNumberFormat="1" applyFont="1" applyFill="1" applyAlignment="1">
      <alignment horizontal="center" vertical="center"/>
    </xf>
    <xf numFmtId="166" fontId="18" fillId="4" borderId="0" xfId="4" applyFont="1" applyFill="1" applyBorder="1" applyAlignment="1" applyProtection="1">
      <alignment horizontal="right"/>
    </xf>
    <xf numFmtId="0" fontId="18" fillId="4" borderId="0" xfId="0" applyFont="1" applyFill="1"/>
    <xf numFmtId="166" fontId="0" fillId="7" borderId="0" xfId="0" applyNumberFormat="1" applyFill="1"/>
    <xf numFmtId="166" fontId="0" fillId="8" borderId="0" xfId="0" applyNumberFormat="1" applyFill="1"/>
    <xf numFmtId="9" fontId="5" fillId="5" borderId="0" xfId="2" applyFont="1" applyFill="1" applyBorder="1" applyProtection="1"/>
    <xf numFmtId="10" fontId="19" fillId="2" borderId="15" xfId="2" applyNumberFormat="1" applyFont="1" applyFill="1" applyBorder="1" applyAlignment="1" applyProtection="1">
      <alignment horizontal="center"/>
    </xf>
    <xf numFmtId="10" fontId="12" fillId="2" borderId="15" xfId="2" applyNumberFormat="1" applyFont="1" applyFill="1" applyBorder="1" applyAlignment="1" applyProtection="1">
      <alignment horizontal="center"/>
    </xf>
    <xf numFmtId="9" fontId="11" fillId="2" borderId="15" xfId="2" applyFont="1" applyFill="1" applyBorder="1" applyAlignment="1" applyProtection="1">
      <alignment horizontal="center"/>
    </xf>
    <xf numFmtId="166" fontId="18" fillId="2" borderId="0" xfId="0" applyNumberFormat="1" applyFont="1" applyFill="1"/>
    <xf numFmtId="0" fontId="9" fillId="2" borderId="0" xfId="0" applyFont="1" applyFill="1" applyAlignment="1">
      <alignment horizontal="center" vertical="center"/>
    </xf>
    <xf numFmtId="166" fontId="18" fillId="2" borderId="0" xfId="4" applyFont="1" applyFill="1" applyBorder="1" applyAlignment="1" applyProtection="1">
      <alignment horizontal="right"/>
    </xf>
    <xf numFmtId="3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" xfId="0" applyFont="1" applyBorder="1"/>
    <xf numFmtId="166" fontId="20" fillId="3" borderId="2" xfId="4" applyFont="1" applyFill="1" applyBorder="1" applyProtection="1"/>
    <xf numFmtId="166" fontId="21" fillId="9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Border="1"/>
    <xf numFmtId="166" fontId="20" fillId="0" borderId="0" xfId="0" applyNumberFormat="1" applyFont="1" applyAlignment="1">
      <alignment horizontal="center" vertical="center"/>
    </xf>
    <xf numFmtId="166" fontId="20" fillId="0" borderId="0" xfId="0" applyNumberFormat="1" applyFont="1"/>
    <xf numFmtId="166" fontId="20" fillId="0" borderId="0" xfId="0" applyNumberFormat="1" applyFont="1" applyAlignment="1">
      <alignment horizontal="center"/>
    </xf>
    <xf numFmtId="171" fontId="20" fillId="0" borderId="0" xfId="1" applyNumberFormat="1" applyFont="1" applyBorder="1" applyAlignment="1" applyProtection="1">
      <alignment horizontal="center" vertical="center"/>
    </xf>
    <xf numFmtId="0" fontId="20" fillId="0" borderId="0" xfId="0" applyFont="1"/>
    <xf numFmtId="0" fontId="22" fillId="2" borderId="0" xfId="0" applyFont="1" applyFill="1"/>
    <xf numFmtId="0" fontId="23" fillId="2" borderId="0" xfId="0" applyFont="1" applyFill="1" applyAlignment="1">
      <alignment horizontal="center" vertical="center"/>
    </xf>
    <xf numFmtId="165" fontId="22" fillId="2" borderId="0" xfId="0" applyNumberFormat="1" applyFont="1" applyFill="1" applyAlignment="1">
      <alignment horizontal="center" vertical="center"/>
    </xf>
    <xf numFmtId="166" fontId="22" fillId="2" borderId="0" xfId="4" applyFont="1" applyFill="1" applyBorder="1" applyAlignment="1" applyProtection="1">
      <alignment horizontal="right"/>
    </xf>
    <xf numFmtId="166" fontId="20" fillId="6" borderId="2" xfId="4" applyFont="1" applyFill="1" applyBorder="1" applyProtection="1"/>
    <xf numFmtId="166" fontId="21" fillId="10" borderId="2" xfId="0" applyNumberFormat="1" applyFont="1" applyFill="1" applyBorder="1" applyAlignment="1">
      <alignment horizontal="center" vertical="center"/>
    </xf>
    <xf numFmtId="173" fontId="20" fillId="0" borderId="0" xfId="0" applyNumberFormat="1" applyFont="1"/>
    <xf numFmtId="9" fontId="20" fillId="0" borderId="0" xfId="2" applyFont="1" applyBorder="1" applyAlignment="1" applyProtection="1">
      <alignment horizontal="center" vertical="center"/>
    </xf>
    <xf numFmtId="169" fontId="22" fillId="2" borderId="0" xfId="1" applyFont="1" applyFill="1" applyBorder="1" applyProtection="1"/>
    <xf numFmtId="166" fontId="20" fillId="0" borderId="2" xfId="4" applyFont="1" applyBorder="1" applyProtection="1"/>
    <xf numFmtId="166" fontId="21" fillId="0" borderId="2" xfId="0" applyNumberFormat="1" applyFont="1" applyBorder="1" applyAlignment="1">
      <alignment horizontal="center" vertical="center"/>
    </xf>
    <xf numFmtId="0" fontId="24" fillId="0" borderId="0" xfId="0" applyFont="1"/>
    <xf numFmtId="9" fontId="19" fillId="2" borderId="0" xfId="0" applyNumberFormat="1" applyFont="1" applyFill="1" applyAlignment="1">
      <alignment horizontal="center" vertical="center"/>
    </xf>
    <xf numFmtId="166" fontId="12" fillId="2" borderId="0" xfId="4" applyFont="1" applyFill="1" applyBorder="1" applyAlignment="1" applyProtection="1">
      <alignment horizontal="center" vertical="center"/>
    </xf>
    <xf numFmtId="10" fontId="25" fillId="2" borderId="0" xfId="0" applyNumberFormat="1" applyFont="1" applyFill="1" applyAlignment="1">
      <alignment horizontal="center" vertical="center"/>
    </xf>
    <xf numFmtId="169" fontId="0" fillId="0" borderId="0" xfId="0" applyNumberFormat="1"/>
    <xf numFmtId="0" fontId="18" fillId="0" borderId="0" xfId="0" applyFont="1"/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right"/>
    </xf>
    <xf numFmtId="164" fontId="2" fillId="0" borderId="0" xfId="0" applyNumberFormat="1" applyFont="1"/>
    <xf numFmtId="10" fontId="2" fillId="0" borderId="0" xfId="0" applyNumberFormat="1" applyFont="1"/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" fillId="0" borderId="0" xfId="0" applyFont="1"/>
    <xf numFmtId="0" fontId="28" fillId="0" borderId="2" xfId="0" applyFont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66" fontId="27" fillId="2" borderId="2" xfId="4" applyFont="1" applyFill="1" applyBorder="1" applyAlignment="1" applyProtection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171" fontId="1" fillId="0" borderId="2" xfId="1" applyNumberFormat="1" applyBorder="1"/>
    <xf numFmtId="171" fontId="2" fillId="0" borderId="2" xfId="1" applyNumberFormat="1" applyFont="1" applyBorder="1" applyAlignment="1">
      <alignment horizontal="center" vertical="center"/>
    </xf>
    <xf numFmtId="171" fontId="1" fillId="0" borderId="2" xfId="1" applyNumberFormat="1" applyBorder="1" applyProtection="1"/>
    <xf numFmtId="171" fontId="1" fillId="0" borderId="0" xfId="1" applyNumberFormat="1" applyBorder="1"/>
    <xf numFmtId="169" fontId="1" fillId="0" borderId="0" xfId="1" applyBorder="1"/>
    <xf numFmtId="171" fontId="18" fillId="0" borderId="0" xfId="1" applyNumberFormat="1" applyFont="1" applyBorder="1"/>
    <xf numFmtId="171" fontId="9" fillId="0" borderId="0" xfId="1" applyNumberFormat="1" applyFont="1" applyBorder="1" applyAlignment="1">
      <alignment horizontal="center" vertical="center"/>
    </xf>
    <xf numFmtId="165" fontId="1" fillId="0" borderId="0" xfId="1" applyNumberFormat="1" applyBorder="1" applyAlignment="1">
      <alignment horizontal="center" vertical="center"/>
    </xf>
    <xf numFmtId="171" fontId="2" fillId="0" borderId="2" xfId="1" applyNumberFormat="1" applyFont="1" applyBorder="1" applyAlignment="1">
      <alignment horizontal="left" vertical="center"/>
    </xf>
    <xf numFmtId="166" fontId="0" fillId="0" borderId="0" xfId="0" applyNumberFormat="1"/>
    <xf numFmtId="169" fontId="5" fillId="4" borderId="2" xfId="0" applyNumberFormat="1" applyFont="1" applyFill="1" applyBorder="1" applyAlignment="1">
      <alignment horizontal="center"/>
    </xf>
    <xf numFmtId="167" fontId="5" fillId="4" borderId="2" xfId="0" applyNumberFormat="1" applyFont="1" applyFill="1" applyBorder="1" applyAlignment="1">
      <alignment horizontal="center" vertical="center"/>
    </xf>
    <xf numFmtId="171" fontId="18" fillId="5" borderId="14" xfId="1" applyNumberFormat="1" applyFont="1" applyFill="1" applyBorder="1" applyProtection="1"/>
    <xf numFmtId="172" fontId="18" fillId="5" borderId="2" xfId="1" applyNumberFormat="1" applyFont="1" applyFill="1" applyBorder="1" applyAlignment="1" applyProtection="1">
      <alignment horizontal="center"/>
    </xf>
    <xf numFmtId="171" fontId="18" fillId="5" borderId="2" xfId="1" applyNumberFormat="1" applyFont="1" applyFill="1" applyBorder="1" applyProtection="1"/>
    <xf numFmtId="171" fontId="18" fillId="5" borderId="2" xfId="1" applyNumberFormat="1" applyFont="1" applyFill="1" applyBorder="1"/>
    <xf numFmtId="171" fontId="9" fillId="5" borderId="2" xfId="1" applyNumberFormat="1" applyFont="1" applyFill="1" applyBorder="1" applyAlignment="1">
      <alignment horizontal="center" vertical="center"/>
    </xf>
    <xf numFmtId="165" fontId="18" fillId="5" borderId="2" xfId="1" applyNumberFormat="1" applyFont="1" applyFill="1" applyBorder="1" applyAlignment="1" applyProtection="1">
      <alignment horizontal="center" vertical="center"/>
    </xf>
    <xf numFmtId="169" fontId="5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168" fontId="5" fillId="4" borderId="2" xfId="0" applyNumberFormat="1" applyFont="1" applyFill="1" applyBorder="1" applyAlignment="1">
      <alignment horizontal="center"/>
    </xf>
    <xf numFmtId="166" fontId="5" fillId="5" borderId="14" xfId="4" applyFont="1" applyFill="1" applyBorder="1" applyAlignment="1" applyProtection="1">
      <alignment horizontal="center"/>
    </xf>
    <xf numFmtId="3" fontId="5" fillId="4" borderId="2" xfId="0" applyNumberFormat="1" applyFont="1" applyFill="1" applyBorder="1" applyAlignment="1">
      <alignment horizontal="right"/>
    </xf>
    <xf numFmtId="166" fontId="5" fillId="4" borderId="14" xfId="4" applyFont="1" applyFill="1" applyBorder="1" applyAlignment="1" applyProtection="1">
      <alignment horizontal="right"/>
    </xf>
    <xf numFmtId="3" fontId="5" fillId="4" borderId="2" xfId="0" applyNumberFormat="1" applyFont="1" applyFill="1" applyBorder="1" applyAlignment="1">
      <alignment horizontal="right" vertical="center"/>
    </xf>
    <xf numFmtId="172" fontId="5" fillId="4" borderId="2" xfId="4" applyNumberFormat="1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center" vertical="center"/>
    </xf>
    <xf numFmtId="166" fontId="5" fillId="5" borderId="14" xfId="4" applyFont="1" applyFill="1" applyBorder="1" applyAlignment="1" applyProtection="1">
      <alignment horizontal="right"/>
    </xf>
    <xf numFmtId="3" fontId="5" fillId="5" borderId="2" xfId="0" applyNumberFormat="1" applyFont="1" applyFill="1" applyBorder="1" applyAlignment="1">
      <alignment horizontal="right"/>
    </xf>
    <xf numFmtId="172" fontId="5" fillId="4" borderId="14" xfId="4" applyNumberFormat="1" applyFont="1" applyFill="1" applyBorder="1" applyAlignment="1" applyProtection="1">
      <alignment horizontal="center" vertical="center"/>
    </xf>
    <xf numFmtId="167" fontId="5" fillId="4" borderId="14" xfId="4" applyNumberFormat="1" applyFont="1" applyFill="1" applyBorder="1" applyAlignment="1" applyProtection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3" fontId="5" fillId="4" borderId="3" xfId="0" applyNumberFormat="1" applyFont="1" applyFill="1" applyBorder="1" applyAlignment="1">
      <alignment horizontal="right"/>
    </xf>
    <xf numFmtId="168" fontId="10" fillId="4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169" fontId="10" fillId="4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167" fontId="10" fillId="4" borderId="2" xfId="0" applyNumberFormat="1" applyFont="1" applyFill="1" applyBorder="1" applyAlignment="1">
      <alignment horizontal="center" vertical="center"/>
    </xf>
    <xf numFmtId="171" fontId="11" fillId="5" borderId="14" xfId="1" applyNumberFormat="1" applyFont="1" applyFill="1" applyBorder="1" applyProtection="1"/>
    <xf numFmtId="0" fontId="12" fillId="5" borderId="2" xfId="0" applyFont="1" applyFill="1" applyBorder="1" applyAlignment="1">
      <alignment horizontal="center" vertical="center"/>
    </xf>
    <xf numFmtId="172" fontId="11" fillId="5" borderId="2" xfId="1" applyNumberFormat="1" applyFont="1" applyFill="1" applyBorder="1" applyAlignment="1" applyProtection="1">
      <alignment horizontal="center"/>
    </xf>
    <xf numFmtId="171" fontId="11" fillId="5" borderId="2" xfId="1" applyNumberFormat="1" applyFont="1" applyFill="1" applyBorder="1" applyProtection="1"/>
    <xf numFmtId="171" fontId="11" fillId="5" borderId="14" xfId="1" applyNumberFormat="1" applyFont="1" applyFill="1" applyBorder="1"/>
    <xf numFmtId="167" fontId="10" fillId="4" borderId="14" xfId="0" applyNumberFormat="1" applyFont="1" applyFill="1" applyBorder="1" applyAlignment="1">
      <alignment horizontal="center"/>
    </xf>
    <xf numFmtId="171" fontId="11" fillId="5" borderId="2" xfId="1" applyNumberFormat="1" applyFont="1" applyFill="1" applyBorder="1"/>
    <xf numFmtId="0" fontId="12" fillId="4" borderId="2" xfId="0" applyFont="1" applyFill="1" applyBorder="1" applyAlignment="1">
      <alignment horizontal="center" vertical="center"/>
    </xf>
    <xf numFmtId="171" fontId="31" fillId="5" borderId="2" xfId="1" applyNumberFormat="1" applyFont="1" applyFill="1" applyBorder="1" applyAlignment="1">
      <alignment horizontal="center" vertical="center"/>
    </xf>
    <xf numFmtId="165" fontId="11" fillId="5" borderId="2" xfId="1" applyNumberFormat="1" applyFont="1" applyFill="1" applyBorder="1" applyAlignment="1" applyProtection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171" fontId="10" fillId="4" borderId="2" xfId="0" applyNumberFormat="1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70" fontId="10" fillId="4" borderId="2" xfId="0" applyNumberFormat="1" applyFont="1" applyFill="1" applyBorder="1" applyAlignment="1">
      <alignment horizontal="center"/>
    </xf>
    <xf numFmtId="169" fontId="10" fillId="5" borderId="2" xfId="0" applyNumberFormat="1" applyFont="1" applyFill="1" applyBorder="1" applyAlignment="1">
      <alignment horizontal="center"/>
    </xf>
    <xf numFmtId="171" fontId="11" fillId="11" borderId="2" xfId="1" applyNumberFormat="1" applyFont="1" applyFill="1" applyBorder="1" applyProtection="1"/>
    <xf numFmtId="171" fontId="11" fillId="11" borderId="14" xfId="1" applyNumberFormat="1" applyFont="1" applyFill="1" applyBorder="1" applyProtection="1"/>
    <xf numFmtId="167" fontId="10" fillId="5" borderId="14" xfId="0" applyNumberFormat="1" applyFont="1" applyFill="1" applyBorder="1" applyAlignment="1">
      <alignment horizontal="center"/>
    </xf>
    <xf numFmtId="171" fontId="11" fillId="12" borderId="14" xfId="1" applyNumberFormat="1" applyFont="1" applyFill="1" applyBorder="1" applyProtection="1"/>
    <xf numFmtId="0" fontId="11" fillId="4" borderId="2" xfId="0" applyFont="1" applyFill="1" applyBorder="1"/>
    <xf numFmtId="0" fontId="10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71" fontId="11" fillId="17" borderId="14" xfId="1" applyNumberFormat="1" applyFont="1" applyFill="1" applyBorder="1" applyProtection="1"/>
    <xf numFmtId="166" fontId="10" fillId="5" borderId="14" xfId="4" applyFont="1" applyFill="1" applyBorder="1" applyAlignment="1" applyProtection="1">
      <alignment horizontal="center"/>
    </xf>
    <xf numFmtId="3" fontId="10" fillId="4" borderId="2" xfId="0" applyNumberFormat="1" applyFont="1" applyFill="1" applyBorder="1" applyAlignment="1">
      <alignment horizontal="right"/>
    </xf>
    <xf numFmtId="0" fontId="12" fillId="5" borderId="14" xfId="0" applyFont="1" applyFill="1" applyBorder="1" applyAlignment="1">
      <alignment horizontal="center" vertical="center"/>
    </xf>
    <xf numFmtId="165" fontId="11" fillId="5" borderId="14" xfId="1" applyNumberFormat="1" applyFont="1" applyFill="1" applyBorder="1" applyAlignment="1" applyProtection="1">
      <alignment horizontal="center" vertical="center"/>
    </xf>
    <xf numFmtId="166" fontId="10" fillId="4" borderId="14" xfId="4" applyFont="1" applyFill="1" applyBorder="1" applyAlignment="1" applyProtection="1">
      <alignment horizontal="center"/>
    </xf>
    <xf numFmtId="0" fontId="31" fillId="4" borderId="2" xfId="0" applyFont="1" applyFill="1" applyBorder="1" applyAlignment="1">
      <alignment horizontal="center" vertical="center" wrapText="1"/>
    </xf>
    <xf numFmtId="166" fontId="10" fillId="4" borderId="14" xfId="4" applyFont="1" applyFill="1" applyBorder="1" applyAlignment="1" applyProtection="1">
      <alignment horizontal="right"/>
    </xf>
    <xf numFmtId="172" fontId="10" fillId="4" borderId="2" xfId="4" applyNumberFormat="1" applyFont="1" applyFill="1" applyBorder="1" applyAlignment="1" applyProtection="1">
      <alignment horizontal="center" vertical="center"/>
    </xf>
    <xf numFmtId="171" fontId="11" fillId="18" borderId="14" xfId="1" applyNumberFormat="1" applyFont="1" applyFill="1" applyBorder="1" applyProtection="1"/>
    <xf numFmtId="171" fontId="18" fillId="18" borderId="14" xfId="1" applyNumberFormat="1" applyFont="1" applyFill="1" applyBorder="1" applyProtection="1"/>
    <xf numFmtId="166" fontId="5" fillId="18" borderId="14" xfId="4" applyFont="1" applyFill="1" applyBorder="1" applyAlignment="1" applyProtection="1">
      <alignment horizontal="center"/>
    </xf>
    <xf numFmtId="166" fontId="10" fillId="19" borderId="14" xfId="4" applyFont="1" applyFill="1" applyBorder="1" applyAlignment="1" applyProtection="1">
      <alignment horizontal="center"/>
    </xf>
    <xf numFmtId="171" fontId="11" fillId="20" borderId="14" xfId="1" applyNumberFormat="1" applyFont="1" applyFill="1" applyBorder="1" applyProtection="1"/>
    <xf numFmtId="166" fontId="5" fillId="21" borderId="14" xfId="4" applyFont="1" applyFill="1" applyBorder="1" applyAlignment="1" applyProtection="1">
      <alignment horizontal="center"/>
    </xf>
    <xf numFmtId="166" fontId="10" fillId="21" borderId="14" xfId="4" applyFont="1" applyFill="1" applyBorder="1" applyAlignment="1" applyProtection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66" fontId="10" fillId="16" borderId="14" xfId="4" applyFont="1" applyFill="1" applyBorder="1" applyAlignment="1" applyProtection="1">
      <alignment horizontal="center"/>
    </xf>
    <xf numFmtId="0" fontId="6" fillId="3" borderId="17" xfId="0" applyFont="1" applyFill="1" applyBorder="1" applyAlignment="1">
      <alignment vertical="center"/>
    </xf>
    <xf numFmtId="0" fontId="6" fillId="3" borderId="18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166" fontId="6" fillId="3" borderId="2" xfId="0" applyNumberFormat="1" applyFont="1" applyFill="1" applyBorder="1" applyAlignment="1">
      <alignment horizont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Excel Built-in Comma [0]" xf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pp.435@pajak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O168"/>
  <sheetViews>
    <sheetView tabSelected="1" view="pageBreakPreview" zoomScale="77" zoomScaleNormal="77" zoomScaleSheetLayoutView="77" workbookViewId="0">
      <pane xSplit="1" ySplit="6" topLeftCell="B46" activePane="bottomRight" state="frozen"/>
      <selection pane="topRight" activeCell="B1" sqref="B1"/>
      <selection pane="bottomLeft" activeCell="A7" sqref="A7"/>
      <selection pane="bottomRight" activeCell="A69" sqref="A69"/>
    </sheetView>
  </sheetViews>
  <sheetFormatPr defaultColWidth="8.85546875" defaultRowHeight="15" x14ac:dyDescent="0.25"/>
  <cols>
    <col min="1" max="1" width="4.7109375" bestFit="1" customWidth="1"/>
    <col min="2" max="3" width="20.5703125" customWidth="1"/>
    <col min="4" max="4" width="24.28515625" customWidth="1"/>
    <col min="5" max="5" width="40" style="186" customWidth="1"/>
    <col min="6" max="6" width="22.140625" customWidth="1"/>
    <col min="7" max="7" width="9" hidden="1" customWidth="1"/>
    <col min="8" max="8" width="16.5703125" customWidth="1"/>
    <col min="9" max="9" width="14.42578125" customWidth="1"/>
    <col min="10" max="10" width="18.42578125" customWidth="1"/>
    <col min="11" max="11" width="18.28515625" customWidth="1"/>
    <col min="12" max="12" width="12.42578125" customWidth="1"/>
    <col min="13" max="13" width="28.85546875" customWidth="1"/>
    <col min="14" max="14" width="21.140625" bestFit="1" customWidth="1"/>
    <col min="15" max="15" width="16.85546875" bestFit="1" customWidth="1"/>
    <col min="16" max="16" width="29.28515625" style="5" customWidth="1"/>
    <col min="17" max="17" width="16.42578125" style="6" bestFit="1" customWidth="1"/>
    <col min="18" max="18" width="14.28515625" style="7" customWidth="1"/>
    <col min="19" max="20" width="9.140625" hidden="1" customWidth="1"/>
    <col min="21" max="21" width="12.85546875" hidden="1" customWidth="1"/>
    <col min="22" max="22" width="14.42578125" customWidth="1"/>
    <col min="31" max="31" width="14" bestFit="1" customWidth="1"/>
    <col min="32" max="32" width="20.42578125" bestFit="1" customWidth="1"/>
    <col min="33" max="33" width="13.42578125" bestFit="1" customWidth="1"/>
  </cols>
  <sheetData>
    <row r="2" spans="1:41" ht="15.75" thickBot="1" x14ac:dyDescent="0.3">
      <c r="A2" s="1"/>
      <c r="E2" s="2"/>
      <c r="F2" s="3" t="s">
        <v>0</v>
      </c>
      <c r="G2" s="1"/>
      <c r="I2" s="4"/>
      <c r="J2" s="1"/>
      <c r="L2" s="1"/>
      <c r="AA2" s="293">
        <v>82139067605</v>
      </c>
      <c r="AB2" s="293"/>
    </row>
    <row r="3" spans="1:41" ht="15.75" thickBot="1" x14ac:dyDescent="0.3">
      <c r="A3" s="294" t="s">
        <v>1</v>
      </c>
      <c r="B3" s="294" t="s">
        <v>2</v>
      </c>
      <c r="C3" s="296" t="s">
        <v>156</v>
      </c>
      <c r="D3" s="294" t="s">
        <v>3</v>
      </c>
      <c r="E3" s="295" t="s">
        <v>4</v>
      </c>
      <c r="F3" s="8" t="s">
        <v>13</v>
      </c>
      <c r="G3" s="9" t="s">
        <v>6</v>
      </c>
      <c r="H3" s="288" t="s">
        <v>153</v>
      </c>
      <c r="I3" s="290"/>
      <c r="J3" s="291"/>
      <c r="K3" s="9" t="s">
        <v>7</v>
      </c>
      <c r="L3" s="10"/>
      <c r="M3" s="294" t="s">
        <v>8</v>
      </c>
      <c r="N3" s="296" t="s">
        <v>9</v>
      </c>
      <c r="O3" s="296"/>
      <c r="P3" s="295" t="s">
        <v>10</v>
      </c>
      <c r="Q3" s="297" t="s">
        <v>11</v>
      </c>
      <c r="R3" s="294" t="s">
        <v>12</v>
      </c>
      <c r="S3" s="294"/>
      <c r="T3" s="294"/>
      <c r="U3" s="294" t="s">
        <v>13</v>
      </c>
      <c r="V3" s="303" t="s">
        <v>14</v>
      </c>
      <c r="W3" s="303"/>
      <c r="X3" s="303"/>
      <c r="Y3" s="303"/>
      <c r="Z3" s="303"/>
      <c r="AA3" s="303"/>
      <c r="AB3" s="303"/>
      <c r="AC3" s="303"/>
      <c r="AD3" s="303"/>
      <c r="AE3" s="304" t="s">
        <v>15</v>
      </c>
      <c r="AF3" s="305" t="s">
        <v>16</v>
      </c>
      <c r="AG3" s="292" t="s">
        <v>17</v>
      </c>
      <c r="AH3" s="300" t="s">
        <v>18</v>
      </c>
      <c r="AI3" s="300"/>
      <c r="AJ3" s="301" t="s">
        <v>19</v>
      </c>
      <c r="AK3" s="12" t="s">
        <v>20</v>
      </c>
      <c r="AL3" s="12" t="s">
        <v>21</v>
      </c>
      <c r="AM3" s="12" t="s">
        <v>22</v>
      </c>
      <c r="AN3" s="13" t="s">
        <v>23</v>
      </c>
    </row>
    <row r="4" spans="1:41" ht="15.75" thickBot="1" x14ac:dyDescent="0.3">
      <c r="A4" s="294"/>
      <c r="B4" s="294"/>
      <c r="C4" s="298"/>
      <c r="D4" s="294"/>
      <c r="E4" s="295"/>
      <c r="F4" s="9" t="s">
        <v>152</v>
      </c>
      <c r="G4" s="9" t="s">
        <v>24</v>
      </c>
      <c r="H4" s="287" t="s">
        <v>154</v>
      </c>
      <c r="I4" s="302" t="s">
        <v>25</v>
      </c>
      <c r="J4" s="294" t="s">
        <v>26</v>
      </c>
      <c r="K4" s="292" t="s">
        <v>27</v>
      </c>
      <c r="L4" s="292" t="s">
        <v>28</v>
      </c>
      <c r="M4" s="294"/>
      <c r="N4" s="296"/>
      <c r="O4" s="296"/>
      <c r="P4" s="295"/>
      <c r="Q4" s="297"/>
      <c r="R4" s="294" t="s">
        <v>29</v>
      </c>
      <c r="S4" s="294" t="s">
        <v>30</v>
      </c>
      <c r="T4" s="294" t="s">
        <v>31</v>
      </c>
      <c r="U4" s="294"/>
      <c r="V4" s="304" t="s">
        <v>32</v>
      </c>
      <c r="W4" s="304"/>
      <c r="X4" s="304"/>
      <c r="Y4" s="304"/>
      <c r="Z4" s="304"/>
      <c r="AA4" s="304"/>
      <c r="AB4" s="292" t="s">
        <v>33</v>
      </c>
      <c r="AC4" s="292"/>
      <c r="AD4" s="292"/>
      <c r="AE4" s="304"/>
      <c r="AF4" s="305"/>
      <c r="AG4" s="292"/>
      <c r="AH4" s="14" t="s">
        <v>34</v>
      </c>
      <c r="AI4" s="15" t="s">
        <v>35</v>
      </c>
      <c r="AJ4" s="301"/>
      <c r="AK4" s="16"/>
      <c r="AL4" s="16"/>
      <c r="AM4" s="16"/>
      <c r="AN4" s="17"/>
    </row>
    <row r="5" spans="1:41" ht="30.75" thickBot="1" x14ac:dyDescent="0.3">
      <c r="A5" s="294"/>
      <c r="B5" s="294"/>
      <c r="C5" s="299"/>
      <c r="D5" s="294"/>
      <c r="E5" s="295"/>
      <c r="F5" s="8" t="s">
        <v>151</v>
      </c>
      <c r="G5" s="9"/>
      <c r="H5" s="287" t="s">
        <v>155</v>
      </c>
      <c r="I5" s="302"/>
      <c r="J5" s="294"/>
      <c r="K5" s="292"/>
      <c r="L5" s="292"/>
      <c r="M5" s="294"/>
      <c r="N5" s="18" t="s">
        <v>36</v>
      </c>
      <c r="O5" s="19" t="s">
        <v>12</v>
      </c>
      <c r="P5" s="295"/>
      <c r="Q5" s="297"/>
      <c r="R5" s="294"/>
      <c r="S5" s="294"/>
      <c r="T5" s="294"/>
      <c r="U5" s="294"/>
      <c r="V5" s="11" t="s">
        <v>37</v>
      </c>
      <c r="W5" s="11" t="s">
        <v>38</v>
      </c>
      <c r="X5" s="11" t="s">
        <v>39</v>
      </c>
      <c r="Y5" s="11" t="s">
        <v>40</v>
      </c>
      <c r="Z5" s="11" t="s">
        <v>41</v>
      </c>
      <c r="AA5" s="8" t="s">
        <v>42</v>
      </c>
      <c r="AB5" s="8" t="s">
        <v>43</v>
      </c>
      <c r="AC5" s="8" t="s">
        <v>44</v>
      </c>
      <c r="AD5" s="20" t="s">
        <v>45</v>
      </c>
      <c r="AE5" s="304"/>
      <c r="AF5" s="305"/>
      <c r="AG5" s="292"/>
      <c r="AH5" s="21"/>
      <c r="AI5" s="22"/>
      <c r="AJ5" s="301"/>
      <c r="AK5" s="16"/>
      <c r="AL5" s="16"/>
      <c r="AM5" s="16"/>
      <c r="AN5" s="16"/>
    </row>
    <row r="6" spans="1:41" x14ac:dyDescent="0.25">
      <c r="A6" s="23"/>
      <c r="B6" s="24"/>
      <c r="C6" s="24"/>
      <c r="D6" s="25"/>
      <c r="E6" s="26"/>
      <c r="F6" s="27"/>
      <c r="G6" s="28"/>
      <c r="H6" s="27"/>
      <c r="I6" s="25"/>
      <c r="J6" s="29"/>
      <c r="K6" s="25"/>
      <c r="L6" s="25"/>
      <c r="M6" s="30"/>
      <c r="N6" s="25"/>
      <c r="O6" s="25"/>
      <c r="P6" s="31"/>
      <c r="Q6" s="32"/>
      <c r="R6" s="33"/>
      <c r="S6" s="34"/>
      <c r="T6" s="34"/>
      <c r="U6" s="25"/>
      <c r="V6" s="35"/>
      <c r="W6" s="35"/>
      <c r="X6" s="35"/>
      <c r="Y6" s="35"/>
      <c r="Z6" s="35"/>
      <c r="AA6" s="25"/>
      <c r="AB6" s="25"/>
      <c r="AC6" s="25"/>
      <c r="AD6" s="25"/>
      <c r="AE6" s="25"/>
      <c r="AF6" s="25"/>
      <c r="AG6" s="36"/>
      <c r="AH6" s="37"/>
      <c r="AI6" s="38"/>
      <c r="AJ6" s="39"/>
      <c r="AK6" s="40"/>
      <c r="AL6" s="40"/>
      <c r="AM6" s="40"/>
      <c r="AN6" s="40"/>
      <c r="AO6" s="41"/>
    </row>
    <row r="7" spans="1:41" s="51" customFormat="1" ht="15" customHeight="1" x14ac:dyDescent="0.25">
      <c r="A7" s="42">
        <v>1</v>
      </c>
      <c r="B7" s="235">
        <v>46024</v>
      </c>
      <c r="C7" s="235" t="s">
        <v>184</v>
      </c>
      <c r="D7" s="236" t="s">
        <v>46</v>
      </c>
      <c r="E7" s="263" t="s">
        <v>47</v>
      </c>
      <c r="F7" s="70" t="s">
        <v>157</v>
      </c>
      <c r="G7" s="69"/>
      <c r="H7" s="70" t="s">
        <v>157</v>
      </c>
      <c r="I7" s="43" t="s">
        <v>50</v>
      </c>
      <c r="J7" s="238" t="s">
        <v>51</v>
      </c>
      <c r="K7" s="238"/>
      <c r="L7" s="238" t="s">
        <v>49</v>
      </c>
      <c r="M7" s="239">
        <v>46027</v>
      </c>
      <c r="N7" s="259">
        <f>1587000+100000</f>
        <v>1687000</v>
      </c>
      <c r="O7" s="240"/>
      <c r="P7" s="241" t="s">
        <v>112</v>
      </c>
      <c r="Q7" s="242">
        <v>46041</v>
      </c>
      <c r="R7" s="243"/>
      <c r="S7" s="211"/>
      <c r="T7" s="210"/>
      <c r="U7" s="208"/>
      <c r="V7" s="243">
        <v>770000</v>
      </c>
      <c r="W7" s="244"/>
      <c r="X7" s="44"/>
      <c r="Y7" s="44"/>
      <c r="Z7" s="44"/>
      <c r="AA7" s="44"/>
      <c r="AB7" s="44"/>
      <c r="AC7" s="44"/>
      <c r="AD7" s="44"/>
      <c r="AE7" s="45">
        <f t="shared" ref="AE7" si="0">SUM(V7:AD7)</f>
        <v>770000</v>
      </c>
      <c r="AF7" s="45">
        <f t="shared" ref="AF7" si="1">R7+AE7</f>
        <v>770000</v>
      </c>
      <c r="AG7" s="46">
        <f t="shared" ref="AG7" si="2">+(N7+O7)-AF7</f>
        <v>917000</v>
      </c>
      <c r="AH7" s="47"/>
      <c r="AI7" s="42"/>
      <c r="AJ7" s="48"/>
      <c r="AK7" s="49"/>
      <c r="AL7" s="49"/>
      <c r="AM7" s="49"/>
      <c r="AN7" s="49"/>
      <c r="AO7" s="50"/>
    </row>
    <row r="8" spans="1:41" s="51" customFormat="1" ht="15" customHeight="1" x14ac:dyDescent="0.25">
      <c r="A8" s="42">
        <v>2</v>
      </c>
      <c r="B8" s="235">
        <v>46024</v>
      </c>
      <c r="C8" s="235" t="s">
        <v>186</v>
      </c>
      <c r="D8" s="236" t="s">
        <v>46</v>
      </c>
      <c r="E8" s="263" t="s">
        <v>53</v>
      </c>
      <c r="F8" s="70" t="s">
        <v>157</v>
      </c>
      <c r="G8" s="69"/>
      <c r="H8" s="70" t="s">
        <v>157</v>
      </c>
      <c r="I8" s="43" t="s">
        <v>54</v>
      </c>
      <c r="J8" s="238" t="s">
        <v>54</v>
      </c>
      <c r="K8" s="238" t="s">
        <v>55</v>
      </c>
      <c r="L8" s="238" t="s">
        <v>56</v>
      </c>
      <c r="M8" s="245" t="s">
        <v>100</v>
      </c>
      <c r="N8" s="240"/>
      <c r="O8" s="258">
        <v>3645000</v>
      </c>
      <c r="P8" s="241" t="s">
        <v>112</v>
      </c>
      <c r="Q8" s="242">
        <v>46041</v>
      </c>
      <c r="R8" s="240">
        <v>2900000</v>
      </c>
      <c r="S8" s="211"/>
      <c r="T8" s="210"/>
      <c r="U8" s="208"/>
      <c r="V8" s="240"/>
      <c r="W8" s="244"/>
      <c r="X8" s="44"/>
      <c r="Y8" s="44"/>
      <c r="Z8" s="44"/>
      <c r="AA8" s="44"/>
      <c r="AB8" s="44"/>
      <c r="AC8" s="44"/>
      <c r="AD8" s="44"/>
      <c r="AE8" s="45">
        <f t="shared" ref="AE8:AE31" si="3">SUM(V8:AD8)</f>
        <v>0</v>
      </c>
      <c r="AF8" s="45">
        <f t="shared" ref="AF8:AF31" si="4">R8+AE8</f>
        <v>2900000</v>
      </c>
      <c r="AG8" s="46">
        <f t="shared" ref="AG8:AG31" si="5">+(N8+O8)-AF8</f>
        <v>745000</v>
      </c>
      <c r="AH8" s="47"/>
      <c r="AI8" s="42"/>
      <c r="AJ8" s="48"/>
      <c r="AK8" s="49"/>
      <c r="AL8" s="49"/>
      <c r="AM8" s="49"/>
      <c r="AN8" s="49"/>
      <c r="AO8" s="52"/>
    </row>
    <row r="9" spans="1:41" s="51" customFormat="1" ht="15" customHeight="1" x14ac:dyDescent="0.25">
      <c r="A9" s="42">
        <v>3</v>
      </c>
      <c r="B9" s="235">
        <v>46024</v>
      </c>
      <c r="C9" s="235" t="s">
        <v>185</v>
      </c>
      <c r="D9" s="236" t="s">
        <v>46</v>
      </c>
      <c r="E9" s="263" t="s">
        <v>53</v>
      </c>
      <c r="F9" s="70" t="s">
        <v>157</v>
      </c>
      <c r="G9" s="69"/>
      <c r="H9" s="70" t="s">
        <v>157</v>
      </c>
      <c r="I9" s="43" t="s">
        <v>54</v>
      </c>
      <c r="J9" s="43" t="s">
        <v>54</v>
      </c>
      <c r="K9" s="238" t="s">
        <v>55</v>
      </c>
      <c r="L9" s="238" t="s">
        <v>57</v>
      </c>
      <c r="M9" s="245" t="s">
        <v>100</v>
      </c>
      <c r="N9" s="240"/>
      <c r="O9" s="259">
        <f>1495*414</f>
        <v>618930</v>
      </c>
      <c r="P9" s="241" t="s">
        <v>112</v>
      </c>
      <c r="Q9" s="242">
        <v>46041</v>
      </c>
      <c r="R9" s="244">
        <v>500000</v>
      </c>
      <c r="S9" s="211"/>
      <c r="T9" s="210"/>
      <c r="U9" s="208"/>
      <c r="V9" s="244"/>
      <c r="W9" s="246"/>
      <c r="X9" s="53"/>
      <c r="Y9" s="53"/>
      <c r="Z9" s="53"/>
      <c r="AA9" s="53"/>
      <c r="AB9" s="53"/>
      <c r="AC9" s="53"/>
      <c r="AD9" s="54"/>
      <c r="AE9" s="45">
        <f t="shared" si="3"/>
        <v>0</v>
      </c>
      <c r="AF9" s="45">
        <f t="shared" si="4"/>
        <v>500000</v>
      </c>
      <c r="AG9" s="46">
        <f t="shared" si="5"/>
        <v>118930</v>
      </c>
      <c r="AH9" s="42"/>
      <c r="AI9" s="42"/>
      <c r="AJ9" s="55"/>
      <c r="AK9" s="56"/>
      <c r="AL9" s="56"/>
      <c r="AM9" s="56"/>
      <c r="AN9" s="56"/>
      <c r="AO9" s="52"/>
    </row>
    <row r="10" spans="1:41" s="51" customFormat="1" ht="15" customHeight="1" x14ac:dyDescent="0.25">
      <c r="A10" s="43">
        <v>8</v>
      </c>
      <c r="B10" s="235">
        <v>46026</v>
      </c>
      <c r="C10" s="235" t="s">
        <v>167</v>
      </c>
      <c r="D10" s="236" t="s">
        <v>84</v>
      </c>
      <c r="E10" s="263" t="s">
        <v>61</v>
      </c>
      <c r="F10" s="237" t="s">
        <v>157</v>
      </c>
      <c r="G10" s="69"/>
      <c r="H10" s="70" t="s">
        <v>157</v>
      </c>
      <c r="I10" s="43" t="s">
        <v>65</v>
      </c>
      <c r="J10" s="43" t="s">
        <v>66</v>
      </c>
      <c r="K10" s="238"/>
      <c r="L10" s="238" t="s">
        <v>49</v>
      </c>
      <c r="M10" s="245" t="s">
        <v>87</v>
      </c>
      <c r="N10" s="280">
        <v>3200000</v>
      </c>
      <c r="O10" s="240"/>
      <c r="P10" s="241" t="s">
        <v>127</v>
      </c>
      <c r="Q10" s="242"/>
      <c r="R10" s="244"/>
      <c r="S10" s="211"/>
      <c r="T10" s="210"/>
      <c r="U10" s="208"/>
      <c r="V10" s="244">
        <v>1900000</v>
      </c>
      <c r="W10" s="246"/>
      <c r="X10" s="53"/>
      <c r="Y10" s="53"/>
      <c r="Z10" s="53"/>
      <c r="AA10" s="53"/>
      <c r="AB10" s="53"/>
      <c r="AC10" s="53"/>
      <c r="AD10" s="53"/>
      <c r="AE10" s="45">
        <f t="shared" si="3"/>
        <v>1900000</v>
      </c>
      <c r="AF10" s="45">
        <f t="shared" si="4"/>
        <v>1900000</v>
      </c>
      <c r="AG10" s="46">
        <f t="shared" si="5"/>
        <v>1300000</v>
      </c>
      <c r="AH10" s="42"/>
      <c r="AI10" s="42"/>
      <c r="AJ10" s="57"/>
      <c r="AK10" s="58"/>
      <c r="AL10" s="58"/>
      <c r="AM10" s="58"/>
      <c r="AN10" s="58"/>
      <c r="AO10" s="52"/>
    </row>
    <row r="11" spans="1:41" s="51" customFormat="1" ht="15" customHeight="1" x14ac:dyDescent="0.25">
      <c r="A11" s="43">
        <v>9</v>
      </c>
      <c r="B11" s="235">
        <v>46026</v>
      </c>
      <c r="C11" s="235" t="s">
        <v>168</v>
      </c>
      <c r="D11" s="236" t="s">
        <v>84</v>
      </c>
      <c r="E11" s="263" t="s">
        <v>82</v>
      </c>
      <c r="F11" s="237" t="s">
        <v>157</v>
      </c>
      <c r="G11" s="69"/>
      <c r="H11" s="70" t="s">
        <v>157</v>
      </c>
      <c r="I11" s="43" t="s">
        <v>48</v>
      </c>
      <c r="J11" s="43" t="s">
        <v>83</v>
      </c>
      <c r="K11" s="238"/>
      <c r="L11" s="238" t="s">
        <v>49</v>
      </c>
      <c r="M11" s="245" t="s">
        <v>88</v>
      </c>
      <c r="N11" s="280">
        <v>2000000</v>
      </c>
      <c r="O11" s="240"/>
      <c r="P11" s="241" t="s">
        <v>128</v>
      </c>
      <c r="Q11" s="242"/>
      <c r="R11" s="244"/>
      <c r="S11" s="211"/>
      <c r="T11" s="210"/>
      <c r="U11" s="208"/>
      <c r="V11" s="244">
        <v>1100000</v>
      </c>
      <c r="W11" s="246"/>
      <c r="X11" s="53"/>
      <c r="Y11" s="53"/>
      <c r="Z11" s="53"/>
      <c r="AA11" s="53"/>
      <c r="AB11" s="53"/>
      <c r="AC11" s="53"/>
      <c r="AD11" s="53"/>
      <c r="AE11" s="45">
        <f t="shared" si="3"/>
        <v>1100000</v>
      </c>
      <c r="AF11" s="45">
        <f t="shared" si="4"/>
        <v>1100000</v>
      </c>
      <c r="AG11" s="46">
        <f t="shared" si="5"/>
        <v>900000</v>
      </c>
      <c r="AH11" s="42"/>
      <c r="AI11" s="42"/>
      <c r="AJ11" s="57"/>
      <c r="AK11" s="58"/>
      <c r="AL11" s="58"/>
      <c r="AM11" s="58"/>
      <c r="AN11" s="58"/>
      <c r="AO11" s="52"/>
    </row>
    <row r="12" spans="1:41" s="51" customFormat="1" ht="15" customHeight="1" x14ac:dyDescent="0.25">
      <c r="A12" s="43">
        <v>10</v>
      </c>
      <c r="B12" s="235">
        <v>46026</v>
      </c>
      <c r="C12" s="235" t="s">
        <v>159</v>
      </c>
      <c r="D12" s="236" t="s">
        <v>68</v>
      </c>
      <c r="E12" s="267" t="s">
        <v>60</v>
      </c>
      <c r="F12" s="237" t="s">
        <v>157</v>
      </c>
      <c r="G12" s="214"/>
      <c r="H12" s="70" t="s">
        <v>157</v>
      </c>
      <c r="I12" s="43" t="s">
        <v>86</v>
      </c>
      <c r="J12" s="43" t="s">
        <v>54</v>
      </c>
      <c r="K12" s="238" t="s">
        <v>55</v>
      </c>
      <c r="L12" s="238" t="s">
        <v>56</v>
      </c>
      <c r="M12" s="245" t="s">
        <v>147</v>
      </c>
      <c r="N12" s="240"/>
      <c r="O12" s="240">
        <v>7500000</v>
      </c>
      <c r="P12" s="248"/>
      <c r="Q12" s="242"/>
      <c r="R12" s="246">
        <v>6000000</v>
      </c>
      <c r="S12" s="211"/>
      <c r="T12" s="210"/>
      <c r="U12" s="208"/>
      <c r="V12" s="244"/>
      <c r="W12" s="246"/>
      <c r="X12" s="53"/>
      <c r="Y12" s="53"/>
      <c r="Z12" s="53"/>
      <c r="AA12" s="53"/>
      <c r="AB12" s="53"/>
      <c r="AC12" s="53"/>
      <c r="AD12" s="54"/>
      <c r="AE12" s="45">
        <f t="shared" si="3"/>
        <v>0</v>
      </c>
      <c r="AF12" s="45">
        <f t="shared" si="4"/>
        <v>6000000</v>
      </c>
      <c r="AG12" s="46">
        <f t="shared" si="5"/>
        <v>1500000</v>
      </c>
      <c r="AH12" s="42"/>
      <c r="AI12" s="42"/>
      <c r="AJ12" s="57"/>
      <c r="AK12" s="58"/>
      <c r="AL12" s="58"/>
      <c r="AM12" s="58"/>
      <c r="AN12" s="58"/>
      <c r="AO12" s="50"/>
    </row>
    <row r="13" spans="1:41" s="51" customFormat="1" ht="15" customHeight="1" x14ac:dyDescent="0.25">
      <c r="A13" s="43">
        <v>11</v>
      </c>
      <c r="B13" s="235">
        <v>46027</v>
      </c>
      <c r="C13" s="235" t="s">
        <v>188</v>
      </c>
      <c r="D13" s="236" t="s">
        <v>46</v>
      </c>
      <c r="E13" s="265" t="s">
        <v>47</v>
      </c>
      <c r="F13" s="70" t="s">
        <v>157</v>
      </c>
      <c r="G13" s="69"/>
      <c r="H13" s="70" t="s">
        <v>157</v>
      </c>
      <c r="I13" s="43" t="s">
        <v>50</v>
      </c>
      <c r="J13" s="43" t="s">
        <v>51</v>
      </c>
      <c r="K13" s="238"/>
      <c r="L13" s="238" t="s">
        <v>56</v>
      </c>
      <c r="M13" s="245" t="s">
        <v>98</v>
      </c>
      <c r="N13" s="259">
        <f>920000+50000</f>
        <v>970000</v>
      </c>
      <c r="O13" s="240"/>
      <c r="P13" s="241" t="s">
        <v>112</v>
      </c>
      <c r="Q13" s="242">
        <v>46041</v>
      </c>
      <c r="R13" s="243"/>
      <c r="S13" s="210"/>
      <c r="T13" s="210"/>
      <c r="U13" s="208"/>
      <c r="V13" s="246">
        <v>570000</v>
      </c>
      <c r="W13" s="246"/>
      <c r="X13" s="53"/>
      <c r="Y13" s="53"/>
      <c r="Z13" s="53"/>
      <c r="AA13" s="53"/>
      <c r="AB13" s="53"/>
      <c r="AC13" s="53"/>
      <c r="AD13" s="53"/>
      <c r="AE13" s="45">
        <f t="shared" si="3"/>
        <v>570000</v>
      </c>
      <c r="AF13" s="45">
        <f t="shared" si="4"/>
        <v>570000</v>
      </c>
      <c r="AG13" s="46">
        <f t="shared" si="5"/>
        <v>400000</v>
      </c>
      <c r="AH13" s="42"/>
      <c r="AI13" s="42"/>
      <c r="AJ13" s="57"/>
      <c r="AK13" s="58"/>
      <c r="AL13" s="58"/>
      <c r="AM13" s="58"/>
      <c r="AN13" s="58"/>
      <c r="AO13" s="52"/>
    </row>
    <row r="14" spans="1:41" s="51" customFormat="1" ht="15" customHeight="1" x14ac:dyDescent="0.25">
      <c r="A14" s="43">
        <v>12</v>
      </c>
      <c r="B14" s="235">
        <v>46027</v>
      </c>
      <c r="C14" s="235" t="s">
        <v>187</v>
      </c>
      <c r="D14" s="236" t="s">
        <v>46</v>
      </c>
      <c r="E14" s="264" t="s">
        <v>61</v>
      </c>
      <c r="F14" s="70" t="s">
        <v>157</v>
      </c>
      <c r="G14" s="69"/>
      <c r="H14" s="70" t="s">
        <v>157</v>
      </c>
      <c r="I14" s="43" t="s">
        <v>50</v>
      </c>
      <c r="J14" s="43" t="s">
        <v>51</v>
      </c>
      <c r="K14" s="238"/>
      <c r="L14" s="238" t="s">
        <v>52</v>
      </c>
      <c r="M14" s="245" t="s">
        <v>98</v>
      </c>
      <c r="N14" s="259">
        <v>1725000</v>
      </c>
      <c r="O14" s="240"/>
      <c r="P14" s="241" t="s">
        <v>112</v>
      </c>
      <c r="Q14" s="242">
        <v>46041</v>
      </c>
      <c r="R14" s="243"/>
      <c r="S14" s="211"/>
      <c r="T14" s="210"/>
      <c r="U14" s="208"/>
      <c r="V14" s="244">
        <v>1100000</v>
      </c>
      <c r="W14" s="246"/>
      <c r="X14" s="53"/>
      <c r="Y14" s="53"/>
      <c r="Z14" s="53"/>
      <c r="AA14" s="53"/>
      <c r="AB14" s="53"/>
      <c r="AC14" s="53"/>
      <c r="AD14" s="53"/>
      <c r="AE14" s="45">
        <f t="shared" si="3"/>
        <v>1100000</v>
      </c>
      <c r="AF14" s="45">
        <f t="shared" si="4"/>
        <v>1100000</v>
      </c>
      <c r="AG14" s="46">
        <f t="shared" si="5"/>
        <v>625000</v>
      </c>
      <c r="AH14" s="42"/>
      <c r="AI14" s="42"/>
      <c r="AJ14" s="57"/>
      <c r="AK14" s="58"/>
      <c r="AL14" s="58"/>
      <c r="AM14" s="58"/>
      <c r="AN14" s="58"/>
      <c r="AO14" s="52"/>
    </row>
    <row r="15" spans="1:41" s="51" customFormat="1" ht="15" customHeight="1" x14ac:dyDescent="0.25">
      <c r="A15" s="43">
        <v>13</v>
      </c>
      <c r="B15" s="235">
        <v>46027</v>
      </c>
      <c r="C15" s="235" t="s">
        <v>169</v>
      </c>
      <c r="D15" s="236" t="s">
        <v>84</v>
      </c>
      <c r="E15" s="265" t="s">
        <v>67</v>
      </c>
      <c r="F15" s="237" t="s">
        <v>157</v>
      </c>
      <c r="G15" s="69"/>
      <c r="H15" s="70" t="s">
        <v>157</v>
      </c>
      <c r="I15" s="43" t="s">
        <v>48</v>
      </c>
      <c r="J15" s="43" t="s">
        <v>83</v>
      </c>
      <c r="K15" s="238"/>
      <c r="L15" s="238" t="s">
        <v>49</v>
      </c>
      <c r="M15" s="245" t="s">
        <v>87</v>
      </c>
      <c r="N15" s="280">
        <v>2300000</v>
      </c>
      <c r="O15" s="240"/>
      <c r="P15" s="241" t="s">
        <v>129</v>
      </c>
      <c r="Q15" s="242"/>
      <c r="R15" s="240"/>
      <c r="S15" s="211"/>
      <c r="T15" s="210"/>
      <c r="U15" s="208"/>
      <c r="V15" s="244">
        <v>1200000</v>
      </c>
      <c r="W15" s="246"/>
      <c r="X15" s="53"/>
      <c r="Y15" s="53"/>
      <c r="Z15" s="53"/>
      <c r="AA15" s="53"/>
      <c r="AB15" s="53"/>
      <c r="AC15" s="53"/>
      <c r="AD15" s="53"/>
      <c r="AE15" s="45">
        <f t="shared" si="3"/>
        <v>1200000</v>
      </c>
      <c r="AF15" s="45">
        <f t="shared" si="4"/>
        <v>1200000</v>
      </c>
      <c r="AG15" s="46">
        <f t="shared" si="5"/>
        <v>1100000</v>
      </c>
      <c r="AH15" s="42"/>
      <c r="AI15" s="42"/>
      <c r="AJ15" s="57"/>
      <c r="AK15" s="58"/>
      <c r="AL15" s="58"/>
      <c r="AM15" s="58"/>
      <c r="AN15" s="58"/>
      <c r="AO15" s="52"/>
    </row>
    <row r="16" spans="1:41" s="51" customFormat="1" ht="15" customHeight="1" x14ac:dyDescent="0.25">
      <c r="A16" s="43">
        <v>14</v>
      </c>
      <c r="B16" s="235">
        <v>46027</v>
      </c>
      <c r="C16" s="235" t="s">
        <v>160</v>
      </c>
      <c r="D16" s="236" t="s">
        <v>68</v>
      </c>
      <c r="E16" s="265" t="s">
        <v>60</v>
      </c>
      <c r="F16" s="237" t="s">
        <v>157</v>
      </c>
      <c r="G16" s="69"/>
      <c r="H16" s="70" t="s">
        <v>157</v>
      </c>
      <c r="I16" s="43" t="s">
        <v>85</v>
      </c>
      <c r="J16" s="43" t="s">
        <v>54</v>
      </c>
      <c r="K16" s="43" t="s">
        <v>55</v>
      </c>
      <c r="L16" s="238" t="s">
        <v>56</v>
      </c>
      <c r="M16" s="245" t="s">
        <v>148</v>
      </c>
      <c r="N16" s="240"/>
      <c r="O16" s="240">
        <v>7500000</v>
      </c>
      <c r="P16" s="248"/>
      <c r="Q16" s="242"/>
      <c r="R16" s="243">
        <v>5800000</v>
      </c>
      <c r="S16" s="208"/>
      <c r="T16" s="208"/>
      <c r="U16" s="208"/>
      <c r="V16" s="246"/>
      <c r="W16" s="246"/>
      <c r="X16" s="53"/>
      <c r="Y16" s="53"/>
      <c r="Z16" s="53"/>
      <c r="AA16" s="53"/>
      <c r="AB16" s="53"/>
      <c r="AC16" s="53"/>
      <c r="AD16" s="53"/>
      <c r="AE16" s="45">
        <f t="shared" si="3"/>
        <v>0</v>
      </c>
      <c r="AF16" s="45">
        <f t="shared" si="4"/>
        <v>5800000</v>
      </c>
      <c r="AG16" s="46">
        <f t="shared" si="5"/>
        <v>1700000</v>
      </c>
      <c r="AH16" s="42"/>
      <c r="AI16" s="42"/>
      <c r="AJ16" s="57"/>
      <c r="AK16" s="58"/>
      <c r="AL16" s="58"/>
      <c r="AM16" s="58"/>
      <c r="AN16" s="58"/>
      <c r="AO16" s="52"/>
    </row>
    <row r="17" spans="1:41" s="51" customFormat="1" ht="15" customHeight="1" x14ac:dyDescent="0.25">
      <c r="A17" s="43">
        <v>26</v>
      </c>
      <c r="B17" s="235">
        <v>46029</v>
      </c>
      <c r="C17" s="235" t="s">
        <v>189</v>
      </c>
      <c r="D17" s="250" t="s">
        <v>46</v>
      </c>
      <c r="E17" s="265" t="s">
        <v>62</v>
      </c>
      <c r="F17" s="70" t="s">
        <v>157</v>
      </c>
      <c r="G17" s="69"/>
      <c r="H17" s="70" t="s">
        <v>157</v>
      </c>
      <c r="I17" s="251" t="s">
        <v>50</v>
      </c>
      <c r="J17" s="251" t="s">
        <v>51</v>
      </c>
      <c r="K17" s="251"/>
      <c r="L17" s="252" t="s">
        <v>49</v>
      </c>
      <c r="M17" s="245" t="s">
        <v>98</v>
      </c>
      <c r="N17" s="259">
        <f>1524000+100000</f>
        <v>1624000</v>
      </c>
      <c r="O17" s="240"/>
      <c r="P17" s="241" t="s">
        <v>112</v>
      </c>
      <c r="Q17" s="242">
        <v>46041</v>
      </c>
      <c r="R17" s="246"/>
      <c r="S17" s="208"/>
      <c r="T17" s="208"/>
      <c r="U17" s="208"/>
      <c r="V17" s="246">
        <v>450000</v>
      </c>
      <c r="W17" s="246"/>
      <c r="X17" s="63"/>
      <c r="Y17" s="63"/>
      <c r="Z17" s="63"/>
      <c r="AA17" s="63"/>
      <c r="AB17" s="63"/>
      <c r="AC17" s="63"/>
      <c r="AD17" s="64"/>
      <c r="AE17" s="45">
        <f t="shared" si="3"/>
        <v>450000</v>
      </c>
      <c r="AF17" s="45">
        <f t="shared" si="4"/>
        <v>450000</v>
      </c>
      <c r="AG17" s="46">
        <f t="shared" si="5"/>
        <v>1174000</v>
      </c>
      <c r="AH17" s="65"/>
      <c r="AI17" s="65"/>
      <c r="AJ17" s="66"/>
      <c r="AK17" s="67"/>
      <c r="AL17" s="67"/>
      <c r="AM17" s="67"/>
      <c r="AN17" s="67"/>
      <c r="AO17" s="52"/>
    </row>
    <row r="18" spans="1:41" s="51" customFormat="1" ht="15" customHeight="1" x14ac:dyDescent="0.25">
      <c r="A18" s="43">
        <v>27</v>
      </c>
      <c r="B18" s="235">
        <v>46029</v>
      </c>
      <c r="C18" s="235" t="s">
        <v>165</v>
      </c>
      <c r="D18" s="250" t="s">
        <v>89</v>
      </c>
      <c r="E18" s="269" t="s">
        <v>90</v>
      </c>
      <c r="F18" s="257" t="s">
        <v>157</v>
      </c>
      <c r="G18" s="69"/>
      <c r="H18" s="70" t="s">
        <v>157</v>
      </c>
      <c r="I18" s="251" t="s">
        <v>65</v>
      </c>
      <c r="J18" s="251" t="s">
        <v>66</v>
      </c>
      <c r="K18" s="251"/>
      <c r="L18" s="252" t="s">
        <v>56</v>
      </c>
      <c r="M18" s="245" t="s">
        <v>101</v>
      </c>
      <c r="N18" s="240">
        <v>950000</v>
      </c>
      <c r="O18" s="240"/>
      <c r="P18" s="248"/>
      <c r="Q18" s="249"/>
      <c r="R18" s="246"/>
      <c r="S18" s="208"/>
      <c r="T18" s="208"/>
      <c r="U18" s="208"/>
      <c r="V18" s="246">
        <v>570000</v>
      </c>
      <c r="W18" s="246"/>
      <c r="X18" s="63"/>
      <c r="Y18" s="63"/>
      <c r="Z18" s="63"/>
      <c r="AA18" s="63"/>
      <c r="AB18" s="63"/>
      <c r="AC18" s="63"/>
      <c r="AD18" s="64"/>
      <c r="AE18" s="45">
        <f t="shared" si="3"/>
        <v>570000</v>
      </c>
      <c r="AF18" s="45">
        <f t="shared" si="4"/>
        <v>570000</v>
      </c>
      <c r="AG18" s="46">
        <f t="shared" si="5"/>
        <v>380000</v>
      </c>
      <c r="AH18" s="65"/>
      <c r="AI18" s="65"/>
      <c r="AJ18" s="66"/>
      <c r="AK18" s="67"/>
      <c r="AL18" s="67"/>
      <c r="AM18" s="67"/>
      <c r="AN18" s="67"/>
      <c r="AO18" s="52"/>
    </row>
    <row r="19" spans="1:41" s="51" customFormat="1" ht="15" customHeight="1" x14ac:dyDescent="0.25">
      <c r="A19" s="43">
        <v>36</v>
      </c>
      <c r="B19" s="235">
        <v>46029</v>
      </c>
      <c r="C19" s="235" t="s">
        <v>170</v>
      </c>
      <c r="D19" s="236" t="s">
        <v>84</v>
      </c>
      <c r="E19" s="268" t="s">
        <v>92</v>
      </c>
      <c r="F19" s="237" t="s">
        <v>157</v>
      </c>
      <c r="G19" s="69"/>
      <c r="H19" s="220" t="s">
        <v>157</v>
      </c>
      <c r="I19" s="43" t="s">
        <v>48</v>
      </c>
      <c r="J19" s="43" t="s">
        <v>83</v>
      </c>
      <c r="K19" s="238"/>
      <c r="L19" s="238" t="s">
        <v>49</v>
      </c>
      <c r="M19" s="245" t="s">
        <v>99</v>
      </c>
      <c r="N19" s="280">
        <v>3000000</v>
      </c>
      <c r="O19" s="240"/>
      <c r="P19" s="241" t="s">
        <v>130</v>
      </c>
      <c r="Q19" s="249"/>
      <c r="R19" s="243"/>
      <c r="S19" s="211"/>
      <c r="T19" s="210"/>
      <c r="U19" s="208"/>
      <c r="V19" s="244">
        <v>1700000</v>
      </c>
      <c r="W19" s="244"/>
      <c r="X19" s="44"/>
      <c r="Y19" s="44"/>
      <c r="Z19" s="44"/>
      <c r="AA19" s="44"/>
      <c r="AB19" s="53"/>
      <c r="AC19" s="53"/>
      <c r="AD19" s="53"/>
      <c r="AE19" s="45">
        <f t="shared" si="3"/>
        <v>1700000</v>
      </c>
      <c r="AF19" s="45">
        <f t="shared" si="4"/>
        <v>1700000</v>
      </c>
      <c r="AG19" s="46">
        <f t="shared" si="5"/>
        <v>1300000</v>
      </c>
      <c r="AH19" s="42"/>
      <c r="AI19" s="42"/>
      <c r="AJ19" s="57"/>
      <c r="AK19" s="58"/>
      <c r="AL19" s="58"/>
      <c r="AM19" s="58"/>
      <c r="AN19" s="58"/>
      <c r="AO19" s="52"/>
    </row>
    <row r="20" spans="1:41" s="51" customFormat="1" ht="15" customHeight="1" x14ac:dyDescent="0.25">
      <c r="A20" s="43">
        <v>37</v>
      </c>
      <c r="B20" s="235">
        <v>46029</v>
      </c>
      <c r="C20" s="235" t="s">
        <v>171</v>
      </c>
      <c r="D20" s="236" t="s">
        <v>84</v>
      </c>
      <c r="E20" s="265" t="s">
        <v>92</v>
      </c>
      <c r="F20" s="237" t="s">
        <v>157</v>
      </c>
      <c r="G20" s="69"/>
      <c r="H20" s="70" t="s">
        <v>157</v>
      </c>
      <c r="I20" s="43" t="s">
        <v>65</v>
      </c>
      <c r="J20" s="43" t="s">
        <v>66</v>
      </c>
      <c r="K20" s="43"/>
      <c r="L20" s="238" t="s">
        <v>49</v>
      </c>
      <c r="M20" s="239" t="s">
        <v>102</v>
      </c>
      <c r="N20" s="280">
        <v>3000000</v>
      </c>
      <c r="O20" s="240"/>
      <c r="P20" s="241" t="s">
        <v>131</v>
      </c>
      <c r="Q20" s="249"/>
      <c r="R20" s="244"/>
      <c r="S20" s="211"/>
      <c r="T20" s="210"/>
      <c r="U20" s="208"/>
      <c r="V20" s="244">
        <v>1700000</v>
      </c>
      <c r="W20" s="244"/>
      <c r="X20" s="44"/>
      <c r="Y20" s="44"/>
      <c r="Z20" s="44"/>
      <c r="AA20" s="44"/>
      <c r="AB20" s="53"/>
      <c r="AC20" s="53"/>
      <c r="AD20" s="53"/>
      <c r="AE20" s="45">
        <f t="shared" si="3"/>
        <v>1700000</v>
      </c>
      <c r="AF20" s="45">
        <f t="shared" si="4"/>
        <v>1700000</v>
      </c>
      <c r="AG20" s="46">
        <f t="shared" si="5"/>
        <v>1300000</v>
      </c>
      <c r="AH20" s="42"/>
      <c r="AI20" s="42"/>
      <c r="AJ20" s="57"/>
      <c r="AK20" s="58"/>
      <c r="AL20" s="58"/>
      <c r="AM20" s="58"/>
      <c r="AN20" s="58"/>
      <c r="AO20" s="52"/>
    </row>
    <row r="21" spans="1:41" s="51" customFormat="1" ht="15" customHeight="1" x14ac:dyDescent="0.25">
      <c r="A21" s="43">
        <v>38</v>
      </c>
      <c r="B21" s="235">
        <v>46030</v>
      </c>
      <c r="C21" s="235" t="s">
        <v>192</v>
      </c>
      <c r="D21" s="236" t="s">
        <v>46</v>
      </c>
      <c r="E21" s="265" t="s">
        <v>93</v>
      </c>
      <c r="F21" s="70" t="s">
        <v>157</v>
      </c>
      <c r="G21" s="69"/>
      <c r="H21" s="70" t="s">
        <v>157</v>
      </c>
      <c r="I21" s="43" t="s">
        <v>50</v>
      </c>
      <c r="J21" s="43" t="s">
        <v>51</v>
      </c>
      <c r="K21" s="43"/>
      <c r="L21" s="238" t="s">
        <v>56</v>
      </c>
      <c r="M21" s="239" t="s">
        <v>111</v>
      </c>
      <c r="N21" s="259">
        <v>920000</v>
      </c>
      <c r="O21" s="240"/>
      <c r="P21" s="241" t="s">
        <v>112</v>
      </c>
      <c r="Q21" s="242">
        <v>46041</v>
      </c>
      <c r="R21" s="246"/>
      <c r="S21" s="211"/>
      <c r="T21" s="210"/>
      <c r="U21" s="208"/>
      <c r="V21" s="244">
        <v>670000</v>
      </c>
      <c r="W21" s="244"/>
      <c r="X21" s="44"/>
      <c r="Y21" s="44"/>
      <c r="Z21" s="44"/>
      <c r="AA21" s="44"/>
      <c r="AB21" s="53"/>
      <c r="AC21" s="53"/>
      <c r="AD21" s="53"/>
      <c r="AE21" s="45">
        <f t="shared" si="3"/>
        <v>670000</v>
      </c>
      <c r="AF21" s="45">
        <f t="shared" si="4"/>
        <v>670000</v>
      </c>
      <c r="AG21" s="46">
        <f t="shared" si="5"/>
        <v>250000</v>
      </c>
      <c r="AH21" s="42"/>
      <c r="AI21" s="42"/>
      <c r="AJ21" s="57"/>
      <c r="AK21" s="58"/>
      <c r="AL21" s="58"/>
      <c r="AM21" s="58"/>
      <c r="AN21" s="58"/>
      <c r="AO21" s="52"/>
    </row>
    <row r="22" spans="1:41" s="51" customFormat="1" ht="15" customHeight="1" x14ac:dyDescent="0.25">
      <c r="A22" s="43">
        <v>39</v>
      </c>
      <c r="B22" s="235">
        <v>46030</v>
      </c>
      <c r="C22" s="235" t="s">
        <v>191</v>
      </c>
      <c r="D22" s="236" t="s">
        <v>46</v>
      </c>
      <c r="E22" s="265" t="s">
        <v>82</v>
      </c>
      <c r="F22" s="70" t="s">
        <v>157</v>
      </c>
      <c r="G22" s="69"/>
      <c r="H22" s="70" t="s">
        <v>157</v>
      </c>
      <c r="I22" s="43" t="s">
        <v>50</v>
      </c>
      <c r="J22" s="43" t="s">
        <v>51</v>
      </c>
      <c r="K22" s="43"/>
      <c r="L22" s="238" t="s">
        <v>49</v>
      </c>
      <c r="M22" s="239" t="s">
        <v>110</v>
      </c>
      <c r="N22" s="259">
        <f>1524000+66500</f>
        <v>1590500</v>
      </c>
      <c r="O22" s="240"/>
      <c r="P22" s="241" t="s">
        <v>112</v>
      </c>
      <c r="Q22" s="242">
        <v>46041</v>
      </c>
      <c r="R22" s="246"/>
      <c r="S22" s="211"/>
      <c r="T22" s="210"/>
      <c r="U22" s="208"/>
      <c r="V22" s="244">
        <v>500000</v>
      </c>
      <c r="W22" s="244"/>
      <c r="X22" s="44"/>
      <c r="Y22" s="44"/>
      <c r="Z22" s="44"/>
      <c r="AA22" s="44"/>
      <c r="AB22" s="53"/>
      <c r="AC22" s="53"/>
      <c r="AD22" s="53"/>
      <c r="AE22" s="45">
        <f t="shared" si="3"/>
        <v>500000</v>
      </c>
      <c r="AF22" s="45">
        <f t="shared" si="4"/>
        <v>500000</v>
      </c>
      <c r="AG22" s="46">
        <f t="shared" si="5"/>
        <v>1090500</v>
      </c>
      <c r="AH22" s="42"/>
      <c r="AI22" s="42"/>
      <c r="AJ22" s="57"/>
      <c r="AK22" s="58"/>
      <c r="AL22" s="58"/>
      <c r="AM22" s="58"/>
      <c r="AN22" s="58"/>
      <c r="AO22" s="52"/>
    </row>
    <row r="23" spans="1:41" s="51" customFormat="1" ht="15" customHeight="1" x14ac:dyDescent="0.25">
      <c r="A23" s="43">
        <v>40</v>
      </c>
      <c r="B23" s="235">
        <v>46030</v>
      </c>
      <c r="C23" s="235" t="s">
        <v>190</v>
      </c>
      <c r="D23" s="236" t="s">
        <v>46</v>
      </c>
      <c r="E23" s="265" t="s">
        <v>53</v>
      </c>
      <c r="F23" s="70" t="s">
        <v>157</v>
      </c>
      <c r="G23" s="69"/>
      <c r="H23" s="70" t="s">
        <v>157</v>
      </c>
      <c r="I23" s="43" t="s">
        <v>54</v>
      </c>
      <c r="J23" s="43" t="s">
        <v>54</v>
      </c>
      <c r="K23" s="43" t="s">
        <v>55</v>
      </c>
      <c r="L23" s="238" t="s">
        <v>57</v>
      </c>
      <c r="M23" s="239">
        <v>46037</v>
      </c>
      <c r="N23" s="240"/>
      <c r="O23" s="259">
        <f>1150*2000</f>
        <v>2300000</v>
      </c>
      <c r="P23" s="241" t="s">
        <v>112</v>
      </c>
      <c r="Q23" s="242">
        <v>46041</v>
      </c>
      <c r="R23" s="244">
        <v>1650000</v>
      </c>
      <c r="S23" s="210"/>
      <c r="T23" s="210"/>
      <c r="U23" s="208"/>
      <c r="V23" s="244"/>
      <c r="W23" s="244"/>
      <c r="X23" s="44"/>
      <c r="Y23" s="44"/>
      <c r="Z23" s="44"/>
      <c r="AA23" s="44"/>
      <c r="AB23" s="53"/>
      <c r="AC23" s="53"/>
      <c r="AD23" s="53"/>
      <c r="AE23" s="45">
        <f t="shared" si="3"/>
        <v>0</v>
      </c>
      <c r="AF23" s="45">
        <f t="shared" si="4"/>
        <v>1650000</v>
      </c>
      <c r="AG23" s="46">
        <f t="shared" si="5"/>
        <v>650000</v>
      </c>
      <c r="AH23" s="42"/>
      <c r="AI23" s="42"/>
      <c r="AJ23" s="57"/>
      <c r="AK23" s="58"/>
      <c r="AL23" s="58"/>
      <c r="AM23" s="58"/>
      <c r="AN23" s="58"/>
      <c r="AO23" s="52"/>
    </row>
    <row r="24" spans="1:41" s="51" customFormat="1" ht="15" customHeight="1" x14ac:dyDescent="0.25">
      <c r="A24" s="43">
        <v>47</v>
      </c>
      <c r="B24" s="235">
        <v>46031</v>
      </c>
      <c r="C24" s="235" t="s">
        <v>195</v>
      </c>
      <c r="D24" s="236" t="s">
        <v>46</v>
      </c>
      <c r="E24" s="266" t="s">
        <v>96</v>
      </c>
      <c r="F24" s="70" t="s">
        <v>157</v>
      </c>
      <c r="G24" s="69"/>
      <c r="H24" s="70" t="s">
        <v>157</v>
      </c>
      <c r="I24" s="43" t="s">
        <v>54</v>
      </c>
      <c r="J24" s="43" t="s">
        <v>54</v>
      </c>
      <c r="K24" s="238" t="s">
        <v>58</v>
      </c>
      <c r="L24" s="238" t="s">
        <v>57</v>
      </c>
      <c r="M24" s="245" t="s">
        <v>119</v>
      </c>
      <c r="N24" s="240"/>
      <c r="O24" s="261">
        <f>1035*2000</f>
        <v>2070000</v>
      </c>
      <c r="P24" s="248" t="s">
        <v>113</v>
      </c>
      <c r="Q24" s="242">
        <v>46041</v>
      </c>
      <c r="R24" s="243">
        <v>1700000</v>
      </c>
      <c r="S24" s="210"/>
      <c r="T24" s="210"/>
      <c r="U24" s="208"/>
      <c r="V24" s="244"/>
      <c r="W24" s="246"/>
      <c r="X24" s="262"/>
      <c r="Y24" s="53"/>
      <c r="Z24" s="53"/>
      <c r="AA24" s="53"/>
      <c r="AB24" s="53"/>
      <c r="AC24" s="53"/>
      <c r="AD24" s="53"/>
      <c r="AE24" s="45">
        <f t="shared" si="3"/>
        <v>0</v>
      </c>
      <c r="AF24" s="45">
        <f t="shared" si="4"/>
        <v>1700000</v>
      </c>
      <c r="AG24" s="46">
        <f t="shared" si="5"/>
        <v>370000</v>
      </c>
      <c r="AH24" s="42"/>
      <c r="AI24" s="42"/>
      <c r="AJ24" s="57"/>
      <c r="AK24" s="58"/>
      <c r="AL24" s="58"/>
      <c r="AM24" s="58"/>
      <c r="AN24" s="58"/>
      <c r="AO24" s="52"/>
    </row>
    <row r="25" spans="1:41" s="51" customFormat="1" ht="15" customHeight="1" x14ac:dyDescent="0.25">
      <c r="A25" s="43">
        <v>49</v>
      </c>
      <c r="B25" s="235">
        <v>46031</v>
      </c>
      <c r="C25" s="235" t="s">
        <v>194</v>
      </c>
      <c r="D25" s="236" t="s">
        <v>46</v>
      </c>
      <c r="E25" s="265" t="s">
        <v>97</v>
      </c>
      <c r="F25" s="70" t="s">
        <v>157</v>
      </c>
      <c r="G25" s="69"/>
      <c r="H25" s="70" t="s">
        <v>157</v>
      </c>
      <c r="I25" s="43" t="s">
        <v>54</v>
      </c>
      <c r="J25" s="43" t="s">
        <v>54</v>
      </c>
      <c r="K25" s="43" t="s">
        <v>58</v>
      </c>
      <c r="L25" s="238" t="s">
        <v>57</v>
      </c>
      <c r="M25" s="245" t="s">
        <v>119</v>
      </c>
      <c r="N25" s="240"/>
      <c r="O25" s="261">
        <f>1650*950</f>
        <v>1567500</v>
      </c>
      <c r="P25" s="248" t="s">
        <v>113</v>
      </c>
      <c r="Q25" s="242">
        <v>46041</v>
      </c>
      <c r="R25" s="240">
        <v>1350000</v>
      </c>
      <c r="S25" s="208"/>
      <c r="T25" s="208"/>
      <c r="U25" s="208"/>
      <c r="V25" s="246"/>
      <c r="W25" s="246"/>
      <c r="X25" s="262"/>
      <c r="Y25" s="53"/>
      <c r="Z25" s="53"/>
      <c r="AA25" s="53"/>
      <c r="AB25" s="53"/>
      <c r="AC25" s="53"/>
      <c r="AD25" s="53"/>
      <c r="AE25" s="45">
        <f t="shared" si="3"/>
        <v>0</v>
      </c>
      <c r="AF25" s="45">
        <f t="shared" si="4"/>
        <v>1350000</v>
      </c>
      <c r="AG25" s="46">
        <f t="shared" si="5"/>
        <v>217500</v>
      </c>
      <c r="AH25" s="42"/>
      <c r="AI25" s="42"/>
      <c r="AJ25" s="57"/>
      <c r="AK25" s="58"/>
      <c r="AL25" s="58"/>
      <c r="AM25" s="58"/>
      <c r="AN25" s="58"/>
      <c r="AO25" s="52"/>
    </row>
    <row r="26" spans="1:41" s="51" customFormat="1" ht="15" customHeight="1" x14ac:dyDescent="0.25">
      <c r="A26" s="43">
        <v>50</v>
      </c>
      <c r="B26" s="235">
        <v>46031</v>
      </c>
      <c r="C26" s="235" t="s">
        <v>193</v>
      </c>
      <c r="D26" s="236" t="s">
        <v>46</v>
      </c>
      <c r="E26" s="265" t="s">
        <v>59</v>
      </c>
      <c r="F26" s="70" t="s">
        <v>157</v>
      </c>
      <c r="G26" s="69"/>
      <c r="H26" s="70" t="s">
        <v>157</v>
      </c>
      <c r="I26" s="43" t="s">
        <v>54</v>
      </c>
      <c r="J26" s="43" t="s">
        <v>54</v>
      </c>
      <c r="K26" s="43" t="s">
        <v>58</v>
      </c>
      <c r="L26" s="238" t="s">
        <v>57</v>
      </c>
      <c r="M26" s="260">
        <v>46037</v>
      </c>
      <c r="N26" s="240"/>
      <c r="O26" s="261">
        <f>300*920</f>
        <v>276000</v>
      </c>
      <c r="P26" s="248" t="s">
        <v>113</v>
      </c>
      <c r="Q26" s="242">
        <v>46041</v>
      </c>
      <c r="R26" s="244">
        <v>300000</v>
      </c>
      <c r="S26" s="208"/>
      <c r="T26" s="208"/>
      <c r="U26" s="208"/>
      <c r="V26" s="246"/>
      <c r="W26" s="246"/>
      <c r="X26" s="262"/>
      <c r="Y26" s="53"/>
      <c r="Z26" s="53"/>
      <c r="AA26" s="53"/>
      <c r="AB26" s="53"/>
      <c r="AC26" s="53"/>
      <c r="AD26" s="53"/>
      <c r="AE26" s="45">
        <f t="shared" si="3"/>
        <v>0</v>
      </c>
      <c r="AF26" s="45">
        <f t="shared" si="4"/>
        <v>300000</v>
      </c>
      <c r="AG26" s="46">
        <f t="shared" si="5"/>
        <v>-24000</v>
      </c>
      <c r="AH26" s="42"/>
      <c r="AI26" s="42"/>
      <c r="AJ26" s="57"/>
      <c r="AK26" s="58"/>
      <c r="AL26" s="58"/>
      <c r="AM26" s="58"/>
      <c r="AN26" s="58"/>
      <c r="AO26" s="52"/>
    </row>
    <row r="27" spans="1:41" s="51" customFormat="1" ht="15" customHeight="1" x14ac:dyDescent="0.25">
      <c r="A27" s="43">
        <v>58</v>
      </c>
      <c r="B27" s="235">
        <v>46033</v>
      </c>
      <c r="C27" s="235" t="s">
        <v>172</v>
      </c>
      <c r="D27" s="236" t="s">
        <v>84</v>
      </c>
      <c r="E27" s="254" t="s">
        <v>62</v>
      </c>
      <c r="F27" s="237" t="s">
        <v>157</v>
      </c>
      <c r="G27" s="69"/>
      <c r="H27" s="70" t="s">
        <v>158</v>
      </c>
      <c r="I27" s="43" t="s">
        <v>65</v>
      </c>
      <c r="J27" s="43" t="s">
        <v>66</v>
      </c>
      <c r="K27" s="238"/>
      <c r="L27" s="238" t="s">
        <v>49</v>
      </c>
      <c r="M27" s="260" t="s">
        <v>120</v>
      </c>
      <c r="N27" s="280">
        <v>2000000</v>
      </c>
      <c r="O27" s="240"/>
      <c r="P27" s="241" t="s">
        <v>132</v>
      </c>
      <c r="Q27" s="249"/>
      <c r="R27" s="243"/>
      <c r="S27" s="208"/>
      <c r="T27" s="208"/>
      <c r="U27" s="208"/>
      <c r="V27" s="246">
        <v>1100000</v>
      </c>
      <c r="W27" s="246"/>
      <c r="X27" s="53"/>
      <c r="Y27" s="53"/>
      <c r="Z27" s="53"/>
      <c r="AA27" s="53"/>
      <c r="AB27" s="53"/>
      <c r="AC27" s="53"/>
      <c r="AD27" s="53"/>
      <c r="AE27" s="45">
        <f t="shared" si="3"/>
        <v>1100000</v>
      </c>
      <c r="AF27" s="45">
        <f t="shared" si="4"/>
        <v>1100000</v>
      </c>
      <c r="AG27" s="46">
        <f t="shared" si="5"/>
        <v>900000</v>
      </c>
      <c r="AH27" s="42"/>
      <c r="AI27" s="42"/>
      <c r="AJ27" s="57"/>
      <c r="AK27" s="58"/>
      <c r="AL27" s="58"/>
      <c r="AM27" s="58"/>
      <c r="AN27" s="58"/>
      <c r="AO27" s="52"/>
    </row>
    <row r="28" spans="1:41" s="61" customFormat="1" ht="15" customHeight="1" x14ac:dyDescent="0.25">
      <c r="A28" s="43">
        <v>59</v>
      </c>
      <c r="B28" s="235">
        <v>46034</v>
      </c>
      <c r="C28" s="235" t="s">
        <v>198</v>
      </c>
      <c r="D28" s="236" t="s">
        <v>46</v>
      </c>
      <c r="E28" s="254" t="s">
        <v>53</v>
      </c>
      <c r="F28" s="70" t="s">
        <v>157</v>
      </c>
      <c r="G28" s="69"/>
      <c r="H28" s="70" t="s">
        <v>158</v>
      </c>
      <c r="I28" s="43" t="s">
        <v>95</v>
      </c>
      <c r="J28" s="43" t="s">
        <v>94</v>
      </c>
      <c r="K28" s="238"/>
      <c r="L28" s="238" t="s">
        <v>56</v>
      </c>
      <c r="M28" s="260">
        <v>46042</v>
      </c>
      <c r="N28" s="284">
        <v>3645000</v>
      </c>
      <c r="O28" s="240"/>
      <c r="P28" s="248" t="s">
        <v>145</v>
      </c>
      <c r="Q28" s="249"/>
      <c r="R28" s="246"/>
      <c r="S28" s="208"/>
      <c r="T28" s="208"/>
      <c r="U28" s="208"/>
      <c r="V28" s="246">
        <v>1950000</v>
      </c>
      <c r="W28" s="246"/>
      <c r="X28" s="53"/>
      <c r="Y28" s="53"/>
      <c r="Z28" s="53"/>
      <c r="AA28" s="53"/>
      <c r="AB28" s="53"/>
      <c r="AC28" s="53"/>
      <c r="AD28" s="53"/>
      <c r="AE28" s="45">
        <f t="shared" si="3"/>
        <v>1950000</v>
      </c>
      <c r="AF28" s="45">
        <f t="shared" si="4"/>
        <v>1950000</v>
      </c>
      <c r="AG28" s="46">
        <f t="shared" si="5"/>
        <v>1695000</v>
      </c>
      <c r="AH28" s="43"/>
      <c r="AI28" s="43"/>
      <c r="AJ28" s="59"/>
      <c r="AK28" s="60"/>
      <c r="AL28" s="60"/>
      <c r="AM28" s="60"/>
      <c r="AN28" s="60"/>
      <c r="AO28" s="52"/>
    </row>
    <row r="29" spans="1:41" s="51" customFormat="1" ht="15" customHeight="1" x14ac:dyDescent="0.25">
      <c r="A29" s="43">
        <v>60</v>
      </c>
      <c r="B29" s="235">
        <v>46034</v>
      </c>
      <c r="C29" s="235" t="s">
        <v>197</v>
      </c>
      <c r="D29" s="236" t="s">
        <v>46</v>
      </c>
      <c r="E29" s="255" t="s">
        <v>53</v>
      </c>
      <c r="F29" s="70" t="s">
        <v>157</v>
      </c>
      <c r="G29" s="69"/>
      <c r="H29" s="70" t="s">
        <v>158</v>
      </c>
      <c r="I29" s="43" t="s">
        <v>95</v>
      </c>
      <c r="J29" s="43" t="s">
        <v>94</v>
      </c>
      <c r="K29" s="238"/>
      <c r="L29" s="238" t="s">
        <v>57</v>
      </c>
      <c r="M29" s="260">
        <v>46042</v>
      </c>
      <c r="N29" s="284">
        <f>1495*360</f>
        <v>538200</v>
      </c>
      <c r="O29" s="240"/>
      <c r="P29" s="248" t="s">
        <v>145</v>
      </c>
      <c r="Q29" s="249"/>
      <c r="R29" s="246"/>
      <c r="S29" s="208"/>
      <c r="T29" s="208"/>
      <c r="U29" s="208"/>
      <c r="V29" s="246">
        <v>250000</v>
      </c>
      <c r="W29" s="246"/>
      <c r="X29" s="53"/>
      <c r="Y29" s="53"/>
      <c r="Z29" s="53"/>
      <c r="AA29" s="53"/>
      <c r="AB29" s="53"/>
      <c r="AC29" s="53"/>
      <c r="AD29" s="53"/>
      <c r="AE29" s="45">
        <f t="shared" si="3"/>
        <v>250000</v>
      </c>
      <c r="AF29" s="45">
        <f t="shared" si="4"/>
        <v>250000</v>
      </c>
      <c r="AG29" s="46">
        <f t="shared" si="5"/>
        <v>288200</v>
      </c>
      <c r="AH29" s="42"/>
      <c r="AI29" s="42"/>
      <c r="AJ29" s="57"/>
      <c r="AK29" s="58"/>
      <c r="AL29" s="58"/>
      <c r="AM29" s="58"/>
      <c r="AN29" s="58"/>
      <c r="AO29" s="52"/>
    </row>
    <row r="30" spans="1:41" s="51" customFormat="1" ht="15" customHeight="1" x14ac:dyDescent="0.25">
      <c r="A30" s="43">
        <v>61</v>
      </c>
      <c r="B30" s="235">
        <v>46034</v>
      </c>
      <c r="C30" s="235" t="s">
        <v>196</v>
      </c>
      <c r="D30" s="236" t="s">
        <v>46</v>
      </c>
      <c r="E30" s="43" t="s">
        <v>53</v>
      </c>
      <c r="F30" s="70" t="s">
        <v>157</v>
      </c>
      <c r="G30" s="69"/>
      <c r="H30" s="70" t="s">
        <v>158</v>
      </c>
      <c r="I30" s="43" t="s">
        <v>103</v>
      </c>
      <c r="J30" s="43" t="s">
        <v>54</v>
      </c>
      <c r="K30" s="238" t="s">
        <v>55</v>
      </c>
      <c r="L30" s="238" t="s">
        <v>57</v>
      </c>
      <c r="M30" s="260">
        <v>46042</v>
      </c>
      <c r="N30" s="240"/>
      <c r="O30" s="284">
        <f>1150*1800</f>
        <v>2070000</v>
      </c>
      <c r="P30" s="248" t="s">
        <v>145</v>
      </c>
      <c r="Q30" s="249"/>
      <c r="R30" s="246">
        <v>1800000</v>
      </c>
      <c r="S30" s="208"/>
      <c r="T30" s="208"/>
      <c r="U30" s="208"/>
      <c r="V30" s="246"/>
      <c r="W30" s="246"/>
      <c r="X30" s="53"/>
      <c r="Y30" s="53"/>
      <c r="Z30" s="44"/>
      <c r="AA30" s="53"/>
      <c r="AB30" s="53"/>
      <c r="AC30" s="53"/>
      <c r="AD30" s="53"/>
      <c r="AE30" s="45">
        <f t="shared" si="3"/>
        <v>0</v>
      </c>
      <c r="AF30" s="45">
        <f t="shared" si="4"/>
        <v>1800000</v>
      </c>
      <c r="AG30" s="46">
        <f t="shared" si="5"/>
        <v>270000</v>
      </c>
      <c r="AH30" s="42"/>
      <c r="AI30" s="42"/>
      <c r="AJ30" s="57"/>
      <c r="AK30" s="58"/>
      <c r="AL30" s="58"/>
      <c r="AM30" s="58"/>
      <c r="AN30" s="58"/>
      <c r="AO30" s="52"/>
    </row>
    <row r="31" spans="1:41" s="51" customFormat="1" ht="15" customHeight="1" x14ac:dyDescent="0.25">
      <c r="A31" s="43">
        <v>63</v>
      </c>
      <c r="B31" s="235">
        <v>46034</v>
      </c>
      <c r="C31" s="235" t="s">
        <v>163</v>
      </c>
      <c r="D31" s="236" t="s">
        <v>104</v>
      </c>
      <c r="E31" s="267" t="s">
        <v>105</v>
      </c>
      <c r="F31" s="237" t="s">
        <v>157</v>
      </c>
      <c r="G31" s="43"/>
      <c r="H31" s="256" t="s">
        <v>157</v>
      </c>
      <c r="I31" s="43" t="s">
        <v>106</v>
      </c>
      <c r="J31" s="43" t="s">
        <v>107</v>
      </c>
      <c r="K31" s="43" t="s">
        <v>108</v>
      </c>
      <c r="L31" s="238" t="s">
        <v>109</v>
      </c>
      <c r="M31" s="245" t="s">
        <v>148</v>
      </c>
      <c r="N31" s="240">
        <v>705000</v>
      </c>
      <c r="O31" s="240"/>
      <c r="P31" s="248"/>
      <c r="Q31" s="242"/>
      <c r="R31" s="243"/>
      <c r="S31" s="240"/>
      <c r="T31" s="240"/>
      <c r="U31" s="240"/>
      <c r="V31" s="246">
        <v>150000</v>
      </c>
      <c r="W31" s="246"/>
      <c r="X31" s="53"/>
      <c r="Y31" s="53"/>
      <c r="Z31" s="81"/>
      <c r="AA31" s="53"/>
      <c r="AB31" s="53"/>
      <c r="AC31" s="53"/>
      <c r="AD31" s="53"/>
      <c r="AE31" s="45">
        <f t="shared" si="3"/>
        <v>150000</v>
      </c>
      <c r="AF31" s="45">
        <f t="shared" si="4"/>
        <v>150000</v>
      </c>
      <c r="AG31" s="46">
        <f t="shared" si="5"/>
        <v>555000</v>
      </c>
      <c r="AH31" s="42"/>
      <c r="AI31" s="42"/>
      <c r="AJ31" s="57"/>
      <c r="AK31" s="58"/>
      <c r="AL31" s="58"/>
      <c r="AM31" s="58"/>
      <c r="AN31" s="58"/>
      <c r="AO31" s="52"/>
    </row>
    <row r="32" spans="1:41" s="61" customFormat="1" ht="15" customHeight="1" x14ac:dyDescent="0.25">
      <c r="A32" s="43">
        <v>68</v>
      </c>
      <c r="B32" s="235">
        <v>46034</v>
      </c>
      <c r="C32" s="235" t="s">
        <v>174</v>
      </c>
      <c r="D32" s="236" t="s">
        <v>84</v>
      </c>
      <c r="E32" s="247" t="s">
        <v>67</v>
      </c>
      <c r="F32" s="237" t="s">
        <v>157</v>
      </c>
      <c r="G32" s="69"/>
      <c r="H32" s="70" t="s">
        <v>158</v>
      </c>
      <c r="I32" s="43" t="s">
        <v>65</v>
      </c>
      <c r="J32" s="43" t="s">
        <v>66</v>
      </c>
      <c r="K32" s="238"/>
      <c r="L32" s="238" t="s">
        <v>49</v>
      </c>
      <c r="M32" s="260" t="s">
        <v>120</v>
      </c>
      <c r="N32" s="280">
        <f>2300000+175000</f>
        <v>2475000</v>
      </c>
      <c r="O32" s="240"/>
      <c r="P32" s="241" t="s">
        <v>134</v>
      </c>
      <c r="Q32" s="242"/>
      <c r="R32" s="243"/>
      <c r="S32" s="211"/>
      <c r="T32" s="210"/>
      <c r="U32" s="208"/>
      <c r="V32" s="246">
        <f>125000+1200000</f>
        <v>1325000</v>
      </c>
      <c r="W32" s="246"/>
      <c r="X32" s="53"/>
      <c r="Y32" s="53"/>
      <c r="Z32" s="53"/>
      <c r="AA32" s="53"/>
      <c r="AB32" s="53"/>
      <c r="AC32" s="53"/>
      <c r="AD32" s="53"/>
      <c r="AE32" s="45">
        <f t="shared" ref="AE32:AE52" si="6">SUM(V32:AD32)</f>
        <v>1325000</v>
      </c>
      <c r="AF32" s="45">
        <f t="shared" ref="AF32:AF52" si="7">R32+AE32</f>
        <v>1325000</v>
      </c>
      <c r="AG32" s="46">
        <f t="shared" ref="AG32:AG52" si="8">+(N32+O32)-AF32</f>
        <v>1150000</v>
      </c>
      <c r="AH32" s="43"/>
      <c r="AI32" s="43"/>
      <c r="AJ32" s="59"/>
      <c r="AK32" s="60"/>
      <c r="AL32" s="60"/>
      <c r="AM32" s="60"/>
      <c r="AN32" s="60"/>
      <c r="AO32" s="50"/>
    </row>
    <row r="33" spans="1:41" s="51" customFormat="1" ht="15" customHeight="1" x14ac:dyDescent="0.25">
      <c r="A33" s="43">
        <v>69</v>
      </c>
      <c r="B33" s="235">
        <v>46034</v>
      </c>
      <c r="C33" s="235" t="s">
        <v>173</v>
      </c>
      <c r="D33" s="236" t="s">
        <v>84</v>
      </c>
      <c r="E33" s="265" t="s">
        <v>92</v>
      </c>
      <c r="F33" s="237" t="s">
        <v>157</v>
      </c>
      <c r="G33" s="69"/>
      <c r="H33" s="70" t="s">
        <v>157</v>
      </c>
      <c r="I33" s="43" t="s">
        <v>48</v>
      </c>
      <c r="J33" s="43" t="s">
        <v>83</v>
      </c>
      <c r="K33" s="238"/>
      <c r="L33" s="238" t="s">
        <v>49</v>
      </c>
      <c r="M33" s="245" t="s">
        <v>118</v>
      </c>
      <c r="N33" s="280">
        <v>3000000</v>
      </c>
      <c r="O33" s="240"/>
      <c r="P33" s="248" t="s">
        <v>133</v>
      </c>
      <c r="Q33" s="249"/>
      <c r="R33" s="246"/>
      <c r="S33" s="211"/>
      <c r="T33" s="210"/>
      <c r="U33" s="208"/>
      <c r="V33" s="246">
        <v>1700000</v>
      </c>
      <c r="W33" s="246"/>
      <c r="X33" s="53"/>
      <c r="Y33" s="53"/>
      <c r="Z33" s="53"/>
      <c r="AA33" s="53"/>
      <c r="AB33" s="53"/>
      <c r="AC33" s="53"/>
      <c r="AD33" s="53"/>
      <c r="AE33" s="45">
        <f t="shared" si="6"/>
        <v>1700000</v>
      </c>
      <c r="AF33" s="45">
        <f t="shared" si="7"/>
        <v>1700000</v>
      </c>
      <c r="AG33" s="46">
        <f t="shared" si="8"/>
        <v>1300000</v>
      </c>
      <c r="AH33" s="42"/>
      <c r="AI33" s="42"/>
      <c r="AJ33" s="57"/>
      <c r="AK33" s="58"/>
      <c r="AL33" s="58"/>
      <c r="AM33" s="58"/>
      <c r="AN33" s="58"/>
      <c r="AO33" s="50"/>
    </row>
    <row r="34" spans="1:41" s="51" customFormat="1" ht="15" customHeight="1" x14ac:dyDescent="0.25">
      <c r="A34" s="43">
        <v>77</v>
      </c>
      <c r="B34" s="235">
        <v>46035</v>
      </c>
      <c r="C34" s="235" t="s">
        <v>201</v>
      </c>
      <c r="D34" s="236" t="s">
        <v>46</v>
      </c>
      <c r="E34" s="267" t="s">
        <v>62</v>
      </c>
      <c r="F34" s="70" t="s">
        <v>157</v>
      </c>
      <c r="G34" s="69"/>
      <c r="H34" s="70" t="s">
        <v>157</v>
      </c>
      <c r="I34" s="43" t="s">
        <v>48</v>
      </c>
      <c r="J34" s="43" t="s">
        <v>83</v>
      </c>
      <c r="K34" s="238"/>
      <c r="L34" s="238" t="s">
        <v>49</v>
      </c>
      <c r="M34" s="239" t="s">
        <v>117</v>
      </c>
      <c r="N34" s="284">
        <v>1524000</v>
      </c>
      <c r="O34" s="240"/>
      <c r="P34" s="248" t="s">
        <v>145</v>
      </c>
      <c r="Q34" s="249"/>
      <c r="R34" s="246"/>
      <c r="S34" s="211"/>
      <c r="T34" s="210"/>
      <c r="U34" s="208"/>
      <c r="V34" s="244">
        <v>450000</v>
      </c>
      <c r="W34" s="246"/>
      <c r="X34" s="53"/>
      <c r="Y34" s="53"/>
      <c r="Z34" s="53"/>
      <c r="AA34" s="53"/>
      <c r="AB34" s="53"/>
      <c r="AC34" s="53"/>
      <c r="AD34" s="53"/>
      <c r="AE34" s="45">
        <f t="shared" si="6"/>
        <v>450000</v>
      </c>
      <c r="AF34" s="45">
        <f t="shared" si="7"/>
        <v>450000</v>
      </c>
      <c r="AG34" s="46">
        <f t="shared" si="8"/>
        <v>1074000</v>
      </c>
      <c r="AH34" s="42"/>
      <c r="AI34" s="42"/>
      <c r="AJ34" s="57"/>
      <c r="AK34" s="58"/>
      <c r="AL34" s="58"/>
      <c r="AM34" s="58"/>
      <c r="AN34" s="58"/>
      <c r="AO34" s="50"/>
    </row>
    <row r="35" spans="1:41" s="51" customFormat="1" ht="15" customHeight="1" x14ac:dyDescent="0.25">
      <c r="A35" s="43">
        <v>78</v>
      </c>
      <c r="B35" s="235">
        <v>46035</v>
      </c>
      <c r="C35" s="235" t="s">
        <v>200</v>
      </c>
      <c r="D35" s="236" t="s">
        <v>46</v>
      </c>
      <c r="E35" s="43" t="s">
        <v>53</v>
      </c>
      <c r="F35" s="70" t="s">
        <v>157</v>
      </c>
      <c r="G35" s="69"/>
      <c r="H35" s="70" t="s">
        <v>158</v>
      </c>
      <c r="I35" s="43" t="s">
        <v>54</v>
      </c>
      <c r="J35" s="238" t="s">
        <v>54</v>
      </c>
      <c r="K35" s="245" t="s">
        <v>55</v>
      </c>
      <c r="L35" s="238" t="s">
        <v>57</v>
      </c>
      <c r="M35" s="239" t="s">
        <v>126</v>
      </c>
      <c r="N35" s="240"/>
      <c r="O35" s="284">
        <f>1150*2000</f>
        <v>2300000</v>
      </c>
      <c r="P35" s="248" t="s">
        <v>145</v>
      </c>
      <c r="Q35" s="249"/>
      <c r="R35" s="244">
        <v>1600000</v>
      </c>
      <c r="S35" s="208"/>
      <c r="T35" s="208"/>
      <c r="U35" s="208"/>
      <c r="V35" s="246"/>
      <c r="W35" s="246"/>
      <c r="X35" s="53"/>
      <c r="Y35" s="53"/>
      <c r="Z35" s="44"/>
      <c r="AA35" s="44"/>
      <c r="AB35" s="44"/>
      <c r="AC35" s="44"/>
      <c r="AD35" s="53"/>
      <c r="AE35" s="45">
        <f t="shared" si="6"/>
        <v>0</v>
      </c>
      <c r="AF35" s="45">
        <f t="shared" si="7"/>
        <v>1600000</v>
      </c>
      <c r="AG35" s="46">
        <f t="shared" si="8"/>
        <v>700000</v>
      </c>
      <c r="AH35" s="42"/>
      <c r="AI35" s="42"/>
      <c r="AJ35" s="57"/>
      <c r="AK35" s="58"/>
      <c r="AL35" s="58"/>
      <c r="AM35" s="58"/>
      <c r="AN35" s="58"/>
      <c r="AO35" s="50"/>
    </row>
    <row r="36" spans="1:41" s="51" customFormat="1" ht="15" customHeight="1" x14ac:dyDescent="0.25">
      <c r="A36" s="43">
        <v>79</v>
      </c>
      <c r="B36" s="235">
        <v>46035</v>
      </c>
      <c r="C36" s="235" t="s">
        <v>199</v>
      </c>
      <c r="D36" s="236" t="s">
        <v>46</v>
      </c>
      <c r="E36" s="43" t="s">
        <v>91</v>
      </c>
      <c r="F36" s="70" t="s">
        <v>157</v>
      </c>
      <c r="G36" s="69"/>
      <c r="H36" s="70" t="s">
        <v>158</v>
      </c>
      <c r="I36" s="43" t="s">
        <v>54</v>
      </c>
      <c r="J36" s="238" t="s">
        <v>54</v>
      </c>
      <c r="K36" s="245" t="s">
        <v>55</v>
      </c>
      <c r="L36" s="238" t="s">
        <v>57</v>
      </c>
      <c r="M36" s="239" t="s">
        <v>126</v>
      </c>
      <c r="N36" s="240"/>
      <c r="O36" s="284">
        <f>950*495</f>
        <v>470250</v>
      </c>
      <c r="P36" s="248" t="s">
        <v>145</v>
      </c>
      <c r="Q36" s="249"/>
      <c r="R36" s="243">
        <v>600000</v>
      </c>
      <c r="S36" s="208"/>
      <c r="T36" s="208"/>
      <c r="U36" s="208"/>
      <c r="V36" s="246"/>
      <c r="W36" s="244"/>
      <c r="X36" s="44"/>
      <c r="Y36" s="44"/>
      <c r="Z36" s="53"/>
      <c r="AA36" s="53"/>
      <c r="AB36" s="53"/>
      <c r="AC36" s="53"/>
      <c r="AD36" s="53"/>
      <c r="AE36" s="45">
        <f t="shared" si="6"/>
        <v>0</v>
      </c>
      <c r="AF36" s="45">
        <f t="shared" si="7"/>
        <v>600000</v>
      </c>
      <c r="AG36" s="46">
        <f t="shared" si="8"/>
        <v>-129750</v>
      </c>
      <c r="AH36" s="42"/>
      <c r="AI36" s="42"/>
      <c r="AJ36" s="57"/>
      <c r="AK36" s="58"/>
      <c r="AL36" s="58"/>
      <c r="AM36" s="58"/>
      <c r="AN36" s="58"/>
      <c r="AO36" s="50"/>
    </row>
    <row r="37" spans="1:41" s="51" customFormat="1" ht="15" customHeight="1" x14ac:dyDescent="0.25">
      <c r="A37" s="43">
        <v>84</v>
      </c>
      <c r="B37" s="235">
        <v>46035</v>
      </c>
      <c r="C37" s="235" t="s">
        <v>164</v>
      </c>
      <c r="D37" s="236" t="s">
        <v>104</v>
      </c>
      <c r="E37" s="267" t="s">
        <v>67</v>
      </c>
      <c r="F37" s="237" t="s">
        <v>157</v>
      </c>
      <c r="G37" s="69"/>
      <c r="H37" s="70" t="s">
        <v>157</v>
      </c>
      <c r="I37" s="43" t="s">
        <v>114</v>
      </c>
      <c r="J37" s="43" t="s">
        <v>115</v>
      </c>
      <c r="K37" s="238"/>
      <c r="L37" s="238" t="s">
        <v>109</v>
      </c>
      <c r="M37" s="239" t="s">
        <v>150</v>
      </c>
      <c r="N37" s="240">
        <v>1410000</v>
      </c>
      <c r="O37" s="240"/>
      <c r="P37" s="248"/>
      <c r="Q37" s="242"/>
      <c r="R37" s="246"/>
      <c r="S37" s="210"/>
      <c r="T37" s="210"/>
      <c r="U37" s="208"/>
      <c r="V37" s="246">
        <v>350000</v>
      </c>
      <c r="W37" s="244"/>
      <c r="X37" s="44"/>
      <c r="Y37" s="44"/>
      <c r="Z37" s="44"/>
      <c r="AA37" s="44"/>
      <c r="AB37" s="53"/>
      <c r="AC37" s="44"/>
      <c r="AD37" s="53"/>
      <c r="AE37" s="45">
        <f t="shared" si="6"/>
        <v>350000</v>
      </c>
      <c r="AF37" s="45">
        <f t="shared" si="7"/>
        <v>350000</v>
      </c>
      <c r="AG37" s="46">
        <f t="shared" si="8"/>
        <v>1060000</v>
      </c>
      <c r="AH37" s="42"/>
      <c r="AI37" s="42"/>
      <c r="AJ37" s="57"/>
      <c r="AK37" s="58"/>
      <c r="AL37" s="58"/>
      <c r="AM37" s="58"/>
      <c r="AN37" s="58"/>
      <c r="AO37" s="50"/>
    </row>
    <row r="38" spans="1:41" s="51" customFormat="1" ht="15" customHeight="1" x14ac:dyDescent="0.25">
      <c r="A38" s="43">
        <v>86</v>
      </c>
      <c r="B38" s="235">
        <v>46035</v>
      </c>
      <c r="C38" s="235" t="s">
        <v>175</v>
      </c>
      <c r="D38" s="236" t="s">
        <v>84</v>
      </c>
      <c r="E38" s="236" t="s">
        <v>82</v>
      </c>
      <c r="F38" s="237" t="s">
        <v>157</v>
      </c>
      <c r="G38" s="69"/>
      <c r="H38" s="70" t="s">
        <v>158</v>
      </c>
      <c r="I38" s="43" t="s">
        <v>65</v>
      </c>
      <c r="J38" s="43" t="s">
        <v>66</v>
      </c>
      <c r="K38" s="238"/>
      <c r="L38" s="238" t="s">
        <v>49</v>
      </c>
      <c r="M38" s="260" t="s">
        <v>120</v>
      </c>
      <c r="N38" s="280">
        <v>2000000</v>
      </c>
      <c r="O38" s="240"/>
      <c r="P38" s="270" t="s">
        <v>135</v>
      </c>
      <c r="Q38" s="249"/>
      <c r="R38" s="246"/>
      <c r="S38" s="208"/>
      <c r="T38" s="208"/>
      <c r="U38" s="208"/>
      <c r="V38" s="246">
        <v>1100000</v>
      </c>
      <c r="W38" s="244"/>
      <c r="X38" s="44"/>
      <c r="Y38" s="44"/>
      <c r="Z38" s="44"/>
      <c r="AA38" s="44"/>
      <c r="AB38" s="44"/>
      <c r="AC38" s="44"/>
      <c r="AD38" s="53"/>
      <c r="AE38" s="45">
        <f t="shared" si="6"/>
        <v>1100000</v>
      </c>
      <c r="AF38" s="45">
        <f t="shared" si="7"/>
        <v>1100000</v>
      </c>
      <c r="AG38" s="46">
        <f t="shared" si="8"/>
        <v>900000</v>
      </c>
      <c r="AH38" s="42"/>
      <c r="AI38" s="42"/>
      <c r="AJ38" s="57"/>
      <c r="AK38" s="58"/>
      <c r="AL38" s="58"/>
      <c r="AM38" s="58"/>
      <c r="AN38" s="58"/>
      <c r="AO38" s="50"/>
    </row>
    <row r="39" spans="1:41" s="51" customFormat="1" ht="13.5" customHeight="1" x14ac:dyDescent="0.25">
      <c r="A39" s="43">
        <v>90</v>
      </c>
      <c r="B39" s="235">
        <v>46036</v>
      </c>
      <c r="C39" s="235" t="s">
        <v>202</v>
      </c>
      <c r="D39" s="236" t="s">
        <v>46</v>
      </c>
      <c r="E39" s="267" t="s">
        <v>62</v>
      </c>
      <c r="F39" s="70" t="s">
        <v>157</v>
      </c>
      <c r="G39" s="69"/>
      <c r="H39" s="70" t="s">
        <v>157</v>
      </c>
      <c r="I39" s="43" t="s">
        <v>50</v>
      </c>
      <c r="J39" s="43" t="s">
        <v>51</v>
      </c>
      <c r="K39" s="238"/>
      <c r="L39" s="238" t="s">
        <v>49</v>
      </c>
      <c r="M39" s="245" t="s">
        <v>119</v>
      </c>
      <c r="N39" s="284">
        <f>1524000+100000</f>
        <v>1624000</v>
      </c>
      <c r="O39" s="240"/>
      <c r="P39" s="248" t="s">
        <v>145</v>
      </c>
      <c r="Q39" s="242"/>
      <c r="R39" s="246"/>
      <c r="S39" s="208"/>
      <c r="T39" s="208"/>
      <c r="U39" s="208"/>
      <c r="V39" s="246">
        <v>450000</v>
      </c>
      <c r="W39" s="244"/>
      <c r="X39" s="44"/>
      <c r="Y39" s="44"/>
      <c r="Z39" s="44"/>
      <c r="AA39" s="44"/>
      <c r="AB39" s="44"/>
      <c r="AC39" s="44"/>
      <c r="AD39" s="53"/>
      <c r="AE39" s="45">
        <f t="shared" si="6"/>
        <v>450000</v>
      </c>
      <c r="AF39" s="45">
        <f t="shared" si="7"/>
        <v>450000</v>
      </c>
      <c r="AG39" s="46">
        <f t="shared" si="8"/>
        <v>1174000</v>
      </c>
      <c r="AH39" s="42"/>
      <c r="AI39" s="42"/>
      <c r="AJ39" s="57"/>
      <c r="AK39" s="58"/>
      <c r="AL39" s="58"/>
      <c r="AM39" s="58"/>
      <c r="AN39" s="58"/>
      <c r="AO39" s="50"/>
    </row>
    <row r="40" spans="1:41" s="51" customFormat="1" ht="15" customHeight="1" x14ac:dyDescent="0.25">
      <c r="A40" s="43">
        <v>91</v>
      </c>
      <c r="B40" s="235">
        <v>46036</v>
      </c>
      <c r="C40" s="235" t="s">
        <v>161</v>
      </c>
      <c r="D40" s="236" t="s">
        <v>68</v>
      </c>
      <c r="E40" s="43" t="s">
        <v>60</v>
      </c>
      <c r="F40" s="237" t="s">
        <v>157</v>
      </c>
      <c r="G40" s="69"/>
      <c r="H40" s="70" t="s">
        <v>158</v>
      </c>
      <c r="I40" s="43" t="s">
        <v>103</v>
      </c>
      <c r="J40" s="43" t="s">
        <v>54</v>
      </c>
      <c r="K40" s="238" t="s">
        <v>55</v>
      </c>
      <c r="L40" s="238" t="s">
        <v>56</v>
      </c>
      <c r="M40" s="245" t="s">
        <v>149</v>
      </c>
      <c r="N40" s="246"/>
      <c r="O40" s="246">
        <v>7500000</v>
      </c>
      <c r="P40" s="248"/>
      <c r="Q40" s="242"/>
      <c r="R40" s="240">
        <v>5800000</v>
      </c>
      <c r="S40" s="208"/>
      <c r="T40" s="208"/>
      <c r="U40" s="208"/>
      <c r="V40" s="246"/>
      <c r="W40" s="244"/>
      <c r="X40" s="44"/>
      <c r="Y40" s="44"/>
      <c r="Z40" s="44"/>
      <c r="AA40" s="44"/>
      <c r="AB40" s="44"/>
      <c r="AC40" s="44"/>
      <c r="AD40" s="53"/>
      <c r="AE40" s="45">
        <f t="shared" si="6"/>
        <v>0</v>
      </c>
      <c r="AF40" s="45">
        <f t="shared" si="7"/>
        <v>5800000</v>
      </c>
      <c r="AG40" s="46">
        <f t="shared" si="8"/>
        <v>1700000</v>
      </c>
      <c r="AH40" s="42"/>
      <c r="AI40" s="42"/>
      <c r="AJ40" s="57"/>
      <c r="AK40" s="58"/>
      <c r="AL40" s="58"/>
      <c r="AM40" s="58"/>
      <c r="AN40" s="58"/>
      <c r="AO40" s="50"/>
    </row>
    <row r="41" spans="1:41" s="51" customFormat="1" ht="15" customHeight="1" x14ac:dyDescent="0.25">
      <c r="A41" s="43">
        <v>93</v>
      </c>
      <c r="B41" s="235">
        <v>46036</v>
      </c>
      <c r="C41" s="235" t="s">
        <v>177</v>
      </c>
      <c r="D41" s="236" t="s">
        <v>84</v>
      </c>
      <c r="E41" s="247" t="s">
        <v>67</v>
      </c>
      <c r="F41" s="237" t="s">
        <v>157</v>
      </c>
      <c r="G41" s="69"/>
      <c r="H41" s="70" t="s">
        <v>158</v>
      </c>
      <c r="I41" s="43" t="s">
        <v>48</v>
      </c>
      <c r="J41" s="43" t="s">
        <v>116</v>
      </c>
      <c r="K41" s="238"/>
      <c r="L41" s="238" t="s">
        <v>49</v>
      </c>
      <c r="M41" s="245" t="s">
        <v>121</v>
      </c>
      <c r="N41" s="280">
        <f>2300000+175000</f>
        <v>2475000</v>
      </c>
      <c r="O41" s="240"/>
      <c r="P41" s="270" t="s">
        <v>136</v>
      </c>
      <c r="Q41" s="249"/>
      <c r="R41" s="240"/>
      <c r="S41" s="208"/>
      <c r="T41" s="208"/>
      <c r="U41" s="208"/>
      <c r="V41" s="246">
        <v>1325000</v>
      </c>
      <c r="W41" s="244"/>
      <c r="X41" s="44"/>
      <c r="Y41" s="44"/>
      <c r="Z41" s="44"/>
      <c r="AA41" s="44"/>
      <c r="AB41" s="44"/>
      <c r="AC41" s="44"/>
      <c r="AD41" s="53"/>
      <c r="AE41" s="45">
        <f t="shared" si="6"/>
        <v>1325000</v>
      </c>
      <c r="AF41" s="45">
        <f t="shared" si="7"/>
        <v>1325000</v>
      </c>
      <c r="AG41" s="46">
        <f t="shared" si="8"/>
        <v>1150000</v>
      </c>
      <c r="AH41" s="42"/>
      <c r="AI41" s="42"/>
      <c r="AJ41" s="57"/>
      <c r="AK41" s="58"/>
      <c r="AL41" s="58"/>
      <c r="AM41" s="58"/>
      <c r="AN41" s="58"/>
      <c r="AO41" s="50"/>
    </row>
    <row r="42" spans="1:41" s="51" customFormat="1" ht="15" customHeight="1" x14ac:dyDescent="0.25">
      <c r="A42" s="43">
        <v>94</v>
      </c>
      <c r="B42" s="235">
        <v>46036</v>
      </c>
      <c r="C42" s="235" t="s">
        <v>176</v>
      </c>
      <c r="D42" s="236" t="s">
        <v>84</v>
      </c>
      <c r="E42" s="247" t="s">
        <v>61</v>
      </c>
      <c r="F42" s="237" t="s">
        <v>157</v>
      </c>
      <c r="G42" s="69"/>
      <c r="H42" s="70" t="s">
        <v>158</v>
      </c>
      <c r="I42" s="43" t="s">
        <v>65</v>
      </c>
      <c r="J42" s="43" t="s">
        <v>66</v>
      </c>
      <c r="K42" s="238"/>
      <c r="L42" s="238" t="s">
        <v>49</v>
      </c>
      <c r="M42" s="245" t="s">
        <v>124</v>
      </c>
      <c r="N42" s="280">
        <v>3200000</v>
      </c>
      <c r="O42" s="240"/>
      <c r="P42" s="270" t="s">
        <v>137</v>
      </c>
      <c r="Q42" s="249"/>
      <c r="R42" s="240"/>
      <c r="S42" s="208"/>
      <c r="T42" s="208"/>
      <c r="U42" s="208"/>
      <c r="V42" s="246">
        <v>1900000</v>
      </c>
      <c r="W42" s="244"/>
      <c r="X42" s="44"/>
      <c r="Y42" s="44"/>
      <c r="Z42" s="44"/>
      <c r="AA42" s="44"/>
      <c r="AB42" s="44"/>
      <c r="AC42" s="44"/>
      <c r="AD42" s="53"/>
      <c r="AE42" s="45">
        <f t="shared" si="6"/>
        <v>1900000</v>
      </c>
      <c r="AF42" s="45">
        <f t="shared" si="7"/>
        <v>1900000</v>
      </c>
      <c r="AG42" s="46">
        <f t="shared" si="8"/>
        <v>1300000</v>
      </c>
      <c r="AH42" s="42"/>
      <c r="AI42" s="42"/>
      <c r="AJ42" s="57"/>
      <c r="AK42" s="58"/>
      <c r="AL42" s="58"/>
      <c r="AM42" s="58"/>
      <c r="AN42" s="58"/>
      <c r="AO42" s="50"/>
    </row>
    <row r="43" spans="1:41" s="51" customFormat="1" ht="15" customHeight="1" x14ac:dyDescent="0.25">
      <c r="A43" s="43">
        <v>100</v>
      </c>
      <c r="B43" s="235">
        <v>46037</v>
      </c>
      <c r="C43" s="235" t="s">
        <v>204</v>
      </c>
      <c r="D43" s="236" t="s">
        <v>46</v>
      </c>
      <c r="E43" s="43" t="s">
        <v>53</v>
      </c>
      <c r="F43" s="70" t="s">
        <v>157</v>
      </c>
      <c r="G43" s="69"/>
      <c r="H43" s="70" t="s">
        <v>158</v>
      </c>
      <c r="I43" s="43" t="s">
        <v>54</v>
      </c>
      <c r="J43" s="43" t="s">
        <v>54</v>
      </c>
      <c r="K43" s="43" t="s">
        <v>55</v>
      </c>
      <c r="L43" s="238" t="s">
        <v>57</v>
      </c>
      <c r="M43" s="239" t="s">
        <v>144</v>
      </c>
      <c r="N43" s="240"/>
      <c r="O43" s="284">
        <f>1150*1000</f>
        <v>1150000</v>
      </c>
      <c r="P43" s="248" t="s">
        <v>145</v>
      </c>
      <c r="Q43" s="239"/>
      <c r="R43" s="243">
        <v>1000000</v>
      </c>
      <c r="S43" s="208"/>
      <c r="T43" s="208"/>
      <c r="U43" s="208"/>
      <c r="V43" s="246"/>
      <c r="W43" s="244"/>
      <c r="X43" s="44"/>
      <c r="Y43" s="44"/>
      <c r="Z43" s="44"/>
      <c r="AA43" s="44"/>
      <c r="AB43" s="44"/>
      <c r="AC43" s="44"/>
      <c r="AD43" s="53"/>
      <c r="AE43" s="45">
        <f t="shared" si="6"/>
        <v>0</v>
      </c>
      <c r="AF43" s="45">
        <f t="shared" si="7"/>
        <v>1000000</v>
      </c>
      <c r="AG43" s="46">
        <f t="shared" si="8"/>
        <v>150000</v>
      </c>
      <c r="AH43" s="42"/>
      <c r="AI43" s="42"/>
      <c r="AJ43" s="57"/>
      <c r="AK43" s="58"/>
      <c r="AL43" s="58"/>
      <c r="AM43" s="58"/>
      <c r="AN43" s="58"/>
      <c r="AO43" s="50"/>
    </row>
    <row r="44" spans="1:41" s="51" customFormat="1" ht="15" customHeight="1" x14ac:dyDescent="0.25">
      <c r="A44" s="43">
        <v>101</v>
      </c>
      <c r="B44" s="235">
        <v>46037</v>
      </c>
      <c r="C44" s="235" t="s">
        <v>203</v>
      </c>
      <c r="D44" s="236" t="s">
        <v>46</v>
      </c>
      <c r="E44" s="43" t="s">
        <v>53</v>
      </c>
      <c r="F44" s="70" t="s">
        <v>157</v>
      </c>
      <c r="G44" s="69"/>
      <c r="H44" s="70" t="s">
        <v>158</v>
      </c>
      <c r="I44" s="43" t="s">
        <v>54</v>
      </c>
      <c r="J44" s="43" t="s">
        <v>54</v>
      </c>
      <c r="K44" s="238" t="s">
        <v>55</v>
      </c>
      <c r="L44" s="238" t="s">
        <v>56</v>
      </c>
      <c r="M44" s="239" t="s">
        <v>144</v>
      </c>
      <c r="N44" s="240"/>
      <c r="O44" s="284">
        <v>3645000</v>
      </c>
      <c r="P44" s="248" t="s">
        <v>145</v>
      </c>
      <c r="Q44" s="239"/>
      <c r="R44" s="246">
        <v>2900000</v>
      </c>
      <c r="S44" s="208"/>
      <c r="T44" s="208"/>
      <c r="U44" s="208"/>
      <c r="V44" s="246"/>
      <c r="W44" s="244"/>
      <c r="X44" s="44"/>
      <c r="Y44" s="44"/>
      <c r="Z44" s="44"/>
      <c r="AA44" s="44"/>
      <c r="AB44" s="44"/>
      <c r="AC44" s="44"/>
      <c r="AD44" s="53"/>
      <c r="AE44" s="45">
        <f t="shared" si="6"/>
        <v>0</v>
      </c>
      <c r="AF44" s="45">
        <f t="shared" si="7"/>
        <v>2900000</v>
      </c>
      <c r="AG44" s="46">
        <f t="shared" si="8"/>
        <v>745000</v>
      </c>
      <c r="AH44" s="42"/>
      <c r="AI44" s="42"/>
      <c r="AJ44" s="57"/>
      <c r="AK44" s="58"/>
      <c r="AL44" s="58"/>
      <c r="AM44" s="58"/>
      <c r="AN44" s="58"/>
      <c r="AO44" s="50"/>
    </row>
    <row r="45" spans="1:41" s="51" customFormat="1" ht="15" customHeight="1" x14ac:dyDescent="0.25">
      <c r="A45" s="43" t="s">
        <v>122</v>
      </c>
      <c r="B45" s="235">
        <v>46037</v>
      </c>
      <c r="C45" s="235" t="s">
        <v>166</v>
      </c>
      <c r="D45" s="236" t="s">
        <v>89</v>
      </c>
      <c r="E45" s="43" t="s">
        <v>90</v>
      </c>
      <c r="F45" s="253" t="s">
        <v>157</v>
      </c>
      <c r="G45" s="69"/>
      <c r="H45" s="70" t="s">
        <v>158</v>
      </c>
      <c r="I45" s="43" t="s">
        <v>50</v>
      </c>
      <c r="J45" s="43" t="s">
        <v>51</v>
      </c>
      <c r="K45" s="238"/>
      <c r="L45" s="238" t="s">
        <v>56</v>
      </c>
      <c r="M45" s="245" t="s">
        <v>123</v>
      </c>
      <c r="N45" s="240">
        <v>950000</v>
      </c>
      <c r="O45" s="271"/>
      <c r="P45" s="274"/>
      <c r="Q45" s="275"/>
      <c r="R45" s="240"/>
      <c r="S45" s="208"/>
      <c r="T45" s="208"/>
      <c r="U45" s="208"/>
      <c r="V45" s="246">
        <v>570000</v>
      </c>
      <c r="W45" s="244"/>
      <c r="X45" s="44"/>
      <c r="Y45" s="44"/>
      <c r="Z45" s="44"/>
      <c r="AA45" s="44"/>
      <c r="AB45" s="44"/>
      <c r="AC45" s="44"/>
      <c r="AD45" s="53"/>
      <c r="AE45" s="45">
        <f t="shared" ref="AE45" si="9">SUM(V45:AD45)</f>
        <v>570000</v>
      </c>
      <c r="AF45" s="45">
        <f t="shared" si="7"/>
        <v>570000</v>
      </c>
      <c r="AG45" s="46">
        <f t="shared" si="8"/>
        <v>380000</v>
      </c>
      <c r="AH45" s="42"/>
      <c r="AI45" s="42"/>
      <c r="AJ45" s="57"/>
      <c r="AK45" s="58"/>
      <c r="AL45" s="58"/>
      <c r="AM45" s="58"/>
      <c r="AN45" s="58"/>
      <c r="AO45" s="50"/>
    </row>
    <row r="46" spans="1:41" s="61" customFormat="1" ht="15" customHeight="1" x14ac:dyDescent="0.25">
      <c r="A46" s="42">
        <v>120</v>
      </c>
      <c r="B46" s="100">
        <v>46040</v>
      </c>
      <c r="C46" s="100" t="s">
        <v>178</v>
      </c>
      <c r="D46" s="101" t="s">
        <v>84</v>
      </c>
      <c r="E46" s="69" t="s">
        <v>92</v>
      </c>
      <c r="F46" s="237" t="s">
        <v>157</v>
      </c>
      <c r="G46" s="69"/>
      <c r="H46" s="70" t="s">
        <v>158</v>
      </c>
      <c r="I46" s="69" t="s">
        <v>48</v>
      </c>
      <c r="J46" s="69" t="s">
        <v>83</v>
      </c>
      <c r="K46" s="69"/>
      <c r="L46" s="206" t="s">
        <v>49</v>
      </c>
      <c r="M46" s="207"/>
      <c r="N46" s="281">
        <v>3000000</v>
      </c>
      <c r="O46" s="208"/>
      <c r="P46" s="212" t="s">
        <v>138</v>
      </c>
      <c r="Q46" s="213"/>
      <c r="R46" s="211"/>
      <c r="S46" s="208"/>
      <c r="T46" s="208"/>
      <c r="U46" s="208"/>
      <c r="V46" s="211">
        <v>1700000</v>
      </c>
      <c r="W46" s="81"/>
      <c r="X46" s="81"/>
      <c r="Y46" s="81"/>
      <c r="Z46" s="81"/>
      <c r="AA46" s="53"/>
      <c r="AB46" s="53"/>
      <c r="AC46" s="53"/>
      <c r="AD46" s="53"/>
      <c r="AE46" s="45">
        <f t="shared" si="6"/>
        <v>1700000</v>
      </c>
      <c r="AF46" s="45">
        <f t="shared" si="7"/>
        <v>1700000</v>
      </c>
      <c r="AG46" s="46">
        <f t="shared" si="8"/>
        <v>1300000</v>
      </c>
      <c r="AH46" s="43"/>
      <c r="AI46" s="43"/>
      <c r="AJ46" s="59"/>
      <c r="AK46" s="60"/>
      <c r="AL46" s="60"/>
      <c r="AM46" s="60"/>
      <c r="AN46" s="60"/>
      <c r="AO46" s="68"/>
    </row>
    <row r="47" spans="1:41" s="51" customFormat="1" ht="15" customHeight="1" x14ac:dyDescent="0.25">
      <c r="A47" s="42">
        <v>124</v>
      </c>
      <c r="B47" s="235">
        <v>46041</v>
      </c>
      <c r="C47" s="235" t="s">
        <v>179</v>
      </c>
      <c r="D47" s="236" t="s">
        <v>84</v>
      </c>
      <c r="E47" s="43" t="s">
        <v>93</v>
      </c>
      <c r="F47" s="237" t="s">
        <v>157</v>
      </c>
      <c r="G47" s="69"/>
      <c r="H47" s="70" t="s">
        <v>158</v>
      </c>
      <c r="I47" s="43" t="s">
        <v>65</v>
      </c>
      <c r="J47" s="43" t="s">
        <v>66</v>
      </c>
      <c r="K47" s="238"/>
      <c r="L47" s="238" t="s">
        <v>49</v>
      </c>
      <c r="M47" s="239" t="s">
        <v>125</v>
      </c>
      <c r="N47" s="283">
        <v>2500000</v>
      </c>
      <c r="O47" s="276"/>
      <c r="P47" s="270" t="s">
        <v>140</v>
      </c>
      <c r="Q47" s="249"/>
      <c r="R47" s="273"/>
      <c r="S47" s="71"/>
      <c r="T47" s="71"/>
      <c r="U47" s="71"/>
      <c r="V47" s="273">
        <v>2550000</v>
      </c>
      <c r="W47" s="63"/>
      <c r="X47" s="53"/>
      <c r="Y47" s="53"/>
      <c r="Z47" s="53"/>
      <c r="AA47" s="53"/>
      <c r="AB47" s="53"/>
      <c r="AC47" s="53"/>
      <c r="AD47" s="53"/>
      <c r="AE47" s="45">
        <f t="shared" si="6"/>
        <v>2550000</v>
      </c>
      <c r="AF47" s="45">
        <f t="shared" si="7"/>
        <v>2550000</v>
      </c>
      <c r="AG47" s="46">
        <f t="shared" si="8"/>
        <v>-50000</v>
      </c>
      <c r="AH47" s="42"/>
      <c r="AI47" s="42"/>
      <c r="AJ47" s="57"/>
      <c r="AK47" s="58"/>
      <c r="AL47" s="58"/>
      <c r="AM47" s="58"/>
      <c r="AN47" s="58"/>
      <c r="AO47" s="50"/>
    </row>
    <row r="48" spans="1:41" s="51" customFormat="1" ht="17.25" customHeight="1" x14ac:dyDescent="0.25">
      <c r="A48" s="42">
        <v>125</v>
      </c>
      <c r="B48" s="100">
        <v>46041</v>
      </c>
      <c r="C48" s="100" t="s">
        <v>178</v>
      </c>
      <c r="D48" s="101" t="s">
        <v>84</v>
      </c>
      <c r="E48" s="69" t="s">
        <v>67</v>
      </c>
      <c r="F48" s="237" t="s">
        <v>157</v>
      </c>
      <c r="G48" s="69"/>
      <c r="H48" s="70" t="s">
        <v>158</v>
      </c>
      <c r="I48" s="69" t="s">
        <v>48</v>
      </c>
      <c r="J48" s="69" t="s">
        <v>83</v>
      </c>
      <c r="K48" s="105"/>
      <c r="L48" s="105" t="s">
        <v>49</v>
      </c>
      <c r="M48" s="207"/>
      <c r="N48" s="282">
        <v>2300000</v>
      </c>
      <c r="O48" s="221"/>
      <c r="P48" s="109" t="s">
        <v>139</v>
      </c>
      <c r="Q48" s="213"/>
      <c r="R48" s="224"/>
      <c r="S48" s="71"/>
      <c r="T48" s="71"/>
      <c r="U48" s="71"/>
      <c r="V48" s="222">
        <v>1200000</v>
      </c>
      <c r="W48" s="81"/>
      <c r="X48" s="81"/>
      <c r="Y48" s="81"/>
      <c r="Z48" s="81"/>
      <c r="AA48" s="53"/>
      <c r="AB48" s="53"/>
      <c r="AC48" s="53"/>
      <c r="AD48" s="53"/>
      <c r="AE48" s="45">
        <f t="shared" si="6"/>
        <v>1200000</v>
      </c>
      <c r="AF48" s="45">
        <f t="shared" si="7"/>
        <v>1200000</v>
      </c>
      <c r="AG48" s="46">
        <f t="shared" si="8"/>
        <v>1100000</v>
      </c>
      <c r="AH48" s="42"/>
      <c r="AI48" s="42"/>
      <c r="AJ48" s="57"/>
      <c r="AK48" s="58"/>
      <c r="AL48" s="58"/>
      <c r="AM48" s="58"/>
      <c r="AN48" s="58"/>
      <c r="AO48" s="50"/>
    </row>
    <row r="49" spans="1:41" s="51" customFormat="1" ht="15" customHeight="1" x14ac:dyDescent="0.25">
      <c r="A49" s="42">
        <v>126</v>
      </c>
      <c r="B49" s="235">
        <v>46041</v>
      </c>
      <c r="C49" s="235" t="s">
        <v>205</v>
      </c>
      <c r="D49" s="236" t="s">
        <v>46</v>
      </c>
      <c r="E49" s="247" t="s">
        <v>47</v>
      </c>
      <c r="F49" s="70" t="s">
        <v>157</v>
      </c>
      <c r="G49" s="69"/>
      <c r="H49" s="70" t="s">
        <v>158</v>
      </c>
      <c r="I49" s="43" t="s">
        <v>54</v>
      </c>
      <c r="J49" s="43" t="s">
        <v>54</v>
      </c>
      <c r="K49" s="238" t="s">
        <v>63</v>
      </c>
      <c r="L49" s="238" t="s">
        <v>56</v>
      </c>
      <c r="M49" s="239" t="s">
        <v>123</v>
      </c>
      <c r="N49" s="272"/>
      <c r="O49" s="289">
        <v>822000</v>
      </c>
      <c r="P49" s="277" t="s">
        <v>146</v>
      </c>
      <c r="Q49" s="279"/>
      <c r="R49" s="278">
        <v>1000000</v>
      </c>
      <c r="S49" s="71"/>
      <c r="T49" s="71"/>
      <c r="U49" s="71"/>
      <c r="V49" s="273"/>
      <c r="W49" s="53"/>
      <c r="X49" s="53"/>
      <c r="Y49" s="53"/>
      <c r="Z49" s="53"/>
      <c r="AA49" s="53"/>
      <c r="AB49" s="53"/>
      <c r="AC49" s="53"/>
      <c r="AD49" s="53"/>
      <c r="AE49" s="45">
        <f t="shared" si="6"/>
        <v>0</v>
      </c>
      <c r="AF49" s="45">
        <f t="shared" si="7"/>
        <v>1000000</v>
      </c>
      <c r="AG49" s="46">
        <f t="shared" si="8"/>
        <v>-178000</v>
      </c>
      <c r="AH49" s="42"/>
      <c r="AI49" s="42"/>
      <c r="AJ49" s="57"/>
      <c r="AK49" s="58"/>
      <c r="AL49" s="58"/>
      <c r="AM49" s="58"/>
      <c r="AN49" s="58"/>
      <c r="AO49" s="50"/>
    </row>
    <row r="50" spans="1:41" s="51" customFormat="1" ht="15" customHeight="1" x14ac:dyDescent="0.25">
      <c r="A50" s="42">
        <v>127</v>
      </c>
      <c r="B50" s="100">
        <v>46041</v>
      </c>
      <c r="C50" s="100" t="s">
        <v>206</v>
      </c>
      <c r="D50" s="101" t="s">
        <v>46</v>
      </c>
      <c r="E50" s="215" t="s">
        <v>53</v>
      </c>
      <c r="F50" s="70" t="s">
        <v>157</v>
      </c>
      <c r="G50" s="69"/>
      <c r="H50" s="70" t="s">
        <v>158</v>
      </c>
      <c r="I50" s="69" t="s">
        <v>54</v>
      </c>
      <c r="J50" s="69" t="s">
        <v>54</v>
      </c>
      <c r="K50" s="105" t="s">
        <v>55</v>
      </c>
      <c r="L50" s="105" t="s">
        <v>56</v>
      </c>
      <c r="M50" s="207"/>
      <c r="N50" s="71"/>
      <c r="O50" s="285">
        <v>3645000</v>
      </c>
      <c r="P50" s="277" t="s">
        <v>146</v>
      </c>
      <c r="Q50" s="213"/>
      <c r="R50" s="111">
        <v>2900000</v>
      </c>
      <c r="S50" s="71"/>
      <c r="T50" s="71"/>
      <c r="U50" s="71"/>
      <c r="V50" s="222"/>
      <c r="W50" s="81"/>
      <c r="X50" s="81"/>
      <c r="Y50" s="81"/>
      <c r="Z50" s="81"/>
      <c r="AA50" s="53"/>
      <c r="AB50" s="53"/>
      <c r="AC50" s="53"/>
      <c r="AD50" s="53"/>
      <c r="AE50" s="45">
        <f t="shared" si="6"/>
        <v>0</v>
      </c>
      <c r="AF50" s="45">
        <f t="shared" si="7"/>
        <v>2900000</v>
      </c>
      <c r="AG50" s="46">
        <f t="shared" si="8"/>
        <v>745000</v>
      </c>
      <c r="AH50" s="42"/>
      <c r="AI50" s="42"/>
      <c r="AJ50" s="57"/>
      <c r="AK50" s="58"/>
      <c r="AL50" s="58"/>
      <c r="AM50" s="58"/>
      <c r="AN50" s="58"/>
      <c r="AO50" s="50"/>
    </row>
    <row r="51" spans="1:41" s="51" customFormat="1" ht="15" customHeight="1" x14ac:dyDescent="0.25">
      <c r="A51" s="42">
        <v>128</v>
      </c>
      <c r="B51" s="100">
        <v>46041</v>
      </c>
      <c r="C51" s="100" t="s">
        <v>207</v>
      </c>
      <c r="D51" s="101" t="s">
        <v>46</v>
      </c>
      <c r="E51" s="215" t="s">
        <v>53</v>
      </c>
      <c r="F51" s="70" t="s">
        <v>157</v>
      </c>
      <c r="G51" s="69"/>
      <c r="H51" s="70" t="s">
        <v>158</v>
      </c>
      <c r="I51" s="69" t="s">
        <v>54</v>
      </c>
      <c r="J51" s="69" t="s">
        <v>54</v>
      </c>
      <c r="K51" s="105" t="s">
        <v>55</v>
      </c>
      <c r="L51" s="105" t="s">
        <v>57</v>
      </c>
      <c r="M51" s="207"/>
      <c r="N51" s="71"/>
      <c r="O51" s="285">
        <f>1495*540</f>
        <v>807300</v>
      </c>
      <c r="P51" s="277" t="s">
        <v>146</v>
      </c>
      <c r="Q51" s="213"/>
      <c r="R51" s="223">
        <v>600000</v>
      </c>
      <c r="S51" s="71"/>
      <c r="T51" s="71"/>
      <c r="U51" s="71"/>
      <c r="V51" s="222"/>
      <c r="W51" s="81"/>
      <c r="X51" s="81"/>
      <c r="Y51" s="81"/>
      <c r="Z51" s="81"/>
      <c r="AA51" s="53"/>
      <c r="AB51" s="53"/>
      <c r="AC51" s="53"/>
      <c r="AD51" s="53"/>
      <c r="AE51" s="45">
        <f t="shared" si="6"/>
        <v>0</v>
      </c>
      <c r="AF51" s="45">
        <f t="shared" si="7"/>
        <v>600000</v>
      </c>
      <c r="AG51" s="46">
        <f t="shared" si="8"/>
        <v>207300</v>
      </c>
      <c r="AH51" s="42"/>
      <c r="AI51" s="42"/>
      <c r="AJ51" s="57"/>
      <c r="AK51" s="58"/>
      <c r="AL51" s="58"/>
      <c r="AM51" s="58"/>
      <c r="AN51" s="58"/>
      <c r="AO51" s="50"/>
    </row>
    <row r="52" spans="1:41" s="51" customFormat="1" ht="15" customHeight="1" x14ac:dyDescent="0.25">
      <c r="A52" s="42">
        <v>129</v>
      </c>
      <c r="B52" s="100">
        <v>46041</v>
      </c>
      <c r="C52" s="100" t="s">
        <v>208</v>
      </c>
      <c r="D52" s="101" t="s">
        <v>46</v>
      </c>
      <c r="E52" s="69" t="s">
        <v>53</v>
      </c>
      <c r="F52" s="70" t="s">
        <v>157</v>
      </c>
      <c r="G52" s="69"/>
      <c r="H52" s="70" t="s">
        <v>158</v>
      </c>
      <c r="I52" s="69" t="s">
        <v>54</v>
      </c>
      <c r="J52" s="69" t="s">
        <v>54</v>
      </c>
      <c r="K52" s="69" t="s">
        <v>55</v>
      </c>
      <c r="L52" s="105" t="s">
        <v>57</v>
      </c>
      <c r="M52" s="207"/>
      <c r="N52" s="71"/>
      <c r="O52" s="285">
        <f>1495*900</f>
        <v>1345500</v>
      </c>
      <c r="P52" s="277" t="s">
        <v>146</v>
      </c>
      <c r="Q52" s="209"/>
      <c r="R52" s="223">
        <v>800000</v>
      </c>
      <c r="S52" s="71"/>
      <c r="T52" s="71"/>
      <c r="U52" s="71"/>
      <c r="V52" s="222"/>
      <c r="W52" s="81"/>
      <c r="X52" s="81"/>
      <c r="Y52" s="81"/>
      <c r="Z52" s="81"/>
      <c r="AA52" s="53"/>
      <c r="AB52" s="53"/>
      <c r="AC52" s="53"/>
      <c r="AD52" s="53"/>
      <c r="AE52" s="45">
        <f t="shared" si="6"/>
        <v>0</v>
      </c>
      <c r="AF52" s="45">
        <f t="shared" si="7"/>
        <v>800000</v>
      </c>
      <c r="AG52" s="46">
        <f t="shared" si="8"/>
        <v>545500</v>
      </c>
      <c r="AH52" s="42"/>
      <c r="AI52" s="42"/>
      <c r="AJ52" s="57"/>
      <c r="AK52" s="58"/>
      <c r="AL52" s="58"/>
      <c r="AM52" s="58"/>
      <c r="AN52" s="58"/>
      <c r="AO52" s="50"/>
    </row>
    <row r="53" spans="1:41" s="51" customFormat="1" ht="15" customHeight="1" x14ac:dyDescent="0.25">
      <c r="A53" s="42">
        <v>133</v>
      </c>
      <c r="B53" s="235">
        <v>46041</v>
      </c>
      <c r="C53" s="235" t="s">
        <v>209</v>
      </c>
      <c r="D53" s="236" t="s">
        <v>46</v>
      </c>
      <c r="E53" s="43" t="s">
        <v>59</v>
      </c>
      <c r="F53" s="70" t="s">
        <v>157</v>
      </c>
      <c r="G53" s="69"/>
      <c r="H53" s="70" t="s">
        <v>158</v>
      </c>
      <c r="I53" s="43" t="s">
        <v>54</v>
      </c>
      <c r="J53" s="43" t="s">
        <v>54</v>
      </c>
      <c r="K53" s="238" t="s">
        <v>64</v>
      </c>
      <c r="L53" s="238" t="s">
        <v>57</v>
      </c>
      <c r="M53" s="239" t="s">
        <v>144</v>
      </c>
      <c r="N53" s="272"/>
      <c r="O53" s="289">
        <f>1500*835</f>
        <v>1252500</v>
      </c>
      <c r="P53" s="277" t="s">
        <v>146</v>
      </c>
      <c r="Q53" s="249"/>
      <c r="R53" s="278">
        <v>1000000</v>
      </c>
      <c r="S53" s="71"/>
      <c r="T53" s="71"/>
      <c r="U53" s="71"/>
      <c r="V53" s="273"/>
      <c r="W53" s="53"/>
      <c r="X53" s="53"/>
      <c r="Y53" s="53"/>
      <c r="Z53" s="53"/>
      <c r="AA53" s="53"/>
      <c r="AB53" s="53"/>
      <c r="AC53" s="53"/>
      <c r="AD53" s="53"/>
      <c r="AE53" s="45">
        <f t="shared" ref="AE53:AE92" si="10">SUM(V53:AD53)</f>
        <v>0</v>
      </c>
      <c r="AF53" s="45">
        <f t="shared" ref="AF53:AF92" si="11">R53+AE53</f>
        <v>1000000</v>
      </c>
      <c r="AG53" s="46">
        <f t="shared" ref="AG53:AG92" si="12">+(N53+O53)-AF53</f>
        <v>252500</v>
      </c>
      <c r="AH53" s="42"/>
      <c r="AI53" s="42"/>
      <c r="AJ53" s="57"/>
      <c r="AK53" s="58"/>
      <c r="AL53" s="58"/>
      <c r="AM53" s="58"/>
      <c r="AN53" s="58"/>
      <c r="AO53" s="50"/>
    </row>
    <row r="54" spans="1:41" s="51" customFormat="1" ht="15" customHeight="1" x14ac:dyDescent="0.25">
      <c r="A54" s="42">
        <v>134</v>
      </c>
      <c r="B54" s="235">
        <v>46041</v>
      </c>
      <c r="C54" s="235" t="s">
        <v>210</v>
      </c>
      <c r="D54" s="236" t="s">
        <v>46</v>
      </c>
      <c r="E54" s="43" t="s">
        <v>96</v>
      </c>
      <c r="F54" s="70" t="s">
        <v>157</v>
      </c>
      <c r="G54" s="69"/>
      <c r="H54" s="70" t="s">
        <v>158</v>
      </c>
      <c r="I54" s="43" t="s">
        <v>54</v>
      </c>
      <c r="J54" s="43" t="s">
        <v>54</v>
      </c>
      <c r="K54" s="43" t="s">
        <v>64</v>
      </c>
      <c r="L54" s="238" t="s">
        <v>57</v>
      </c>
      <c r="M54" s="239" t="s">
        <v>144</v>
      </c>
      <c r="N54" s="276"/>
      <c r="O54" s="286">
        <f>1035*1500</f>
        <v>1552500</v>
      </c>
      <c r="P54" s="277" t="s">
        <v>146</v>
      </c>
      <c r="Q54" s="249"/>
      <c r="R54" s="278">
        <v>1400000</v>
      </c>
      <c r="S54" s="71"/>
      <c r="T54" s="71"/>
      <c r="U54" s="71"/>
      <c r="V54" s="273"/>
      <c r="W54" s="53"/>
      <c r="X54" s="53"/>
      <c r="Y54" s="53"/>
      <c r="Z54" s="53"/>
      <c r="AA54" s="53"/>
      <c r="AB54" s="53"/>
      <c r="AC54" s="53"/>
      <c r="AD54" s="53"/>
      <c r="AE54" s="45">
        <f t="shared" si="10"/>
        <v>0</v>
      </c>
      <c r="AF54" s="45">
        <f t="shared" si="11"/>
        <v>1400000</v>
      </c>
      <c r="AG54" s="46">
        <f t="shared" si="12"/>
        <v>152500</v>
      </c>
      <c r="AH54" s="42"/>
      <c r="AI54" s="42"/>
      <c r="AJ54" s="57"/>
      <c r="AK54" s="58"/>
      <c r="AL54" s="58"/>
      <c r="AM54" s="58"/>
      <c r="AN54" s="58"/>
      <c r="AO54" s="50"/>
    </row>
    <row r="55" spans="1:41" s="51" customFormat="1" ht="15" customHeight="1" x14ac:dyDescent="0.25">
      <c r="A55" s="42">
        <v>138</v>
      </c>
      <c r="B55" s="100">
        <v>46042</v>
      </c>
      <c r="C55" s="100" t="s">
        <v>211</v>
      </c>
      <c r="D55" s="101" t="s">
        <v>46</v>
      </c>
      <c r="E55" s="69" t="s">
        <v>91</v>
      </c>
      <c r="F55" s="70" t="s">
        <v>157</v>
      </c>
      <c r="G55" s="69"/>
      <c r="H55" s="70" t="s">
        <v>158</v>
      </c>
      <c r="I55" s="69" t="s">
        <v>54</v>
      </c>
      <c r="J55" s="69" t="s">
        <v>54</v>
      </c>
      <c r="K55" s="105" t="s">
        <v>64</v>
      </c>
      <c r="L55" s="105" t="s">
        <v>56</v>
      </c>
      <c r="M55" s="207"/>
      <c r="N55" s="71"/>
      <c r="O55" s="285">
        <v>2760000</v>
      </c>
      <c r="P55" s="277" t="s">
        <v>146</v>
      </c>
      <c r="Q55" s="213"/>
      <c r="R55" s="223">
        <v>2450000</v>
      </c>
      <c r="S55" s="71"/>
      <c r="T55" s="71"/>
      <c r="U55" s="71"/>
      <c r="V55" s="81"/>
      <c r="W55" s="81"/>
      <c r="X55" s="81"/>
      <c r="Y55" s="81"/>
      <c r="Z55" s="81"/>
      <c r="AA55" s="53"/>
      <c r="AB55" s="53"/>
      <c r="AC55" s="53"/>
      <c r="AD55" s="53"/>
      <c r="AE55" s="45">
        <f t="shared" si="10"/>
        <v>0</v>
      </c>
      <c r="AF55" s="45">
        <f t="shared" si="11"/>
        <v>2450000</v>
      </c>
      <c r="AG55" s="46">
        <f t="shared" si="12"/>
        <v>310000</v>
      </c>
      <c r="AH55" s="42"/>
      <c r="AI55" s="42"/>
      <c r="AJ55" s="57"/>
      <c r="AK55" s="58"/>
      <c r="AL55" s="58"/>
      <c r="AM55" s="58"/>
      <c r="AN55" s="58"/>
      <c r="AO55" s="50"/>
    </row>
    <row r="56" spans="1:41" s="51" customFormat="1" ht="15" customHeight="1" x14ac:dyDescent="0.25">
      <c r="A56" s="42">
        <v>143</v>
      </c>
      <c r="B56" s="100">
        <v>46042</v>
      </c>
      <c r="C56" s="100" t="s">
        <v>180</v>
      </c>
      <c r="D56" s="216" t="s">
        <v>84</v>
      </c>
      <c r="E56" s="217" t="s">
        <v>67</v>
      </c>
      <c r="F56" s="237" t="s">
        <v>157</v>
      </c>
      <c r="G56" s="69"/>
      <c r="H56" s="70" t="s">
        <v>158</v>
      </c>
      <c r="I56" s="217" t="s">
        <v>48</v>
      </c>
      <c r="J56" s="217" t="s">
        <v>116</v>
      </c>
      <c r="K56" s="218"/>
      <c r="L56" s="218" t="s">
        <v>49</v>
      </c>
      <c r="M56" s="227"/>
      <c r="N56" s="282">
        <v>2300000</v>
      </c>
      <c r="O56" s="221"/>
      <c r="P56" s="212" t="s">
        <v>141</v>
      </c>
      <c r="Q56" s="213"/>
      <c r="R56" s="228"/>
      <c r="S56" s="71"/>
      <c r="T56" s="71"/>
      <c r="U56" s="71"/>
      <c r="V56" s="229">
        <v>1200000</v>
      </c>
      <c r="W56" s="219"/>
      <c r="X56" s="81"/>
      <c r="Y56" s="81"/>
      <c r="Z56" s="81"/>
      <c r="AA56" s="53"/>
      <c r="AB56" s="53"/>
      <c r="AC56" s="53"/>
      <c r="AD56" s="53"/>
      <c r="AE56" s="45">
        <f t="shared" si="10"/>
        <v>1200000</v>
      </c>
      <c r="AF56" s="45">
        <f t="shared" si="11"/>
        <v>1200000</v>
      </c>
      <c r="AG56" s="46">
        <f t="shared" si="12"/>
        <v>1100000</v>
      </c>
      <c r="AH56" s="42"/>
      <c r="AI56" s="42"/>
      <c r="AJ56" s="57"/>
      <c r="AK56" s="58"/>
      <c r="AL56" s="58"/>
      <c r="AM56" s="58"/>
      <c r="AN56" s="58"/>
      <c r="AO56" s="50"/>
    </row>
    <row r="57" spans="1:41" s="51" customFormat="1" ht="15" customHeight="1" x14ac:dyDescent="0.25">
      <c r="A57" s="42">
        <v>147</v>
      </c>
      <c r="B57" s="100">
        <v>46043</v>
      </c>
      <c r="C57" s="100" t="s">
        <v>212</v>
      </c>
      <c r="D57" s="101" t="s">
        <v>46</v>
      </c>
      <c r="E57" s="69" t="s">
        <v>62</v>
      </c>
      <c r="F57" s="70" t="s">
        <v>157</v>
      </c>
      <c r="G57" s="69"/>
      <c r="H57" s="70" t="s">
        <v>158</v>
      </c>
      <c r="I57" s="69" t="s">
        <v>50</v>
      </c>
      <c r="J57" s="69" t="s">
        <v>51</v>
      </c>
      <c r="K57" s="69"/>
      <c r="L57" s="105" t="s">
        <v>56</v>
      </c>
      <c r="M57" s="106"/>
      <c r="N57" s="71">
        <v>891000</v>
      </c>
      <c r="O57" s="71"/>
      <c r="P57" s="109"/>
      <c r="Q57" s="225"/>
      <c r="R57" s="222"/>
      <c r="S57" s="71"/>
      <c r="T57" s="71"/>
      <c r="U57" s="71"/>
      <c r="V57" s="222">
        <v>400000</v>
      </c>
      <c r="W57" s="81"/>
      <c r="X57" s="81"/>
      <c r="Y57" s="81"/>
      <c r="Z57" s="81"/>
      <c r="AA57" s="53"/>
      <c r="AB57" s="53"/>
      <c r="AC57" s="53"/>
      <c r="AD57" s="53"/>
      <c r="AE57" s="45">
        <f t="shared" si="10"/>
        <v>400000</v>
      </c>
      <c r="AF57" s="45">
        <f t="shared" si="11"/>
        <v>400000</v>
      </c>
      <c r="AG57" s="46">
        <f t="shared" si="12"/>
        <v>491000</v>
      </c>
      <c r="AH57" s="42"/>
      <c r="AI57" s="42"/>
      <c r="AJ57" s="57"/>
      <c r="AK57" s="58"/>
      <c r="AL57" s="58"/>
      <c r="AM57" s="58"/>
      <c r="AN57" s="58"/>
      <c r="AO57" s="50"/>
    </row>
    <row r="58" spans="1:41" s="51" customFormat="1" ht="15" customHeight="1" x14ac:dyDescent="0.25">
      <c r="A58" s="42">
        <v>152</v>
      </c>
      <c r="B58" s="100">
        <v>46043</v>
      </c>
      <c r="C58" s="100" t="s">
        <v>181</v>
      </c>
      <c r="D58" s="101" t="s">
        <v>84</v>
      </c>
      <c r="E58" s="215" t="s">
        <v>67</v>
      </c>
      <c r="F58" s="237" t="s">
        <v>157</v>
      </c>
      <c r="G58" s="69"/>
      <c r="H58" s="70" t="s">
        <v>158</v>
      </c>
      <c r="I58" s="69" t="s">
        <v>65</v>
      </c>
      <c r="J58" s="69" t="s">
        <v>66</v>
      </c>
      <c r="K58" s="105"/>
      <c r="L58" s="105" t="s">
        <v>49</v>
      </c>
      <c r="M58" s="106"/>
      <c r="N58" s="71">
        <v>2300000</v>
      </c>
      <c r="O58" s="71"/>
      <c r="P58" s="226"/>
      <c r="Q58" s="231"/>
      <c r="R58" s="223"/>
      <c r="S58" s="71"/>
      <c r="T58" s="71"/>
      <c r="U58" s="71"/>
      <c r="V58" s="222">
        <v>1200000</v>
      </c>
      <c r="W58" s="81"/>
      <c r="X58" s="81"/>
      <c r="Y58" s="81"/>
      <c r="Z58" s="81"/>
      <c r="AA58" s="53"/>
      <c r="AB58" s="53"/>
      <c r="AC58" s="53"/>
      <c r="AD58" s="53"/>
      <c r="AE58" s="45">
        <f t="shared" si="10"/>
        <v>1200000</v>
      </c>
      <c r="AF58" s="45">
        <f t="shared" si="11"/>
        <v>1200000</v>
      </c>
      <c r="AG58" s="46">
        <f t="shared" si="12"/>
        <v>1100000</v>
      </c>
      <c r="AH58" s="42"/>
      <c r="AI58" s="42"/>
      <c r="AJ58" s="57"/>
      <c r="AK58" s="58"/>
      <c r="AL58" s="58"/>
      <c r="AM58" s="58"/>
      <c r="AN58" s="58"/>
      <c r="AO58" s="50"/>
    </row>
    <row r="59" spans="1:41" s="51" customFormat="1" ht="15" customHeight="1" x14ac:dyDescent="0.25">
      <c r="A59" s="42">
        <v>153</v>
      </c>
      <c r="B59" s="100">
        <v>46043</v>
      </c>
      <c r="C59" s="100" t="s">
        <v>182</v>
      </c>
      <c r="D59" s="101" t="s">
        <v>84</v>
      </c>
      <c r="E59" s="215" t="s">
        <v>67</v>
      </c>
      <c r="F59" s="237" t="s">
        <v>157</v>
      </c>
      <c r="G59" s="69"/>
      <c r="H59" s="70" t="s">
        <v>158</v>
      </c>
      <c r="I59" s="69" t="s">
        <v>48</v>
      </c>
      <c r="J59" s="69" t="s">
        <v>83</v>
      </c>
      <c r="K59" s="105"/>
      <c r="L59" s="105" t="s">
        <v>49</v>
      </c>
      <c r="M59" s="207"/>
      <c r="N59" s="71">
        <v>2300000</v>
      </c>
      <c r="O59" s="71"/>
      <c r="P59" s="226"/>
      <c r="Q59" s="231"/>
      <c r="R59" s="223"/>
      <c r="S59" s="71"/>
      <c r="T59" s="71"/>
      <c r="U59" s="71"/>
      <c r="V59" s="222">
        <v>1200000</v>
      </c>
      <c r="W59" s="81"/>
      <c r="X59" s="81"/>
      <c r="Y59" s="81"/>
      <c r="Z59" s="81"/>
      <c r="AA59" s="81"/>
      <c r="AB59" s="81"/>
      <c r="AC59" s="81"/>
      <c r="AD59" s="53"/>
      <c r="AE59" s="45">
        <f t="shared" si="10"/>
        <v>1200000</v>
      </c>
      <c r="AF59" s="45">
        <f t="shared" si="11"/>
        <v>1200000</v>
      </c>
      <c r="AG59" s="46">
        <f t="shared" si="12"/>
        <v>1100000</v>
      </c>
      <c r="AH59" s="42"/>
      <c r="AI59" s="42"/>
      <c r="AJ59" s="57"/>
      <c r="AK59" s="58"/>
      <c r="AL59" s="58"/>
      <c r="AM59" s="58"/>
      <c r="AN59" s="58"/>
      <c r="AO59" s="50"/>
    </row>
    <row r="60" spans="1:41" s="51" customFormat="1" ht="15" customHeight="1" x14ac:dyDescent="0.25">
      <c r="A60" s="42">
        <v>154</v>
      </c>
      <c r="B60" s="100">
        <v>46044</v>
      </c>
      <c r="C60" s="100" t="s">
        <v>183</v>
      </c>
      <c r="D60" s="101" t="s">
        <v>84</v>
      </c>
      <c r="E60" s="69" t="s">
        <v>61</v>
      </c>
      <c r="F60" s="237" t="s">
        <v>157</v>
      </c>
      <c r="G60" s="69"/>
      <c r="H60" s="70" t="s">
        <v>158</v>
      </c>
      <c r="I60" s="69" t="s">
        <v>65</v>
      </c>
      <c r="J60" s="69" t="s">
        <v>66</v>
      </c>
      <c r="K60" s="69"/>
      <c r="L60" s="105" t="s">
        <v>49</v>
      </c>
      <c r="M60" s="207"/>
      <c r="N60" s="71">
        <v>3200000</v>
      </c>
      <c r="O60" s="71"/>
      <c r="P60" s="109"/>
      <c r="Q60" s="225"/>
      <c r="R60" s="223"/>
      <c r="S60" s="71"/>
      <c r="T60" s="71"/>
      <c r="U60" s="71"/>
      <c r="V60" s="222">
        <v>1900000</v>
      </c>
      <c r="W60" s="81"/>
      <c r="X60" s="81"/>
      <c r="Y60" s="81"/>
      <c r="Z60" s="81"/>
      <c r="AA60" s="81"/>
      <c r="AB60" s="81"/>
      <c r="AC60" s="81"/>
      <c r="AD60" s="53"/>
      <c r="AE60" s="45">
        <f t="shared" si="10"/>
        <v>1900000</v>
      </c>
      <c r="AF60" s="45">
        <f t="shared" si="11"/>
        <v>1900000</v>
      </c>
      <c r="AG60" s="46">
        <f t="shared" si="12"/>
        <v>1300000</v>
      </c>
      <c r="AH60" s="42"/>
      <c r="AI60" s="42"/>
      <c r="AJ60" s="57"/>
      <c r="AK60" s="58"/>
      <c r="AL60" s="58"/>
      <c r="AM60" s="58"/>
      <c r="AN60" s="58"/>
      <c r="AO60" s="50"/>
    </row>
    <row r="61" spans="1:41" s="90" customFormat="1" ht="15" customHeight="1" x14ac:dyDescent="0.25">
      <c r="A61" s="42">
        <v>156</v>
      </c>
      <c r="B61" s="100">
        <v>46045</v>
      </c>
      <c r="C61" s="100" t="s">
        <v>213</v>
      </c>
      <c r="D61" s="101" t="s">
        <v>46</v>
      </c>
      <c r="E61" s="69" t="s">
        <v>91</v>
      </c>
      <c r="F61" s="70" t="s">
        <v>157</v>
      </c>
      <c r="G61" s="69"/>
      <c r="H61" s="70" t="s">
        <v>158</v>
      </c>
      <c r="I61" s="69" t="s">
        <v>54</v>
      </c>
      <c r="J61" s="69" t="s">
        <v>54</v>
      </c>
      <c r="K61" s="105" t="s">
        <v>58</v>
      </c>
      <c r="L61" s="105" t="s">
        <v>56</v>
      </c>
      <c r="M61" s="106"/>
      <c r="N61" s="71"/>
      <c r="O61" s="71">
        <v>2760000</v>
      </c>
      <c r="P61" s="226"/>
      <c r="Q61" s="230"/>
      <c r="R61" s="223">
        <v>2300000</v>
      </c>
      <c r="S61" s="71"/>
      <c r="T61" s="71"/>
      <c r="U61" s="71"/>
      <c r="V61" s="222"/>
      <c r="W61" s="81"/>
      <c r="X61" s="81"/>
      <c r="Y61" s="81"/>
      <c r="Z61" s="81"/>
      <c r="AA61" s="81"/>
      <c r="AB61" s="81"/>
      <c r="AC61" s="81"/>
      <c r="AD61" s="79"/>
      <c r="AE61" s="45">
        <f t="shared" si="10"/>
        <v>0</v>
      </c>
      <c r="AF61" s="45">
        <f t="shared" si="11"/>
        <v>2300000</v>
      </c>
      <c r="AG61" s="46">
        <f t="shared" si="12"/>
        <v>460000</v>
      </c>
      <c r="AH61" s="86"/>
      <c r="AI61" s="86"/>
      <c r="AJ61" s="87"/>
      <c r="AK61" s="88"/>
      <c r="AL61" s="88"/>
      <c r="AM61" s="88"/>
      <c r="AN61" s="88"/>
      <c r="AO61" s="89"/>
    </row>
    <row r="62" spans="1:41" s="90" customFormat="1" ht="15" customHeight="1" x14ac:dyDescent="0.25">
      <c r="A62" s="42">
        <v>163</v>
      </c>
      <c r="B62" s="100">
        <v>46045</v>
      </c>
      <c r="C62" s="100" t="s">
        <v>214</v>
      </c>
      <c r="D62" s="101" t="s">
        <v>142</v>
      </c>
      <c r="E62" s="69" t="s">
        <v>90</v>
      </c>
      <c r="F62" s="206" t="s">
        <v>157</v>
      </c>
      <c r="G62" s="69"/>
      <c r="H62" s="220" t="s">
        <v>158</v>
      </c>
      <c r="I62" s="69" t="s">
        <v>54</v>
      </c>
      <c r="J62" s="69" t="s">
        <v>54</v>
      </c>
      <c r="K62" s="105" t="s">
        <v>55</v>
      </c>
      <c r="L62" s="105" t="s">
        <v>57</v>
      </c>
      <c r="M62" s="106"/>
      <c r="N62" s="71"/>
      <c r="O62" s="71">
        <v>1400000</v>
      </c>
      <c r="P62" s="226"/>
      <c r="Q62" s="231"/>
      <c r="R62" s="223">
        <v>1000000</v>
      </c>
      <c r="S62" s="71"/>
      <c r="T62" s="71"/>
      <c r="U62" s="71"/>
      <c r="V62" s="222"/>
      <c r="W62" s="81"/>
      <c r="X62" s="81"/>
      <c r="Y62" s="81"/>
      <c r="Z62" s="81"/>
      <c r="AA62" s="81"/>
      <c r="AB62" s="81"/>
      <c r="AC62" s="81"/>
      <c r="AD62" s="79"/>
      <c r="AE62" s="45">
        <f t="shared" si="10"/>
        <v>0</v>
      </c>
      <c r="AF62" s="45">
        <f t="shared" si="11"/>
        <v>1000000</v>
      </c>
      <c r="AG62" s="46">
        <f t="shared" si="12"/>
        <v>400000</v>
      </c>
      <c r="AH62" s="86"/>
      <c r="AI62" s="86"/>
      <c r="AJ62" s="87"/>
      <c r="AK62" s="88"/>
      <c r="AL62" s="88"/>
      <c r="AM62" s="88"/>
      <c r="AN62" s="88"/>
      <c r="AO62" s="89"/>
    </row>
    <row r="63" spans="1:41" s="51" customFormat="1" ht="15" customHeight="1" x14ac:dyDescent="0.25">
      <c r="A63" s="42">
        <v>164</v>
      </c>
      <c r="B63" s="100">
        <v>46045</v>
      </c>
      <c r="C63" s="100" t="s">
        <v>162</v>
      </c>
      <c r="D63" s="101" t="s">
        <v>68</v>
      </c>
      <c r="E63" s="215" t="s">
        <v>143</v>
      </c>
      <c r="F63" s="237" t="s">
        <v>157</v>
      </c>
      <c r="G63" s="69"/>
      <c r="H63" s="70" t="s">
        <v>158</v>
      </c>
      <c r="I63" s="69" t="s">
        <v>54</v>
      </c>
      <c r="J63" s="69" t="s">
        <v>54</v>
      </c>
      <c r="K63" s="105" t="s">
        <v>55</v>
      </c>
      <c r="L63" s="105" t="s">
        <v>57</v>
      </c>
      <c r="M63" s="106"/>
      <c r="N63" s="71"/>
      <c r="O63" s="71">
        <v>1406250</v>
      </c>
      <c r="P63" s="226"/>
      <c r="Q63" s="231"/>
      <c r="R63" s="223">
        <v>1200000</v>
      </c>
      <c r="S63" s="71"/>
      <c r="T63" s="71"/>
      <c r="U63" s="71"/>
      <c r="V63" s="222"/>
      <c r="W63" s="81"/>
      <c r="X63" s="81"/>
      <c r="Y63" s="81"/>
      <c r="Z63" s="81"/>
      <c r="AA63" s="81"/>
      <c r="AB63" s="81"/>
      <c r="AC63" s="81"/>
      <c r="AD63" s="53"/>
      <c r="AE63" s="45">
        <f t="shared" si="10"/>
        <v>0</v>
      </c>
      <c r="AF63" s="45">
        <f t="shared" si="11"/>
        <v>1200000</v>
      </c>
      <c r="AG63" s="46">
        <f t="shared" si="12"/>
        <v>206250</v>
      </c>
      <c r="AH63" s="42"/>
      <c r="AI63" s="42"/>
      <c r="AJ63" s="57"/>
      <c r="AK63" s="58"/>
      <c r="AL63" s="58"/>
      <c r="AM63" s="58"/>
      <c r="AN63" s="58"/>
      <c r="AO63" s="50"/>
    </row>
    <row r="64" spans="1:41" s="90" customFormat="1" ht="15" customHeight="1" x14ac:dyDescent="0.25">
      <c r="A64" s="42">
        <v>172</v>
      </c>
      <c r="B64" s="100">
        <v>46046</v>
      </c>
      <c r="C64" s="100" t="s">
        <v>217</v>
      </c>
      <c r="D64" s="101" t="s">
        <v>89</v>
      </c>
      <c r="E64" s="69" t="s">
        <v>90</v>
      </c>
      <c r="F64" s="206" t="s">
        <v>217</v>
      </c>
      <c r="G64" s="69"/>
      <c r="H64" s="70" t="s">
        <v>158</v>
      </c>
      <c r="I64" s="69" t="s">
        <v>48</v>
      </c>
      <c r="J64" s="69" t="s">
        <v>83</v>
      </c>
      <c r="K64" s="69"/>
      <c r="L64" s="105" t="s">
        <v>56</v>
      </c>
      <c r="M64" s="106" t="s">
        <v>216</v>
      </c>
      <c r="N64" s="71">
        <v>950000</v>
      </c>
      <c r="O64" s="71"/>
      <c r="P64" s="109"/>
      <c r="Q64" s="231"/>
      <c r="R64" s="223"/>
      <c r="S64" s="81"/>
      <c r="T64" s="71"/>
      <c r="U64" s="71"/>
      <c r="V64" s="222"/>
      <c r="W64" s="81"/>
      <c r="X64" s="81"/>
      <c r="Y64" s="81"/>
      <c r="Z64" s="81"/>
      <c r="AA64" s="81"/>
      <c r="AB64" s="81"/>
      <c r="AC64" s="81"/>
      <c r="AD64" s="79"/>
      <c r="AE64" s="45">
        <f t="shared" si="10"/>
        <v>0</v>
      </c>
      <c r="AF64" s="45">
        <f t="shared" si="11"/>
        <v>0</v>
      </c>
      <c r="AG64" s="46">
        <f t="shared" si="12"/>
        <v>950000</v>
      </c>
      <c r="AH64" s="86"/>
      <c r="AI64" s="86"/>
      <c r="AJ64" s="87"/>
      <c r="AK64" s="88"/>
      <c r="AL64" s="88"/>
      <c r="AM64" s="88"/>
      <c r="AN64" s="88"/>
      <c r="AO64" s="89"/>
    </row>
    <row r="65" spans="1:41" s="90" customFormat="1" ht="15" customHeight="1" x14ac:dyDescent="0.25">
      <c r="A65" s="42">
        <v>174</v>
      </c>
      <c r="B65" s="100">
        <v>46047</v>
      </c>
      <c r="C65" s="100" t="s">
        <v>217</v>
      </c>
      <c r="D65" s="101" t="s">
        <v>84</v>
      </c>
      <c r="E65" s="69" t="s">
        <v>215</v>
      </c>
      <c r="F65" s="206" t="s">
        <v>217</v>
      </c>
      <c r="G65" s="69"/>
      <c r="H65" s="70" t="s">
        <v>158</v>
      </c>
      <c r="I65" s="69" t="s">
        <v>65</v>
      </c>
      <c r="J65" s="69" t="s">
        <v>66</v>
      </c>
      <c r="K65" s="105"/>
      <c r="L65" s="105" t="s">
        <v>49</v>
      </c>
      <c r="M65" s="106"/>
      <c r="N65" s="71">
        <v>2000000</v>
      </c>
      <c r="O65" s="71"/>
      <c r="P65" s="226"/>
      <c r="Q65" s="231"/>
      <c r="R65" s="223"/>
      <c r="S65" s="71"/>
      <c r="T65" s="71"/>
      <c r="U65" s="71"/>
      <c r="V65" s="222"/>
      <c r="W65" s="81"/>
      <c r="X65" s="81"/>
      <c r="Y65" s="81"/>
      <c r="Z65" s="81"/>
      <c r="AA65" s="81"/>
      <c r="AB65" s="81"/>
      <c r="AC65" s="81"/>
      <c r="AD65" s="79"/>
      <c r="AE65" s="45">
        <f t="shared" si="10"/>
        <v>0</v>
      </c>
      <c r="AF65" s="45">
        <f t="shared" si="11"/>
        <v>0</v>
      </c>
      <c r="AG65" s="46">
        <f t="shared" si="12"/>
        <v>2000000</v>
      </c>
      <c r="AH65" s="86"/>
      <c r="AI65" s="86"/>
      <c r="AJ65" s="87"/>
      <c r="AK65" s="88"/>
      <c r="AL65" s="88"/>
      <c r="AM65" s="88"/>
      <c r="AN65" s="88"/>
      <c r="AO65" s="89"/>
    </row>
    <row r="66" spans="1:41" s="90" customFormat="1" ht="15" customHeight="1" x14ac:dyDescent="0.25">
      <c r="A66" s="42">
        <v>175</v>
      </c>
      <c r="B66" s="100">
        <v>46048</v>
      </c>
      <c r="C66" s="100" t="s">
        <v>217</v>
      </c>
      <c r="D66" s="101" t="s">
        <v>46</v>
      </c>
      <c r="E66" s="215" t="s">
        <v>92</v>
      </c>
      <c r="F66" s="206" t="s">
        <v>217</v>
      </c>
      <c r="G66" s="69"/>
      <c r="H66" s="70" t="s">
        <v>158</v>
      </c>
      <c r="I66" s="69" t="s">
        <v>50</v>
      </c>
      <c r="J66" s="69" t="s">
        <v>51</v>
      </c>
      <c r="K66" s="105"/>
      <c r="L66" s="105" t="s">
        <v>56</v>
      </c>
      <c r="M66" s="106">
        <v>46049</v>
      </c>
      <c r="N66" s="71">
        <v>1425000</v>
      </c>
      <c r="O66" s="71"/>
      <c r="P66" s="226"/>
      <c r="Q66" s="231"/>
      <c r="R66" s="223"/>
      <c r="S66" s="71"/>
      <c r="T66" s="71"/>
      <c r="U66" s="71"/>
      <c r="V66" s="222"/>
      <c r="W66" s="81"/>
      <c r="X66" s="81"/>
      <c r="Y66" s="81"/>
      <c r="Z66" s="81"/>
      <c r="AA66" s="81"/>
      <c r="AB66" s="81"/>
      <c r="AC66" s="81"/>
      <c r="AD66" s="79"/>
      <c r="AE66" s="45">
        <f t="shared" si="10"/>
        <v>0</v>
      </c>
      <c r="AF66" s="45">
        <f t="shared" si="11"/>
        <v>0</v>
      </c>
      <c r="AG66" s="46">
        <f t="shared" si="12"/>
        <v>1425000</v>
      </c>
      <c r="AH66" s="86"/>
      <c r="AI66" s="86"/>
      <c r="AJ66" s="87"/>
      <c r="AK66" s="88"/>
      <c r="AL66" s="88"/>
      <c r="AM66" s="88"/>
      <c r="AN66" s="88"/>
      <c r="AO66" s="89"/>
    </row>
    <row r="67" spans="1:41" s="90" customFormat="1" ht="15" customHeight="1" x14ac:dyDescent="0.25">
      <c r="A67" s="42">
        <v>176</v>
      </c>
      <c r="B67" s="100">
        <v>46048</v>
      </c>
      <c r="C67" s="100" t="s">
        <v>217</v>
      </c>
      <c r="D67" s="101" t="s">
        <v>84</v>
      </c>
      <c r="E67" s="215" t="s">
        <v>61</v>
      </c>
      <c r="F67" s="206" t="s">
        <v>217</v>
      </c>
      <c r="G67" s="69"/>
      <c r="H67" s="70" t="s">
        <v>158</v>
      </c>
      <c r="I67" s="69" t="s">
        <v>48</v>
      </c>
      <c r="J67" s="69" t="s">
        <v>83</v>
      </c>
      <c r="K67" s="105"/>
      <c r="L67" s="105" t="s">
        <v>49</v>
      </c>
      <c r="M67" s="106"/>
      <c r="N67" s="71">
        <v>3200000</v>
      </c>
      <c r="O67" s="71"/>
      <c r="P67" s="226"/>
      <c r="Q67" s="231"/>
      <c r="R67" s="223"/>
      <c r="S67" s="71"/>
      <c r="T67" s="71"/>
      <c r="U67" s="71"/>
      <c r="V67" s="222"/>
      <c r="W67" s="81"/>
      <c r="X67" s="81"/>
      <c r="Y67" s="81"/>
      <c r="Z67" s="81"/>
      <c r="AA67" s="81"/>
      <c r="AB67" s="81"/>
      <c r="AC67" s="81"/>
      <c r="AD67" s="79"/>
      <c r="AE67" s="45">
        <f t="shared" si="10"/>
        <v>0</v>
      </c>
      <c r="AF67" s="45">
        <f t="shared" si="11"/>
        <v>0</v>
      </c>
      <c r="AG67" s="46">
        <f t="shared" si="12"/>
        <v>3200000</v>
      </c>
      <c r="AH67" s="86"/>
      <c r="AI67" s="86"/>
      <c r="AJ67" s="87"/>
      <c r="AK67" s="88"/>
      <c r="AL67" s="88"/>
      <c r="AM67" s="88"/>
      <c r="AN67" s="88"/>
      <c r="AO67" s="89"/>
    </row>
    <row r="68" spans="1:41" s="90" customFormat="1" ht="15" customHeight="1" x14ac:dyDescent="0.25">
      <c r="A68" s="42">
        <v>177</v>
      </c>
      <c r="B68" s="100">
        <v>46048</v>
      </c>
      <c r="C68" s="100" t="s">
        <v>217</v>
      </c>
      <c r="D68" s="101" t="s">
        <v>84</v>
      </c>
      <c r="E68" s="215" t="s">
        <v>61</v>
      </c>
      <c r="F68" s="206" t="s">
        <v>217</v>
      </c>
      <c r="G68" s="69"/>
      <c r="H68" s="70" t="s">
        <v>158</v>
      </c>
      <c r="I68" s="69" t="s">
        <v>65</v>
      </c>
      <c r="J68" s="69" t="s">
        <v>66</v>
      </c>
      <c r="K68" s="105"/>
      <c r="L68" s="105" t="s">
        <v>49</v>
      </c>
      <c r="M68" s="106"/>
      <c r="N68" s="71">
        <v>3200000</v>
      </c>
      <c r="O68" s="71"/>
      <c r="P68" s="226"/>
      <c r="Q68" s="231"/>
      <c r="R68" s="223"/>
      <c r="S68" s="71"/>
      <c r="T68" s="71"/>
      <c r="U68" s="71"/>
      <c r="V68" s="222"/>
      <c r="W68" s="81"/>
      <c r="X68" s="81"/>
      <c r="Y68" s="81"/>
      <c r="Z68" s="81"/>
      <c r="AA68" s="81"/>
      <c r="AB68" s="81"/>
      <c r="AC68" s="81"/>
      <c r="AD68" s="79"/>
      <c r="AE68" s="45">
        <f t="shared" si="10"/>
        <v>0</v>
      </c>
      <c r="AF68" s="45">
        <f t="shared" si="11"/>
        <v>0</v>
      </c>
      <c r="AG68" s="46">
        <f t="shared" si="12"/>
        <v>3200000</v>
      </c>
      <c r="AH68" s="86"/>
      <c r="AI68" s="86"/>
      <c r="AJ68" s="87"/>
      <c r="AK68" s="88"/>
      <c r="AL68" s="88"/>
      <c r="AM68" s="88"/>
      <c r="AN68" s="88"/>
      <c r="AO68" s="89"/>
    </row>
    <row r="69" spans="1:41" s="90" customFormat="1" ht="15" customHeight="1" x14ac:dyDescent="0.25">
      <c r="A69" s="42">
        <v>190</v>
      </c>
      <c r="B69" s="100">
        <v>46050</v>
      </c>
      <c r="C69" s="100" t="s">
        <v>217</v>
      </c>
      <c r="D69" s="100" t="s">
        <v>46</v>
      </c>
      <c r="E69" s="101" t="s">
        <v>92</v>
      </c>
      <c r="F69" s="206" t="s">
        <v>217</v>
      </c>
      <c r="G69" s="69"/>
      <c r="H69" s="70" t="s">
        <v>158</v>
      </c>
      <c r="I69" s="69" t="s">
        <v>218</v>
      </c>
      <c r="J69" s="69" t="s">
        <v>107</v>
      </c>
      <c r="K69" s="105"/>
      <c r="L69" s="105" t="s">
        <v>109</v>
      </c>
      <c r="M69" s="106"/>
      <c r="N69" s="71">
        <v>1265000</v>
      </c>
      <c r="O69" s="71"/>
      <c r="P69" s="226"/>
      <c r="Q69" s="231"/>
      <c r="R69" s="223"/>
      <c r="S69" s="71"/>
      <c r="T69" s="71"/>
      <c r="U69" s="71"/>
      <c r="V69" s="222"/>
      <c r="W69" s="81"/>
      <c r="X69" s="81"/>
      <c r="Y69" s="81"/>
      <c r="Z69" s="81"/>
      <c r="AA69" s="81"/>
      <c r="AB69" s="81"/>
      <c r="AC69" s="81"/>
      <c r="AD69" s="79"/>
      <c r="AE69" s="45">
        <f t="shared" si="10"/>
        <v>0</v>
      </c>
      <c r="AF69" s="45">
        <f t="shared" si="11"/>
        <v>0</v>
      </c>
      <c r="AG69" s="46">
        <f t="shared" si="12"/>
        <v>1265000</v>
      </c>
      <c r="AH69" s="86"/>
      <c r="AI69" s="86"/>
      <c r="AJ69" s="87"/>
      <c r="AK69" s="88"/>
      <c r="AL69" s="88"/>
      <c r="AM69" s="88"/>
      <c r="AN69" s="88"/>
      <c r="AO69" s="89"/>
    </row>
    <row r="70" spans="1:41" s="90" customFormat="1" ht="15" customHeight="1" x14ac:dyDescent="0.25">
      <c r="A70" s="42">
        <v>191</v>
      </c>
      <c r="B70" s="100">
        <v>46050</v>
      </c>
      <c r="C70" s="100" t="s">
        <v>217</v>
      </c>
      <c r="D70" s="100" t="s">
        <v>46</v>
      </c>
      <c r="E70" s="101" t="s">
        <v>61</v>
      </c>
      <c r="F70" s="206" t="s">
        <v>217</v>
      </c>
      <c r="G70" s="69"/>
      <c r="H70" s="70" t="s">
        <v>158</v>
      </c>
      <c r="I70" s="69" t="s">
        <v>50</v>
      </c>
      <c r="J70" s="69" t="s">
        <v>51</v>
      </c>
      <c r="K70" s="105"/>
      <c r="L70" s="105" t="s">
        <v>109</v>
      </c>
      <c r="M70" s="106"/>
      <c r="N70" s="71">
        <v>1437000</v>
      </c>
      <c r="O70" s="71"/>
      <c r="P70" s="226"/>
      <c r="Q70" s="231"/>
      <c r="R70" s="223"/>
      <c r="S70" s="71"/>
      <c r="T70" s="71"/>
      <c r="U70" s="71"/>
      <c r="V70" s="222"/>
      <c r="W70" s="81"/>
      <c r="X70" s="81"/>
      <c r="Y70" s="81"/>
      <c r="Z70" s="81"/>
      <c r="AA70" s="81"/>
      <c r="AB70" s="81"/>
      <c r="AC70" s="81"/>
      <c r="AD70" s="79"/>
      <c r="AE70" s="45">
        <f t="shared" si="10"/>
        <v>0</v>
      </c>
      <c r="AF70" s="45">
        <f t="shared" si="11"/>
        <v>0</v>
      </c>
      <c r="AG70" s="46">
        <f t="shared" si="12"/>
        <v>1437000</v>
      </c>
      <c r="AH70" s="86"/>
      <c r="AI70" s="86"/>
      <c r="AJ70" s="87"/>
      <c r="AK70" s="88"/>
      <c r="AL70" s="88"/>
      <c r="AM70" s="88"/>
      <c r="AN70" s="88"/>
      <c r="AO70" s="89"/>
    </row>
    <row r="71" spans="1:41" s="90" customFormat="1" ht="15" customHeight="1" x14ac:dyDescent="0.25">
      <c r="A71" s="42">
        <v>172</v>
      </c>
      <c r="B71" s="100"/>
      <c r="C71" s="100"/>
      <c r="D71" s="101"/>
      <c r="E71" s="215"/>
      <c r="F71" s="206"/>
      <c r="G71" s="69"/>
      <c r="H71" s="220"/>
      <c r="I71" s="69"/>
      <c r="J71" s="69"/>
      <c r="K71" s="105"/>
      <c r="L71" s="105"/>
      <c r="M71" s="107"/>
      <c r="N71" s="71"/>
      <c r="O71" s="71"/>
      <c r="P71" s="226"/>
      <c r="Q71" s="231"/>
      <c r="R71" s="223"/>
      <c r="S71" s="71"/>
      <c r="T71" s="71"/>
      <c r="U71" s="71"/>
      <c r="V71" s="223"/>
      <c r="W71" s="81"/>
      <c r="X71" s="81"/>
      <c r="Y71" s="81"/>
      <c r="Z71" s="81"/>
      <c r="AA71" s="81"/>
      <c r="AB71" s="81"/>
      <c r="AC71" s="81"/>
      <c r="AD71" s="79"/>
      <c r="AE71" s="45">
        <f t="shared" si="10"/>
        <v>0</v>
      </c>
      <c r="AF71" s="45">
        <f t="shared" si="11"/>
        <v>0</v>
      </c>
      <c r="AG71" s="46">
        <f t="shared" si="12"/>
        <v>0</v>
      </c>
      <c r="AH71" s="86"/>
      <c r="AI71" s="86"/>
      <c r="AJ71" s="87"/>
      <c r="AK71" s="88"/>
      <c r="AL71" s="88"/>
      <c r="AM71" s="88"/>
      <c r="AN71" s="88"/>
      <c r="AO71" s="89"/>
    </row>
    <row r="72" spans="1:41" s="90" customFormat="1" ht="15" customHeight="1" x14ac:dyDescent="0.25">
      <c r="A72" s="42">
        <v>173</v>
      </c>
      <c r="B72" s="100"/>
      <c r="C72" s="100"/>
      <c r="D72" s="101"/>
      <c r="E72" s="69"/>
      <c r="F72" s="206"/>
      <c r="G72" s="69"/>
      <c r="H72" s="220"/>
      <c r="I72" s="69"/>
      <c r="J72" s="69"/>
      <c r="K72" s="105"/>
      <c r="L72" s="105"/>
      <c r="M72" s="106"/>
      <c r="N72" s="71"/>
      <c r="O72" s="71"/>
      <c r="P72" s="226"/>
      <c r="Q72" s="231"/>
      <c r="R72" s="223"/>
      <c r="S72" s="71"/>
      <c r="T72" s="71"/>
      <c r="U72" s="71"/>
      <c r="V72" s="222"/>
      <c r="W72" s="81"/>
      <c r="X72" s="81"/>
      <c r="Y72" s="81"/>
      <c r="Z72" s="81"/>
      <c r="AA72" s="81"/>
      <c r="AB72" s="81"/>
      <c r="AC72" s="81"/>
      <c r="AD72" s="79"/>
      <c r="AE72" s="45">
        <f t="shared" si="10"/>
        <v>0</v>
      </c>
      <c r="AF72" s="45">
        <f t="shared" si="11"/>
        <v>0</v>
      </c>
      <c r="AG72" s="46">
        <f t="shared" si="12"/>
        <v>0</v>
      </c>
      <c r="AH72" s="86"/>
      <c r="AI72" s="86"/>
      <c r="AJ72" s="87"/>
      <c r="AK72" s="88"/>
      <c r="AL72" s="88"/>
      <c r="AM72" s="88"/>
      <c r="AN72" s="88"/>
      <c r="AO72" s="89"/>
    </row>
    <row r="73" spans="1:41" s="51" customFormat="1" ht="15" customHeight="1" x14ac:dyDescent="0.25">
      <c r="A73" s="42">
        <v>174</v>
      </c>
      <c r="B73" s="100"/>
      <c r="C73" s="100"/>
      <c r="D73" s="101"/>
      <c r="E73" s="69"/>
      <c r="F73" s="206"/>
      <c r="G73" s="69"/>
      <c r="H73" s="220"/>
      <c r="I73" s="69"/>
      <c r="J73" s="69"/>
      <c r="K73" s="105"/>
      <c r="L73" s="105"/>
      <c r="M73" s="106"/>
      <c r="N73" s="71"/>
      <c r="O73" s="71"/>
      <c r="P73" s="226"/>
      <c r="Q73" s="231"/>
      <c r="R73" s="223"/>
      <c r="S73" s="71"/>
      <c r="T73" s="71"/>
      <c r="U73" s="71"/>
      <c r="V73" s="222"/>
      <c r="W73" s="81"/>
      <c r="X73" s="81"/>
      <c r="Y73" s="81"/>
      <c r="Z73" s="81"/>
      <c r="AA73" s="53"/>
      <c r="AB73" s="53"/>
      <c r="AC73" s="53"/>
      <c r="AD73" s="53"/>
      <c r="AE73" s="45">
        <f t="shared" si="10"/>
        <v>0</v>
      </c>
      <c r="AF73" s="45">
        <f t="shared" si="11"/>
        <v>0</v>
      </c>
      <c r="AG73" s="46">
        <f t="shared" si="12"/>
        <v>0</v>
      </c>
      <c r="AH73" s="42"/>
      <c r="AI73" s="42"/>
      <c r="AJ73" s="57"/>
      <c r="AK73" s="58"/>
      <c r="AL73" s="58"/>
      <c r="AM73" s="58"/>
      <c r="AN73" s="58"/>
      <c r="AO73" s="50"/>
    </row>
    <row r="74" spans="1:41" s="51" customFormat="1" ht="15" customHeight="1" x14ac:dyDescent="0.25">
      <c r="A74" s="42">
        <v>175</v>
      </c>
      <c r="B74" s="100"/>
      <c r="C74" s="100"/>
      <c r="D74" s="101"/>
      <c r="E74" s="69"/>
      <c r="F74" s="206"/>
      <c r="G74" s="69"/>
      <c r="H74" s="220"/>
      <c r="I74" s="69"/>
      <c r="J74" s="69"/>
      <c r="K74" s="105"/>
      <c r="L74" s="105"/>
      <c r="M74" s="106"/>
      <c r="N74" s="71"/>
      <c r="O74" s="71"/>
      <c r="P74" s="226"/>
      <c r="Q74" s="231"/>
      <c r="R74" s="223"/>
      <c r="S74" s="71"/>
      <c r="T74" s="71"/>
      <c r="U74" s="71"/>
      <c r="V74" s="222"/>
      <c r="W74" s="81"/>
      <c r="X74" s="81"/>
      <c r="Y74" s="81"/>
      <c r="Z74" s="81"/>
      <c r="AA74" s="53"/>
      <c r="AB74" s="53"/>
      <c r="AC74" s="53"/>
      <c r="AD74" s="53"/>
      <c r="AE74" s="45">
        <f t="shared" si="10"/>
        <v>0</v>
      </c>
      <c r="AF74" s="45">
        <f t="shared" si="11"/>
        <v>0</v>
      </c>
      <c r="AG74" s="46">
        <f t="shared" si="12"/>
        <v>0</v>
      </c>
      <c r="AH74" s="42"/>
      <c r="AI74" s="42"/>
      <c r="AJ74" s="57"/>
      <c r="AK74" s="58"/>
      <c r="AL74" s="58"/>
      <c r="AM74" s="58"/>
      <c r="AN74" s="58"/>
      <c r="AO74" s="50"/>
    </row>
    <row r="75" spans="1:41" s="90" customFormat="1" ht="15" customHeight="1" x14ac:dyDescent="0.25">
      <c r="A75" s="42">
        <v>176</v>
      </c>
      <c r="B75" s="100"/>
      <c r="C75" s="100"/>
      <c r="D75" s="101"/>
      <c r="E75" s="215"/>
      <c r="F75" s="206"/>
      <c r="G75" s="69"/>
      <c r="H75" s="220"/>
      <c r="I75" s="69"/>
      <c r="J75" s="69"/>
      <c r="K75" s="105"/>
      <c r="L75" s="105"/>
      <c r="M75" s="107"/>
      <c r="N75" s="108"/>
      <c r="O75" s="71"/>
      <c r="P75" s="232"/>
      <c r="Q75" s="110"/>
      <c r="R75" s="111"/>
      <c r="S75" s="71"/>
      <c r="T75" s="71"/>
      <c r="U75" s="71"/>
      <c r="V75" s="222"/>
      <c r="W75" s="81"/>
      <c r="X75" s="81"/>
      <c r="Y75" s="81"/>
      <c r="Z75" s="81"/>
      <c r="AA75" s="81"/>
      <c r="AB75" s="81"/>
      <c r="AC75" s="81"/>
      <c r="AD75" s="79"/>
      <c r="AE75" s="45">
        <f t="shared" si="10"/>
        <v>0</v>
      </c>
      <c r="AF75" s="45">
        <f t="shared" si="11"/>
        <v>0</v>
      </c>
      <c r="AG75" s="46">
        <f t="shared" si="12"/>
        <v>0</v>
      </c>
      <c r="AH75" s="86"/>
      <c r="AI75" s="86"/>
      <c r="AJ75" s="87"/>
      <c r="AK75" s="88"/>
      <c r="AL75" s="88"/>
      <c r="AM75" s="88"/>
      <c r="AN75" s="88"/>
      <c r="AO75" s="89"/>
    </row>
    <row r="76" spans="1:41" s="51" customFormat="1" ht="15" customHeight="1" x14ac:dyDescent="0.25">
      <c r="A76" s="42">
        <v>177</v>
      </c>
      <c r="B76" s="100"/>
      <c r="C76" s="100"/>
      <c r="D76" s="101"/>
      <c r="E76" s="215"/>
      <c r="F76" s="206"/>
      <c r="G76" s="69"/>
      <c r="H76" s="220"/>
      <c r="I76" s="69"/>
      <c r="J76" s="69"/>
      <c r="K76" s="105"/>
      <c r="L76" s="105"/>
      <c r="M76" s="107"/>
      <c r="N76" s="108"/>
      <c r="O76" s="108"/>
      <c r="P76" s="226"/>
      <c r="Q76" s="110"/>
      <c r="R76" s="111"/>
      <c r="S76" s="71"/>
      <c r="T76" s="71"/>
      <c r="U76" s="71"/>
      <c r="V76" s="222"/>
      <c r="W76" s="81"/>
      <c r="X76" s="81"/>
      <c r="Y76" s="81"/>
      <c r="Z76" s="81"/>
      <c r="AA76" s="81"/>
      <c r="AB76" s="81"/>
      <c r="AC76" s="81"/>
      <c r="AD76" s="53"/>
      <c r="AE76" s="45">
        <f t="shared" si="10"/>
        <v>0</v>
      </c>
      <c r="AF76" s="45">
        <f t="shared" si="11"/>
        <v>0</v>
      </c>
      <c r="AG76" s="46">
        <f t="shared" si="12"/>
        <v>0</v>
      </c>
      <c r="AH76" s="42"/>
      <c r="AI76" s="42"/>
      <c r="AJ76" s="57"/>
      <c r="AK76" s="58"/>
      <c r="AL76" s="58"/>
      <c r="AM76" s="58"/>
      <c r="AN76" s="58"/>
      <c r="AO76" s="50"/>
    </row>
    <row r="77" spans="1:41" s="51" customFormat="1" ht="15" customHeight="1" x14ac:dyDescent="0.25">
      <c r="A77" s="42">
        <v>178</v>
      </c>
      <c r="B77" s="100"/>
      <c r="C77" s="100"/>
      <c r="D77" s="101"/>
      <c r="E77" s="215"/>
      <c r="F77" s="206"/>
      <c r="G77" s="69"/>
      <c r="H77" s="220"/>
      <c r="I77" s="69"/>
      <c r="J77" s="69"/>
      <c r="K77" s="105"/>
      <c r="L77" s="105"/>
      <c r="M77" s="107"/>
      <c r="N77" s="108"/>
      <c r="O77" s="108"/>
      <c r="P77" s="226"/>
      <c r="Q77" s="110"/>
      <c r="R77" s="111"/>
      <c r="S77" s="71"/>
      <c r="T77" s="71"/>
      <c r="U77" s="71"/>
      <c r="V77" s="222"/>
      <c r="W77" s="81"/>
      <c r="X77" s="81"/>
      <c r="Y77" s="81"/>
      <c r="Z77" s="81"/>
      <c r="AA77" s="81"/>
      <c r="AB77" s="81"/>
      <c r="AC77" s="81"/>
      <c r="AD77" s="53"/>
      <c r="AE77" s="45">
        <f t="shared" si="10"/>
        <v>0</v>
      </c>
      <c r="AF77" s="45">
        <f t="shared" si="11"/>
        <v>0</v>
      </c>
      <c r="AG77" s="46">
        <f t="shared" si="12"/>
        <v>0</v>
      </c>
      <c r="AH77" s="42"/>
      <c r="AI77" s="42"/>
      <c r="AJ77" s="57"/>
      <c r="AK77" s="58"/>
      <c r="AL77" s="58"/>
      <c r="AM77" s="58"/>
      <c r="AN77" s="58"/>
      <c r="AO77" s="50"/>
    </row>
    <row r="78" spans="1:41" s="90" customFormat="1" ht="15" customHeight="1" x14ac:dyDescent="0.25">
      <c r="A78" s="42">
        <v>179</v>
      </c>
      <c r="B78" s="100"/>
      <c r="C78" s="100"/>
      <c r="D78" s="101"/>
      <c r="E78" s="69"/>
      <c r="F78" s="206"/>
      <c r="G78" s="69"/>
      <c r="H78" s="220"/>
      <c r="I78" s="69"/>
      <c r="J78" s="69"/>
      <c r="K78" s="105"/>
      <c r="L78" s="105"/>
      <c r="M78" s="107"/>
      <c r="N78" s="108"/>
      <c r="O78" s="108"/>
      <c r="P78" s="226"/>
      <c r="Q78" s="110"/>
      <c r="R78" s="111"/>
      <c r="S78" s="71"/>
      <c r="T78" s="71"/>
      <c r="U78" s="71"/>
      <c r="V78" s="222"/>
      <c r="W78" s="81"/>
      <c r="X78" s="81"/>
      <c r="Y78" s="81"/>
      <c r="Z78" s="81"/>
      <c r="AA78" s="81"/>
      <c r="AB78" s="81"/>
      <c r="AC78" s="81"/>
      <c r="AD78" s="79"/>
      <c r="AE78" s="45">
        <f t="shared" si="10"/>
        <v>0</v>
      </c>
      <c r="AF78" s="45">
        <f t="shared" si="11"/>
        <v>0</v>
      </c>
      <c r="AG78" s="46">
        <f t="shared" si="12"/>
        <v>0</v>
      </c>
      <c r="AH78" s="86"/>
      <c r="AI78" s="86"/>
      <c r="AJ78" s="87"/>
      <c r="AK78" s="88"/>
      <c r="AL78" s="88"/>
      <c r="AM78" s="88"/>
      <c r="AN78" s="88"/>
      <c r="AO78" s="89"/>
    </row>
    <row r="79" spans="1:41" s="90" customFormat="1" ht="15" customHeight="1" x14ac:dyDescent="0.25">
      <c r="A79" s="42">
        <v>180</v>
      </c>
      <c r="B79" s="100"/>
      <c r="C79" s="100"/>
      <c r="D79" s="101"/>
      <c r="E79" s="103"/>
      <c r="F79" s="102"/>
      <c r="G79" s="103"/>
      <c r="H79" s="104"/>
      <c r="I79" s="103"/>
      <c r="J79" s="103"/>
      <c r="K79" s="233"/>
      <c r="L79" s="233"/>
      <c r="M79" s="107"/>
      <c r="N79" s="108"/>
      <c r="O79" s="108"/>
      <c r="P79" s="226"/>
      <c r="Q79" s="110"/>
      <c r="R79" s="111"/>
      <c r="S79" s="112"/>
      <c r="T79" s="112"/>
      <c r="U79" s="112"/>
      <c r="V79" s="234"/>
      <c r="W79" s="81"/>
      <c r="X79" s="81"/>
      <c r="Y79" s="81"/>
      <c r="Z79" s="81"/>
      <c r="AA79" s="81"/>
      <c r="AB79" s="81"/>
      <c r="AC79" s="81"/>
      <c r="AD79" s="79"/>
      <c r="AE79" s="45">
        <f t="shared" si="10"/>
        <v>0</v>
      </c>
      <c r="AF79" s="45">
        <f t="shared" si="11"/>
        <v>0</v>
      </c>
      <c r="AG79" s="46">
        <f t="shared" si="12"/>
        <v>0</v>
      </c>
      <c r="AH79" s="86"/>
      <c r="AI79" s="86"/>
      <c r="AJ79" s="87"/>
      <c r="AK79" s="88"/>
      <c r="AL79" s="88"/>
      <c r="AM79" s="88"/>
      <c r="AN79" s="88"/>
      <c r="AO79" s="89"/>
    </row>
    <row r="80" spans="1:41" s="90" customFormat="1" ht="15" customHeight="1" x14ac:dyDescent="0.25">
      <c r="A80" s="42">
        <v>181</v>
      </c>
      <c r="B80" s="100"/>
      <c r="C80" s="100"/>
      <c r="D80" s="101"/>
      <c r="E80" s="69"/>
      <c r="F80" s="206"/>
      <c r="G80" s="69"/>
      <c r="H80" s="220"/>
      <c r="I80" s="69"/>
      <c r="J80" s="69"/>
      <c r="K80" s="105"/>
      <c r="L80" s="105"/>
      <c r="M80" s="107"/>
      <c r="N80" s="108"/>
      <c r="O80" s="108"/>
      <c r="P80" s="226"/>
      <c r="Q80" s="110"/>
      <c r="R80" s="111"/>
      <c r="S80" s="112"/>
      <c r="T80" s="112"/>
      <c r="U80" s="112"/>
      <c r="V80" s="234"/>
      <c r="W80" s="81"/>
      <c r="X80" s="81"/>
      <c r="Y80" s="81"/>
      <c r="Z80" s="81"/>
      <c r="AA80" s="81"/>
      <c r="AB80" s="81"/>
      <c r="AC80" s="81"/>
      <c r="AD80" s="79"/>
      <c r="AE80" s="45">
        <f t="shared" si="10"/>
        <v>0</v>
      </c>
      <c r="AF80" s="45">
        <f t="shared" si="11"/>
        <v>0</v>
      </c>
      <c r="AG80" s="46">
        <f t="shared" si="12"/>
        <v>0</v>
      </c>
      <c r="AH80" s="86"/>
      <c r="AI80" s="86"/>
      <c r="AJ80" s="87"/>
      <c r="AK80" s="88"/>
      <c r="AL80" s="88"/>
      <c r="AM80" s="88"/>
      <c r="AN80" s="88"/>
      <c r="AO80" s="89"/>
    </row>
    <row r="81" spans="1:41" s="90" customFormat="1" ht="15" customHeight="1" x14ac:dyDescent="0.25">
      <c r="A81" s="42">
        <v>182</v>
      </c>
      <c r="B81" s="100"/>
      <c r="C81" s="100"/>
      <c r="D81" s="101"/>
      <c r="E81" s="103"/>
      <c r="F81" s="102"/>
      <c r="G81" s="103"/>
      <c r="H81" s="104"/>
      <c r="I81" s="103"/>
      <c r="J81" s="103"/>
      <c r="K81" s="233"/>
      <c r="L81" s="105"/>
      <c r="M81" s="107"/>
      <c r="N81" s="108"/>
      <c r="O81" s="108"/>
      <c r="P81" s="226"/>
      <c r="Q81" s="110"/>
      <c r="R81" s="111"/>
      <c r="S81" s="112"/>
      <c r="T81" s="112"/>
      <c r="U81" s="112"/>
      <c r="V81" s="234"/>
      <c r="W81" s="81"/>
      <c r="X81" s="81"/>
      <c r="Y81" s="81"/>
      <c r="Z81" s="81"/>
      <c r="AA81" s="81"/>
      <c r="AB81" s="81"/>
      <c r="AC81" s="81"/>
      <c r="AD81" s="79"/>
      <c r="AE81" s="45">
        <f t="shared" si="10"/>
        <v>0</v>
      </c>
      <c r="AF81" s="45">
        <f t="shared" si="11"/>
        <v>0</v>
      </c>
      <c r="AG81" s="46">
        <f t="shared" si="12"/>
        <v>0</v>
      </c>
      <c r="AH81" s="86"/>
      <c r="AI81" s="86"/>
      <c r="AJ81" s="87"/>
      <c r="AK81" s="88"/>
      <c r="AL81" s="88"/>
      <c r="AM81" s="88"/>
      <c r="AN81" s="88"/>
      <c r="AO81" s="89"/>
    </row>
    <row r="82" spans="1:41" s="90" customFormat="1" ht="15" customHeight="1" x14ac:dyDescent="0.25">
      <c r="A82" s="42">
        <v>183</v>
      </c>
      <c r="B82" s="100"/>
      <c r="C82" s="100"/>
      <c r="D82" s="101"/>
      <c r="E82" s="103"/>
      <c r="F82" s="102"/>
      <c r="G82" s="103"/>
      <c r="H82" s="104"/>
      <c r="I82" s="103"/>
      <c r="J82" s="103"/>
      <c r="K82" s="233"/>
      <c r="L82" s="233"/>
      <c r="M82" s="107"/>
      <c r="N82" s="108"/>
      <c r="O82" s="108"/>
      <c r="P82" s="226"/>
      <c r="Q82" s="110"/>
      <c r="R82" s="111"/>
      <c r="S82" s="112"/>
      <c r="T82" s="112"/>
      <c r="U82" s="112"/>
      <c r="V82" s="234"/>
      <c r="W82" s="81"/>
      <c r="X82" s="81"/>
      <c r="Y82" s="81"/>
      <c r="Z82" s="81"/>
      <c r="AA82" s="81"/>
      <c r="AB82" s="81"/>
      <c r="AC82" s="81"/>
      <c r="AD82" s="79"/>
      <c r="AE82" s="45">
        <f t="shared" si="10"/>
        <v>0</v>
      </c>
      <c r="AF82" s="45">
        <f t="shared" si="11"/>
        <v>0</v>
      </c>
      <c r="AG82" s="46">
        <f t="shared" si="12"/>
        <v>0</v>
      </c>
      <c r="AH82" s="86"/>
      <c r="AI82" s="86"/>
      <c r="AJ82" s="87"/>
      <c r="AK82" s="88"/>
      <c r="AL82" s="88"/>
      <c r="AM82" s="88"/>
      <c r="AN82" s="88"/>
      <c r="AO82" s="89"/>
    </row>
    <row r="83" spans="1:41" s="90" customFormat="1" ht="15" customHeight="1" x14ac:dyDescent="0.25">
      <c r="A83" s="42">
        <v>183</v>
      </c>
      <c r="B83" s="100"/>
      <c r="C83" s="100"/>
      <c r="D83" s="101"/>
      <c r="E83" s="103"/>
      <c r="F83" s="102"/>
      <c r="G83" s="103"/>
      <c r="H83" s="104"/>
      <c r="I83" s="69"/>
      <c r="J83" s="69"/>
      <c r="K83" s="105"/>
      <c r="L83" s="105"/>
      <c r="M83" s="107"/>
      <c r="N83" s="108"/>
      <c r="O83" s="108"/>
      <c r="P83" s="226"/>
      <c r="Q83" s="110"/>
      <c r="R83" s="111"/>
      <c r="S83" s="112"/>
      <c r="T83" s="112"/>
      <c r="U83" s="112"/>
      <c r="V83" s="234"/>
      <c r="W83" s="81"/>
      <c r="X83" s="81"/>
      <c r="Y83" s="81"/>
      <c r="Z83" s="81"/>
      <c r="AA83" s="81"/>
      <c r="AB83" s="81"/>
      <c r="AC83" s="81"/>
      <c r="AD83" s="79"/>
      <c r="AE83" s="45">
        <f t="shared" si="10"/>
        <v>0</v>
      </c>
      <c r="AF83" s="45">
        <f t="shared" si="11"/>
        <v>0</v>
      </c>
      <c r="AG83" s="46">
        <f t="shared" si="12"/>
        <v>0</v>
      </c>
      <c r="AH83" s="86"/>
      <c r="AI83" s="86"/>
      <c r="AJ83" s="87"/>
      <c r="AK83" s="88"/>
      <c r="AL83" s="88"/>
      <c r="AM83" s="88"/>
      <c r="AN83" s="88"/>
      <c r="AO83" s="89"/>
    </row>
    <row r="84" spans="1:41" s="51" customFormat="1" ht="15" customHeight="1" x14ac:dyDescent="0.25">
      <c r="A84" s="42">
        <v>184</v>
      </c>
      <c r="B84" s="100"/>
      <c r="C84" s="100"/>
      <c r="D84" s="101"/>
      <c r="E84" s="215"/>
      <c r="F84" s="102"/>
      <c r="G84" s="103"/>
      <c r="H84" s="104"/>
      <c r="I84" s="69"/>
      <c r="J84" s="69"/>
      <c r="K84" s="105"/>
      <c r="L84" s="105"/>
      <c r="M84" s="107"/>
      <c r="N84" s="108"/>
      <c r="O84" s="108"/>
      <c r="P84" s="226"/>
      <c r="Q84" s="110"/>
      <c r="R84" s="111"/>
      <c r="S84" s="112"/>
      <c r="T84" s="112"/>
      <c r="U84" s="112"/>
      <c r="V84" s="234"/>
      <c r="W84" s="81"/>
      <c r="X84" s="81"/>
      <c r="Y84" s="81"/>
      <c r="Z84" s="81"/>
      <c r="AA84" s="81"/>
      <c r="AB84" s="81"/>
      <c r="AC84" s="81"/>
      <c r="AD84" s="53"/>
      <c r="AE84" s="45">
        <f t="shared" si="10"/>
        <v>0</v>
      </c>
      <c r="AF84" s="45">
        <f t="shared" si="11"/>
        <v>0</v>
      </c>
      <c r="AG84" s="46">
        <f t="shared" si="12"/>
        <v>0</v>
      </c>
      <c r="AH84" s="42"/>
      <c r="AI84" s="42"/>
      <c r="AJ84" s="57"/>
      <c r="AK84" s="58"/>
      <c r="AL84" s="58"/>
      <c r="AM84" s="58"/>
      <c r="AN84" s="58"/>
      <c r="AO84" s="50"/>
    </row>
    <row r="85" spans="1:41" s="90" customFormat="1" ht="15" customHeight="1" x14ac:dyDescent="0.25">
      <c r="A85" s="42">
        <v>185</v>
      </c>
      <c r="B85" s="100"/>
      <c r="C85" s="100"/>
      <c r="D85" s="101"/>
      <c r="E85" s="103"/>
      <c r="F85" s="102"/>
      <c r="G85" s="103"/>
      <c r="H85" s="104"/>
      <c r="I85" s="69"/>
      <c r="J85" s="69"/>
      <c r="K85" s="105"/>
      <c r="L85" s="105"/>
      <c r="M85" s="107"/>
      <c r="N85" s="108"/>
      <c r="O85" s="108"/>
      <c r="P85" s="226"/>
      <c r="Q85" s="110"/>
      <c r="R85" s="111"/>
      <c r="S85" s="112"/>
      <c r="T85" s="112"/>
      <c r="U85" s="112"/>
      <c r="V85" s="234"/>
      <c r="W85" s="81"/>
      <c r="X85" s="81"/>
      <c r="Y85" s="81"/>
      <c r="Z85" s="81"/>
      <c r="AA85" s="81"/>
      <c r="AB85" s="81"/>
      <c r="AC85" s="81"/>
      <c r="AD85" s="79"/>
      <c r="AE85" s="45">
        <f t="shared" si="10"/>
        <v>0</v>
      </c>
      <c r="AF85" s="45">
        <f t="shared" si="11"/>
        <v>0</v>
      </c>
      <c r="AG85" s="46">
        <f t="shared" si="12"/>
        <v>0</v>
      </c>
      <c r="AH85" s="86"/>
      <c r="AI85" s="86"/>
      <c r="AJ85" s="87"/>
      <c r="AK85" s="88"/>
      <c r="AL85" s="88"/>
      <c r="AM85" s="88"/>
      <c r="AN85" s="88"/>
      <c r="AO85" s="89"/>
    </row>
    <row r="86" spans="1:41" s="90" customFormat="1" ht="15" customHeight="1" x14ac:dyDescent="0.25">
      <c r="A86" s="42">
        <v>186</v>
      </c>
      <c r="B86" s="100"/>
      <c r="C86" s="100"/>
      <c r="D86" s="101"/>
      <c r="E86" s="103"/>
      <c r="F86" s="102"/>
      <c r="G86" s="103"/>
      <c r="H86" s="104"/>
      <c r="I86" s="69"/>
      <c r="J86" s="69"/>
      <c r="K86" s="105"/>
      <c r="L86" s="105"/>
      <c r="M86" s="107"/>
      <c r="N86" s="108"/>
      <c r="O86" s="108"/>
      <c r="P86" s="226"/>
      <c r="Q86" s="110"/>
      <c r="R86" s="111"/>
      <c r="S86" s="112"/>
      <c r="T86" s="112"/>
      <c r="U86" s="112"/>
      <c r="V86" s="234"/>
      <c r="W86" s="81"/>
      <c r="X86" s="81"/>
      <c r="Y86" s="81"/>
      <c r="Z86" s="81"/>
      <c r="AA86" s="81"/>
      <c r="AB86" s="81"/>
      <c r="AC86" s="81"/>
      <c r="AD86" s="79"/>
      <c r="AE86" s="45">
        <f t="shared" si="10"/>
        <v>0</v>
      </c>
      <c r="AF86" s="45">
        <f t="shared" si="11"/>
        <v>0</v>
      </c>
      <c r="AG86" s="46">
        <f t="shared" si="12"/>
        <v>0</v>
      </c>
      <c r="AH86" s="86"/>
      <c r="AI86" s="86"/>
      <c r="AJ86" s="87"/>
      <c r="AK86" s="88"/>
      <c r="AL86" s="88"/>
      <c r="AM86" s="88"/>
      <c r="AN86" s="88"/>
      <c r="AO86" s="89"/>
    </row>
    <row r="87" spans="1:41" s="90" customFormat="1" ht="15" customHeight="1" x14ac:dyDescent="0.25">
      <c r="A87" s="42">
        <v>187</v>
      </c>
      <c r="B87" s="100"/>
      <c r="C87" s="100"/>
      <c r="D87" s="101"/>
      <c r="E87" s="103"/>
      <c r="F87" s="102"/>
      <c r="G87" s="103"/>
      <c r="H87" s="104"/>
      <c r="I87" s="69"/>
      <c r="J87" s="69"/>
      <c r="K87" s="105"/>
      <c r="L87" s="105"/>
      <c r="M87" s="107"/>
      <c r="N87" s="108"/>
      <c r="O87" s="71"/>
      <c r="P87" s="226"/>
      <c r="Q87" s="110"/>
      <c r="R87" s="111"/>
      <c r="S87" s="112"/>
      <c r="T87" s="112"/>
      <c r="U87" s="112"/>
      <c r="V87" s="234"/>
      <c r="W87" s="81"/>
      <c r="X87" s="81"/>
      <c r="Y87" s="81"/>
      <c r="Z87" s="81"/>
      <c r="AA87" s="81"/>
      <c r="AB87" s="81"/>
      <c r="AC87" s="81"/>
      <c r="AD87" s="79"/>
      <c r="AE87" s="45">
        <f t="shared" si="10"/>
        <v>0</v>
      </c>
      <c r="AF87" s="45">
        <f t="shared" si="11"/>
        <v>0</v>
      </c>
      <c r="AG87" s="46">
        <f t="shared" si="12"/>
        <v>0</v>
      </c>
      <c r="AH87" s="86"/>
      <c r="AI87" s="86"/>
      <c r="AJ87" s="87"/>
      <c r="AK87" s="88"/>
      <c r="AL87" s="88"/>
      <c r="AM87" s="88"/>
      <c r="AN87" s="88"/>
      <c r="AO87" s="89"/>
    </row>
    <row r="88" spans="1:41" s="90" customFormat="1" ht="15" customHeight="1" x14ac:dyDescent="0.25">
      <c r="A88" s="42">
        <v>188</v>
      </c>
      <c r="B88" s="100"/>
      <c r="C88" s="100"/>
      <c r="D88" s="101"/>
      <c r="E88" s="103"/>
      <c r="F88" s="102"/>
      <c r="G88" s="103"/>
      <c r="H88" s="104"/>
      <c r="I88" s="69"/>
      <c r="J88" s="69"/>
      <c r="K88" s="105"/>
      <c r="L88" s="105"/>
      <c r="M88" s="107"/>
      <c r="N88" s="108"/>
      <c r="O88" s="108"/>
      <c r="P88" s="226"/>
      <c r="Q88" s="110"/>
      <c r="R88" s="111"/>
      <c r="S88" s="112"/>
      <c r="T88" s="112"/>
      <c r="U88" s="112"/>
      <c r="V88" s="113"/>
      <c r="W88" s="81"/>
      <c r="X88" s="81"/>
      <c r="Y88" s="81"/>
      <c r="Z88" s="81"/>
      <c r="AA88" s="81"/>
      <c r="AB88" s="81"/>
      <c r="AC88" s="81"/>
      <c r="AD88" s="79"/>
      <c r="AE88" s="45">
        <f t="shared" si="10"/>
        <v>0</v>
      </c>
      <c r="AF88" s="45">
        <f t="shared" si="11"/>
        <v>0</v>
      </c>
      <c r="AG88" s="46">
        <f t="shared" si="12"/>
        <v>0</v>
      </c>
      <c r="AH88" s="86"/>
      <c r="AI88" s="86"/>
      <c r="AJ88" s="87"/>
      <c r="AK88" s="88"/>
      <c r="AL88" s="88"/>
      <c r="AM88" s="88"/>
      <c r="AN88" s="88"/>
      <c r="AO88" s="89"/>
    </row>
    <row r="89" spans="1:41" s="90" customFormat="1" ht="15" customHeight="1" x14ac:dyDescent="0.25">
      <c r="A89" s="42">
        <v>189</v>
      </c>
      <c r="B89" s="100"/>
      <c r="C89" s="100"/>
      <c r="D89" s="101"/>
      <c r="E89" s="103"/>
      <c r="F89" s="102"/>
      <c r="G89" s="103"/>
      <c r="H89" s="104"/>
      <c r="I89" s="69"/>
      <c r="J89" s="69"/>
      <c r="K89" s="105"/>
      <c r="L89" s="105"/>
      <c r="M89" s="107"/>
      <c r="N89" s="71"/>
      <c r="O89" s="108"/>
      <c r="P89" s="226"/>
      <c r="Q89" s="110"/>
      <c r="R89" s="111"/>
      <c r="S89" s="112"/>
      <c r="T89" s="112"/>
      <c r="U89" s="112"/>
      <c r="V89" s="113"/>
      <c r="W89" s="81"/>
      <c r="X89" s="81"/>
      <c r="Y89" s="81"/>
      <c r="Z89" s="81"/>
      <c r="AA89" s="81"/>
      <c r="AB89" s="81"/>
      <c r="AC89" s="81"/>
      <c r="AD89" s="79"/>
      <c r="AE89" s="45">
        <f t="shared" si="10"/>
        <v>0</v>
      </c>
      <c r="AF89" s="45">
        <f t="shared" si="11"/>
        <v>0</v>
      </c>
      <c r="AG89" s="46">
        <f t="shared" si="12"/>
        <v>0</v>
      </c>
      <c r="AH89" s="86"/>
      <c r="AI89" s="86"/>
      <c r="AJ89" s="87"/>
      <c r="AK89" s="88"/>
      <c r="AL89" s="88"/>
      <c r="AM89" s="88"/>
      <c r="AN89" s="88"/>
      <c r="AO89" s="89"/>
    </row>
    <row r="90" spans="1:41" s="90" customFormat="1" ht="15" customHeight="1" x14ac:dyDescent="0.25">
      <c r="A90" s="42">
        <v>190</v>
      </c>
      <c r="B90" s="100"/>
      <c r="C90" s="100"/>
      <c r="D90" s="101"/>
      <c r="E90" s="69"/>
      <c r="F90" s="102"/>
      <c r="G90" s="103"/>
      <c r="H90" s="104"/>
      <c r="I90" s="69"/>
      <c r="J90" s="69"/>
      <c r="K90" s="105"/>
      <c r="L90" s="105"/>
      <c r="M90" s="107"/>
      <c r="N90" s="108"/>
      <c r="O90" s="108"/>
      <c r="P90" s="226"/>
      <c r="Q90" s="110"/>
      <c r="R90" s="111"/>
      <c r="S90" s="112"/>
      <c r="T90" s="112"/>
      <c r="U90" s="112"/>
      <c r="V90" s="113"/>
      <c r="W90" s="81"/>
      <c r="X90" s="81"/>
      <c r="Y90" s="81"/>
      <c r="Z90" s="81"/>
      <c r="AA90" s="81"/>
      <c r="AB90" s="81"/>
      <c r="AC90" s="81"/>
      <c r="AD90" s="79"/>
      <c r="AE90" s="45">
        <f t="shared" si="10"/>
        <v>0</v>
      </c>
      <c r="AF90" s="45">
        <f t="shared" si="11"/>
        <v>0</v>
      </c>
      <c r="AG90" s="46">
        <f t="shared" si="12"/>
        <v>0</v>
      </c>
      <c r="AH90" s="86"/>
      <c r="AI90" s="86"/>
      <c r="AJ90" s="87"/>
      <c r="AK90" s="88"/>
      <c r="AL90" s="88"/>
      <c r="AM90" s="88"/>
      <c r="AN90" s="88"/>
      <c r="AO90" s="89"/>
    </row>
    <row r="91" spans="1:41" s="90" customFormat="1" ht="15" customHeight="1" x14ac:dyDescent="0.25">
      <c r="A91" s="42">
        <v>191</v>
      </c>
      <c r="B91" s="100"/>
      <c r="C91" s="100"/>
      <c r="D91" s="101"/>
      <c r="E91" s="103"/>
      <c r="F91" s="102"/>
      <c r="G91" s="103"/>
      <c r="H91" s="104"/>
      <c r="I91" s="69"/>
      <c r="J91" s="69"/>
      <c r="K91" s="105"/>
      <c r="L91" s="105"/>
      <c r="M91" s="107"/>
      <c r="N91" s="108"/>
      <c r="O91" s="108"/>
      <c r="P91" s="109"/>
      <c r="Q91" s="110"/>
      <c r="R91" s="111"/>
      <c r="S91" s="112"/>
      <c r="T91" s="112"/>
      <c r="U91" s="112"/>
      <c r="V91" s="113"/>
      <c r="W91" s="81"/>
      <c r="X91" s="81"/>
      <c r="Y91" s="81"/>
      <c r="Z91" s="81"/>
      <c r="AA91" s="81"/>
      <c r="AB91" s="81"/>
      <c r="AC91" s="81"/>
      <c r="AD91" s="79"/>
      <c r="AE91" s="45">
        <f t="shared" si="10"/>
        <v>0</v>
      </c>
      <c r="AF91" s="45">
        <f t="shared" si="11"/>
        <v>0</v>
      </c>
      <c r="AG91" s="46">
        <f t="shared" si="12"/>
        <v>0</v>
      </c>
      <c r="AH91" s="86"/>
      <c r="AI91" s="86"/>
      <c r="AJ91" s="87"/>
      <c r="AK91" s="88"/>
      <c r="AL91" s="88"/>
      <c r="AM91" s="88"/>
      <c r="AN91" s="88"/>
      <c r="AO91" s="89"/>
    </row>
    <row r="92" spans="1:41" s="90" customFormat="1" ht="15" customHeight="1" x14ac:dyDescent="0.25">
      <c r="A92" s="42">
        <v>192</v>
      </c>
      <c r="B92" s="100"/>
      <c r="C92" s="100"/>
      <c r="D92" s="101"/>
      <c r="E92" s="103"/>
      <c r="F92" s="102"/>
      <c r="G92" s="103"/>
      <c r="H92" s="104"/>
      <c r="I92" s="103"/>
      <c r="J92" s="103"/>
      <c r="K92" s="233"/>
      <c r="L92" s="233"/>
      <c r="M92" s="107"/>
      <c r="N92" s="108"/>
      <c r="O92" s="108"/>
      <c r="P92" s="226"/>
      <c r="Q92" s="110"/>
      <c r="R92" s="111"/>
      <c r="S92" s="112"/>
      <c r="T92" s="112"/>
      <c r="U92" s="112"/>
      <c r="V92" s="113"/>
      <c r="W92" s="81"/>
      <c r="X92" s="81"/>
      <c r="Y92" s="81"/>
      <c r="Z92" s="81"/>
      <c r="AA92" s="81"/>
      <c r="AB92" s="81"/>
      <c r="AC92" s="81"/>
      <c r="AD92" s="99"/>
      <c r="AE92" s="45">
        <f t="shared" si="10"/>
        <v>0</v>
      </c>
      <c r="AF92" s="45">
        <f t="shared" si="11"/>
        <v>0</v>
      </c>
      <c r="AG92" s="46">
        <f t="shared" si="12"/>
        <v>0</v>
      </c>
      <c r="AH92" s="86"/>
      <c r="AI92" s="86"/>
      <c r="AJ92" s="87"/>
      <c r="AK92" s="88"/>
      <c r="AL92" s="88"/>
      <c r="AM92" s="88"/>
      <c r="AN92" s="88"/>
      <c r="AO92" s="89"/>
    </row>
    <row r="93" spans="1:41" s="90" customFormat="1" ht="15" customHeight="1" x14ac:dyDescent="0.25">
      <c r="A93" s="42">
        <v>193</v>
      </c>
      <c r="B93" s="100"/>
      <c r="C93" s="100"/>
      <c r="D93" s="101"/>
      <c r="E93" s="103"/>
      <c r="F93" s="102"/>
      <c r="G93" s="103"/>
      <c r="H93" s="104"/>
      <c r="I93" s="103"/>
      <c r="J93" s="103"/>
      <c r="K93" s="233"/>
      <c r="L93" s="233"/>
      <c r="M93" s="107"/>
      <c r="N93" s="108"/>
      <c r="O93" s="108"/>
      <c r="P93" s="226"/>
      <c r="Q93" s="110"/>
      <c r="R93" s="111"/>
      <c r="S93" s="112"/>
      <c r="T93" s="112"/>
      <c r="U93" s="112"/>
      <c r="V93" s="113"/>
      <c r="W93" s="81"/>
      <c r="X93" s="81"/>
      <c r="Y93" s="81"/>
      <c r="Z93" s="81"/>
      <c r="AA93" s="81"/>
      <c r="AB93" s="81"/>
      <c r="AC93" s="81"/>
      <c r="AD93" s="99"/>
      <c r="AE93" s="45">
        <f t="shared" ref="AE93:AE104" si="13">SUM(V93:AD93)</f>
        <v>0</v>
      </c>
      <c r="AF93" s="45">
        <f t="shared" ref="AF93:AF104" si="14">R93+AE93</f>
        <v>0</v>
      </c>
      <c r="AG93" s="46">
        <f t="shared" ref="AG93:AG104" si="15">+(N93+O93)-AF93</f>
        <v>0</v>
      </c>
      <c r="AH93" s="86"/>
      <c r="AI93" s="86"/>
      <c r="AJ93" s="87"/>
      <c r="AK93" s="88"/>
      <c r="AL93" s="88"/>
      <c r="AM93" s="88"/>
      <c r="AN93" s="88"/>
      <c r="AO93" s="89"/>
    </row>
    <row r="94" spans="1:41" s="90" customFormat="1" ht="15" customHeight="1" x14ac:dyDescent="0.25">
      <c r="A94" s="42">
        <v>194</v>
      </c>
      <c r="B94" s="100"/>
      <c r="C94" s="100"/>
      <c r="D94" s="101"/>
      <c r="E94" s="103"/>
      <c r="F94" s="102"/>
      <c r="G94" s="103"/>
      <c r="H94" s="104"/>
      <c r="I94" s="103"/>
      <c r="J94" s="103"/>
      <c r="K94" s="233"/>
      <c r="L94" s="233"/>
      <c r="M94" s="107"/>
      <c r="N94" s="108"/>
      <c r="O94" s="108"/>
      <c r="P94" s="226"/>
      <c r="Q94" s="110"/>
      <c r="R94" s="111"/>
      <c r="S94" s="112"/>
      <c r="T94" s="112"/>
      <c r="U94" s="112"/>
      <c r="V94" s="113"/>
      <c r="W94" s="81"/>
      <c r="X94" s="81"/>
      <c r="Y94" s="81"/>
      <c r="Z94" s="81"/>
      <c r="AA94" s="81"/>
      <c r="AB94" s="81"/>
      <c r="AC94" s="81"/>
      <c r="AD94" s="99"/>
      <c r="AE94" s="45">
        <f t="shared" si="13"/>
        <v>0</v>
      </c>
      <c r="AF94" s="45">
        <f t="shared" si="14"/>
        <v>0</v>
      </c>
      <c r="AG94" s="46">
        <f t="shared" si="15"/>
        <v>0</v>
      </c>
      <c r="AH94" s="86"/>
      <c r="AI94" s="86"/>
      <c r="AJ94" s="87"/>
      <c r="AK94" s="88"/>
      <c r="AL94" s="88"/>
      <c r="AM94" s="88"/>
      <c r="AN94" s="88"/>
      <c r="AO94" s="89"/>
    </row>
    <row r="95" spans="1:41" s="90" customFormat="1" ht="15" customHeight="1" x14ac:dyDescent="0.25">
      <c r="A95" s="42">
        <v>195</v>
      </c>
      <c r="B95" s="100"/>
      <c r="C95" s="100"/>
      <c r="D95" s="101"/>
      <c r="E95" s="103"/>
      <c r="F95" s="102"/>
      <c r="G95" s="103"/>
      <c r="H95" s="104"/>
      <c r="I95" s="103"/>
      <c r="J95" s="103"/>
      <c r="K95" s="233"/>
      <c r="L95" s="233"/>
      <c r="M95" s="107"/>
      <c r="N95" s="108"/>
      <c r="O95" s="108"/>
      <c r="P95" s="226"/>
      <c r="Q95" s="110"/>
      <c r="R95" s="111"/>
      <c r="S95" s="112"/>
      <c r="T95" s="112"/>
      <c r="U95" s="112"/>
      <c r="V95" s="113"/>
      <c r="W95" s="81"/>
      <c r="X95" s="81"/>
      <c r="Y95" s="81"/>
      <c r="Z95" s="81"/>
      <c r="AA95" s="81"/>
      <c r="AB95" s="81"/>
      <c r="AC95" s="81"/>
      <c r="AD95" s="99"/>
      <c r="AE95" s="45">
        <f t="shared" si="13"/>
        <v>0</v>
      </c>
      <c r="AF95" s="45">
        <f t="shared" si="14"/>
        <v>0</v>
      </c>
      <c r="AG95" s="46">
        <f t="shared" si="15"/>
        <v>0</v>
      </c>
      <c r="AH95" s="86"/>
      <c r="AI95" s="86"/>
      <c r="AJ95" s="87"/>
      <c r="AK95" s="88"/>
      <c r="AL95" s="88"/>
      <c r="AM95" s="88"/>
      <c r="AN95" s="88"/>
      <c r="AO95" s="89"/>
    </row>
    <row r="96" spans="1:41" s="90" customFormat="1" ht="15" customHeight="1" x14ac:dyDescent="0.25">
      <c r="A96" s="42">
        <v>196</v>
      </c>
      <c r="B96" s="100"/>
      <c r="C96" s="100"/>
      <c r="D96" s="101"/>
      <c r="E96" s="103"/>
      <c r="F96" s="102"/>
      <c r="G96" s="103"/>
      <c r="H96" s="104"/>
      <c r="I96" s="103"/>
      <c r="J96" s="103"/>
      <c r="K96" s="233"/>
      <c r="L96" s="233"/>
      <c r="M96" s="107"/>
      <c r="N96" s="108"/>
      <c r="O96" s="108"/>
      <c r="P96" s="226"/>
      <c r="Q96" s="110"/>
      <c r="R96" s="111"/>
      <c r="S96" s="112"/>
      <c r="T96" s="112"/>
      <c r="U96" s="112"/>
      <c r="V96" s="113"/>
      <c r="W96" s="81"/>
      <c r="X96" s="81"/>
      <c r="Y96" s="81"/>
      <c r="Z96" s="81"/>
      <c r="AA96" s="81"/>
      <c r="AB96" s="81"/>
      <c r="AC96" s="81"/>
      <c r="AD96" s="99"/>
      <c r="AE96" s="45">
        <f t="shared" si="13"/>
        <v>0</v>
      </c>
      <c r="AF96" s="45">
        <f t="shared" si="14"/>
        <v>0</v>
      </c>
      <c r="AG96" s="46">
        <f t="shared" si="15"/>
        <v>0</v>
      </c>
      <c r="AH96" s="86"/>
      <c r="AI96" s="86"/>
      <c r="AJ96" s="87"/>
      <c r="AK96" s="88"/>
      <c r="AL96" s="88"/>
      <c r="AM96" s="88"/>
      <c r="AN96" s="88"/>
      <c r="AO96" s="89"/>
    </row>
    <row r="97" spans="1:41" s="90" customFormat="1" ht="15" customHeight="1" x14ac:dyDescent="0.25">
      <c r="A97" s="42">
        <v>197</v>
      </c>
      <c r="B97" s="100"/>
      <c r="C97" s="100"/>
      <c r="D97" s="101"/>
      <c r="E97" s="103"/>
      <c r="F97" s="102"/>
      <c r="G97" s="103"/>
      <c r="H97" s="104"/>
      <c r="I97" s="69"/>
      <c r="J97" s="69"/>
      <c r="K97" s="105"/>
      <c r="L97" s="105"/>
      <c r="M97" s="107"/>
      <c r="N97" s="108"/>
      <c r="O97" s="108"/>
      <c r="P97" s="226"/>
      <c r="Q97" s="110"/>
      <c r="R97" s="111"/>
      <c r="S97" s="112"/>
      <c r="T97" s="112"/>
      <c r="U97" s="112"/>
      <c r="V97" s="113"/>
      <c r="W97" s="81"/>
      <c r="X97" s="81"/>
      <c r="Y97" s="81"/>
      <c r="Z97" s="81"/>
      <c r="AA97" s="81"/>
      <c r="AB97" s="81"/>
      <c r="AC97" s="81"/>
      <c r="AD97" s="99"/>
      <c r="AE97" s="45">
        <f t="shared" si="13"/>
        <v>0</v>
      </c>
      <c r="AF97" s="45">
        <f t="shared" si="14"/>
        <v>0</v>
      </c>
      <c r="AG97" s="46">
        <f t="shared" si="15"/>
        <v>0</v>
      </c>
      <c r="AH97" s="86"/>
      <c r="AI97" s="86"/>
      <c r="AJ97" s="87"/>
      <c r="AK97" s="88"/>
      <c r="AL97" s="88"/>
      <c r="AM97" s="88"/>
      <c r="AN97" s="88"/>
      <c r="AO97" s="89"/>
    </row>
    <row r="98" spans="1:41" s="90" customFormat="1" ht="15" customHeight="1" x14ac:dyDescent="0.25">
      <c r="A98" s="42">
        <v>198</v>
      </c>
      <c r="B98" s="100"/>
      <c r="C98" s="100"/>
      <c r="D98" s="101"/>
      <c r="E98" s="103"/>
      <c r="F98" s="102"/>
      <c r="G98" s="103"/>
      <c r="H98" s="104"/>
      <c r="I98" s="69"/>
      <c r="J98" s="69"/>
      <c r="K98" s="105"/>
      <c r="L98" s="105"/>
      <c r="M98" s="107"/>
      <c r="N98" s="108"/>
      <c r="O98" s="108"/>
      <c r="P98" s="226"/>
      <c r="Q98" s="110"/>
      <c r="R98" s="111"/>
      <c r="S98" s="112"/>
      <c r="T98" s="112"/>
      <c r="U98" s="112"/>
      <c r="V98" s="113"/>
      <c r="W98" s="81"/>
      <c r="X98" s="81"/>
      <c r="Y98" s="81"/>
      <c r="Z98" s="81"/>
      <c r="AA98" s="81"/>
      <c r="AB98" s="81"/>
      <c r="AC98" s="81"/>
      <c r="AD98" s="99"/>
      <c r="AE98" s="45">
        <f t="shared" si="13"/>
        <v>0</v>
      </c>
      <c r="AF98" s="45">
        <f t="shared" si="14"/>
        <v>0</v>
      </c>
      <c r="AG98" s="46">
        <f t="shared" si="15"/>
        <v>0</v>
      </c>
      <c r="AH98" s="86"/>
      <c r="AI98" s="86"/>
      <c r="AJ98" s="87"/>
      <c r="AK98" s="88"/>
      <c r="AL98" s="88"/>
      <c r="AM98" s="88"/>
      <c r="AN98" s="88"/>
      <c r="AO98" s="89"/>
    </row>
    <row r="99" spans="1:41" s="90" customFormat="1" ht="15" customHeight="1" x14ac:dyDescent="0.25">
      <c r="A99" s="42">
        <v>199</v>
      </c>
      <c r="B99" s="100"/>
      <c r="C99" s="100"/>
      <c r="D99" s="101"/>
      <c r="E99" s="103"/>
      <c r="F99" s="102"/>
      <c r="G99" s="103"/>
      <c r="H99" s="104"/>
      <c r="I99" s="69"/>
      <c r="J99" s="69"/>
      <c r="K99" s="105"/>
      <c r="L99" s="105"/>
      <c r="M99" s="107"/>
      <c r="N99" s="108"/>
      <c r="O99" s="108"/>
      <c r="P99" s="226"/>
      <c r="Q99" s="110"/>
      <c r="R99" s="111"/>
      <c r="S99" s="112"/>
      <c r="T99" s="112"/>
      <c r="U99" s="112"/>
      <c r="V99" s="81"/>
      <c r="W99" s="81"/>
      <c r="X99" s="81"/>
      <c r="Y99" s="81"/>
      <c r="Z99" s="81"/>
      <c r="AA99" s="81"/>
      <c r="AB99" s="81"/>
      <c r="AC99" s="79"/>
      <c r="AD99" s="99"/>
      <c r="AE99" s="45">
        <f t="shared" si="13"/>
        <v>0</v>
      </c>
      <c r="AF99" s="45">
        <f t="shared" si="14"/>
        <v>0</v>
      </c>
      <c r="AG99" s="46">
        <f t="shared" si="15"/>
        <v>0</v>
      </c>
      <c r="AH99" s="86"/>
      <c r="AI99" s="86"/>
      <c r="AJ99" s="87"/>
      <c r="AK99" s="88"/>
      <c r="AL99" s="88"/>
      <c r="AM99" s="88"/>
      <c r="AN99" s="88"/>
      <c r="AO99" s="89"/>
    </row>
    <row r="100" spans="1:41" s="90" customFormat="1" ht="15" customHeight="1" x14ac:dyDescent="0.25">
      <c r="A100" s="42">
        <v>200</v>
      </c>
      <c r="B100" s="100"/>
      <c r="C100" s="100"/>
      <c r="D100" s="101"/>
      <c r="E100" s="103"/>
      <c r="F100" s="102"/>
      <c r="G100" s="103"/>
      <c r="H100" s="104"/>
      <c r="I100" s="69"/>
      <c r="J100" s="69"/>
      <c r="K100" s="105"/>
      <c r="L100" s="105"/>
      <c r="M100" s="107"/>
      <c r="N100" s="108"/>
      <c r="O100" s="108"/>
      <c r="P100" s="226"/>
      <c r="Q100" s="110"/>
      <c r="R100" s="111"/>
      <c r="S100" s="112"/>
      <c r="T100" s="112"/>
      <c r="U100" s="112"/>
      <c r="V100" s="113"/>
      <c r="W100" s="81"/>
      <c r="X100" s="81"/>
      <c r="Y100" s="81"/>
      <c r="Z100" s="81"/>
      <c r="AA100" s="81"/>
      <c r="AB100" s="81"/>
      <c r="AC100" s="79"/>
      <c r="AD100" s="99"/>
      <c r="AE100" s="45">
        <f t="shared" si="13"/>
        <v>0</v>
      </c>
      <c r="AF100" s="45">
        <f t="shared" si="14"/>
        <v>0</v>
      </c>
      <c r="AG100" s="46">
        <f t="shared" si="15"/>
        <v>0</v>
      </c>
      <c r="AH100" s="86"/>
      <c r="AI100" s="86"/>
      <c r="AJ100" s="87"/>
      <c r="AK100" s="88"/>
      <c r="AL100" s="88"/>
      <c r="AM100" s="88"/>
      <c r="AN100" s="88"/>
      <c r="AO100" s="89"/>
    </row>
    <row r="101" spans="1:41" s="90" customFormat="1" ht="15" customHeight="1" x14ac:dyDescent="0.25">
      <c r="A101" s="42">
        <v>201</v>
      </c>
      <c r="B101" s="100"/>
      <c r="C101" s="100"/>
      <c r="D101" s="101"/>
      <c r="E101" s="103"/>
      <c r="F101" s="102"/>
      <c r="G101" s="103"/>
      <c r="H101" s="104"/>
      <c r="I101" s="69"/>
      <c r="J101" s="69"/>
      <c r="K101" s="105"/>
      <c r="L101" s="105"/>
      <c r="M101" s="107"/>
      <c r="N101" s="108"/>
      <c r="O101" s="108"/>
      <c r="P101" s="226"/>
      <c r="Q101" s="110"/>
      <c r="R101" s="111"/>
      <c r="S101" s="112"/>
      <c r="T101" s="112"/>
      <c r="U101" s="112"/>
      <c r="V101" s="113"/>
      <c r="W101" s="81"/>
      <c r="X101" s="81"/>
      <c r="Y101" s="81"/>
      <c r="Z101" s="81"/>
      <c r="AA101" s="81"/>
      <c r="AB101" s="81"/>
      <c r="AC101" s="79"/>
      <c r="AD101" s="99"/>
      <c r="AE101" s="45">
        <f t="shared" si="13"/>
        <v>0</v>
      </c>
      <c r="AF101" s="45">
        <f t="shared" si="14"/>
        <v>0</v>
      </c>
      <c r="AG101" s="46">
        <f t="shared" si="15"/>
        <v>0</v>
      </c>
      <c r="AH101" s="86"/>
      <c r="AI101" s="86"/>
      <c r="AJ101" s="87"/>
      <c r="AK101" s="88"/>
      <c r="AL101" s="88"/>
      <c r="AM101" s="88"/>
      <c r="AN101" s="88"/>
      <c r="AO101" s="89"/>
    </row>
    <row r="102" spans="1:41" s="90" customFormat="1" ht="15" customHeight="1" x14ac:dyDescent="0.25">
      <c r="A102" s="42">
        <v>202</v>
      </c>
      <c r="B102" s="100"/>
      <c r="C102" s="100"/>
      <c r="D102" s="101"/>
      <c r="E102" s="103"/>
      <c r="F102" s="102"/>
      <c r="G102" s="103"/>
      <c r="H102" s="104"/>
      <c r="I102" s="69"/>
      <c r="J102" s="69"/>
      <c r="K102" s="105"/>
      <c r="L102" s="105"/>
      <c r="M102" s="107"/>
      <c r="N102" s="108"/>
      <c r="O102" s="108"/>
      <c r="P102" s="226"/>
      <c r="Q102" s="110"/>
      <c r="R102" s="111"/>
      <c r="S102" s="112"/>
      <c r="T102" s="112"/>
      <c r="U102" s="112"/>
      <c r="V102" s="113"/>
      <c r="W102" s="81"/>
      <c r="X102" s="81"/>
      <c r="Y102" s="81"/>
      <c r="Z102" s="81"/>
      <c r="AA102" s="81"/>
      <c r="AB102" s="81"/>
      <c r="AC102" s="79"/>
      <c r="AD102" s="99"/>
      <c r="AE102" s="45">
        <f t="shared" si="13"/>
        <v>0</v>
      </c>
      <c r="AF102" s="45">
        <f t="shared" si="14"/>
        <v>0</v>
      </c>
      <c r="AG102" s="46">
        <f t="shared" si="15"/>
        <v>0</v>
      </c>
      <c r="AH102" s="86"/>
      <c r="AI102" s="86"/>
      <c r="AJ102" s="87"/>
      <c r="AK102" s="88"/>
      <c r="AL102" s="88"/>
      <c r="AM102" s="88"/>
      <c r="AN102" s="88"/>
      <c r="AO102" s="89"/>
    </row>
    <row r="103" spans="1:41" s="90" customFormat="1" ht="15" customHeight="1" x14ac:dyDescent="0.25">
      <c r="A103" s="42">
        <v>203</v>
      </c>
      <c r="B103" s="100"/>
      <c r="C103" s="100"/>
      <c r="D103" s="101"/>
      <c r="E103" s="103"/>
      <c r="F103" s="102"/>
      <c r="G103" s="103"/>
      <c r="H103" s="104"/>
      <c r="I103" s="69"/>
      <c r="J103" s="69"/>
      <c r="K103" s="105"/>
      <c r="L103" s="105"/>
      <c r="M103" s="107"/>
      <c r="N103" s="108"/>
      <c r="O103" s="108"/>
      <c r="P103" s="226"/>
      <c r="Q103" s="110"/>
      <c r="R103" s="111"/>
      <c r="S103" s="112"/>
      <c r="T103" s="112"/>
      <c r="U103" s="112"/>
      <c r="V103" s="113"/>
      <c r="W103" s="81"/>
      <c r="X103" s="81"/>
      <c r="Y103" s="81"/>
      <c r="Z103" s="81"/>
      <c r="AA103" s="81"/>
      <c r="AB103" s="81"/>
      <c r="AC103" s="79"/>
      <c r="AD103" s="99"/>
      <c r="AE103" s="45">
        <f t="shared" si="13"/>
        <v>0</v>
      </c>
      <c r="AF103" s="45">
        <f t="shared" si="14"/>
        <v>0</v>
      </c>
      <c r="AG103" s="46">
        <f t="shared" si="15"/>
        <v>0</v>
      </c>
      <c r="AH103" s="86"/>
      <c r="AI103" s="86"/>
      <c r="AJ103" s="87"/>
      <c r="AK103" s="88"/>
      <c r="AL103" s="88"/>
      <c r="AM103" s="88"/>
      <c r="AN103" s="88"/>
      <c r="AO103" s="89"/>
    </row>
    <row r="104" spans="1:41" s="90" customFormat="1" ht="15" customHeight="1" x14ac:dyDescent="0.25">
      <c r="A104" s="42">
        <v>204</v>
      </c>
      <c r="B104" s="100"/>
      <c r="C104" s="100"/>
      <c r="D104" s="101"/>
      <c r="E104" s="103"/>
      <c r="F104" s="102"/>
      <c r="G104" s="103"/>
      <c r="H104" s="104"/>
      <c r="I104" s="103"/>
      <c r="J104" s="103"/>
      <c r="K104" s="233"/>
      <c r="L104" s="233"/>
      <c r="M104" s="107"/>
      <c r="N104" s="108"/>
      <c r="O104" s="108"/>
      <c r="P104" s="226"/>
      <c r="Q104" s="110"/>
      <c r="R104" s="111"/>
      <c r="S104" s="112"/>
      <c r="T104" s="112"/>
      <c r="U104" s="112"/>
      <c r="V104" s="113"/>
      <c r="W104" s="81"/>
      <c r="X104" s="81"/>
      <c r="Y104" s="81"/>
      <c r="Z104" s="81"/>
      <c r="AA104" s="81"/>
      <c r="AB104" s="81"/>
      <c r="AC104" s="79"/>
      <c r="AD104" s="99"/>
      <c r="AE104" s="45">
        <f t="shared" si="13"/>
        <v>0</v>
      </c>
      <c r="AF104" s="45">
        <f t="shared" si="14"/>
        <v>0</v>
      </c>
      <c r="AG104" s="46">
        <f t="shared" si="15"/>
        <v>0</v>
      </c>
      <c r="AH104" s="86"/>
      <c r="AI104" s="86"/>
      <c r="AJ104" s="87"/>
      <c r="AK104" s="88"/>
      <c r="AL104" s="88"/>
      <c r="AM104" s="88"/>
      <c r="AN104" s="88"/>
      <c r="AO104" s="89"/>
    </row>
    <row r="105" spans="1:41" s="90" customFormat="1" ht="15" customHeight="1" x14ac:dyDescent="0.25">
      <c r="A105" s="42">
        <v>205</v>
      </c>
      <c r="B105" s="100"/>
      <c r="C105" s="100"/>
      <c r="D105" s="101"/>
      <c r="E105" s="103"/>
      <c r="F105" s="102"/>
      <c r="G105" s="103"/>
      <c r="H105" s="104"/>
      <c r="I105" s="103"/>
      <c r="J105" s="103"/>
      <c r="K105" s="233"/>
      <c r="L105" s="233"/>
      <c r="M105" s="107"/>
      <c r="N105" s="108"/>
      <c r="O105" s="108"/>
      <c r="P105" s="226"/>
      <c r="Q105" s="110"/>
      <c r="R105" s="111"/>
      <c r="S105" s="112"/>
      <c r="T105" s="112"/>
      <c r="U105" s="112"/>
      <c r="V105" s="113"/>
      <c r="W105" s="81"/>
      <c r="X105" s="81"/>
      <c r="Y105" s="81"/>
      <c r="Z105" s="81"/>
      <c r="AA105" s="81"/>
      <c r="AB105" s="81"/>
      <c r="AC105" s="79"/>
      <c r="AD105" s="99"/>
      <c r="AE105" s="45">
        <f t="shared" ref="AE105:AE147" si="16">SUM(V105:AD105)</f>
        <v>0</v>
      </c>
      <c r="AF105" s="45">
        <f t="shared" ref="AF105:AF147" si="17">R105+AE105</f>
        <v>0</v>
      </c>
      <c r="AG105" s="46">
        <f t="shared" ref="AG105:AG147" si="18">+(N105+O105)-AF105</f>
        <v>0</v>
      </c>
      <c r="AH105" s="86"/>
      <c r="AI105" s="86"/>
      <c r="AJ105" s="87"/>
      <c r="AK105" s="88"/>
      <c r="AL105" s="88"/>
      <c r="AM105" s="88"/>
      <c r="AN105" s="88"/>
      <c r="AO105" s="89"/>
    </row>
    <row r="106" spans="1:41" s="90" customFormat="1" ht="15" customHeight="1" x14ac:dyDescent="0.25">
      <c r="A106" s="42">
        <v>206</v>
      </c>
      <c r="B106" s="100"/>
      <c r="C106" s="100"/>
      <c r="D106" s="101"/>
      <c r="E106" s="103"/>
      <c r="F106" s="102"/>
      <c r="G106" s="103"/>
      <c r="H106" s="104"/>
      <c r="I106" s="103"/>
      <c r="J106" s="103"/>
      <c r="K106" s="233"/>
      <c r="L106" s="233"/>
      <c r="M106" s="107"/>
      <c r="N106" s="108"/>
      <c r="O106" s="108"/>
      <c r="P106" s="226"/>
      <c r="Q106" s="110"/>
      <c r="R106" s="111"/>
      <c r="S106" s="112"/>
      <c r="T106" s="112"/>
      <c r="U106" s="112"/>
      <c r="V106" s="113"/>
      <c r="W106" s="81"/>
      <c r="X106" s="81"/>
      <c r="Y106" s="81"/>
      <c r="Z106" s="81"/>
      <c r="AA106" s="81"/>
      <c r="AB106" s="81"/>
      <c r="AC106" s="79"/>
      <c r="AD106" s="99"/>
      <c r="AE106" s="45">
        <f t="shared" si="16"/>
        <v>0</v>
      </c>
      <c r="AF106" s="45">
        <f t="shared" si="17"/>
        <v>0</v>
      </c>
      <c r="AG106" s="46">
        <f t="shared" si="18"/>
        <v>0</v>
      </c>
      <c r="AH106" s="86"/>
      <c r="AI106" s="86"/>
      <c r="AJ106" s="87"/>
      <c r="AK106" s="88"/>
      <c r="AL106" s="88"/>
      <c r="AM106" s="88"/>
      <c r="AN106" s="88"/>
      <c r="AO106" s="89"/>
    </row>
    <row r="107" spans="1:41" s="90" customFormat="1" ht="15" customHeight="1" x14ac:dyDescent="0.25">
      <c r="A107" s="42">
        <v>208</v>
      </c>
      <c r="B107" s="100"/>
      <c r="C107" s="100"/>
      <c r="D107" s="101"/>
      <c r="E107" s="103"/>
      <c r="F107" s="102"/>
      <c r="G107" s="103"/>
      <c r="H107" s="104"/>
      <c r="I107" s="103"/>
      <c r="J107" s="103"/>
      <c r="K107" s="233"/>
      <c r="L107" s="233"/>
      <c r="M107" s="107"/>
      <c r="N107" s="108"/>
      <c r="O107" s="108"/>
      <c r="P107" s="226"/>
      <c r="Q107" s="110"/>
      <c r="R107" s="111"/>
      <c r="S107" s="112"/>
      <c r="T107" s="112"/>
      <c r="U107" s="112"/>
      <c r="V107" s="113"/>
      <c r="W107" s="81"/>
      <c r="X107" s="81"/>
      <c r="Y107" s="81"/>
      <c r="Z107" s="81"/>
      <c r="AA107" s="81"/>
      <c r="AB107" s="81"/>
      <c r="AC107" s="79"/>
      <c r="AD107" s="99"/>
      <c r="AE107" s="45">
        <f t="shared" si="16"/>
        <v>0</v>
      </c>
      <c r="AF107" s="45">
        <f t="shared" si="17"/>
        <v>0</v>
      </c>
      <c r="AG107" s="46">
        <f t="shared" si="18"/>
        <v>0</v>
      </c>
      <c r="AH107" s="86"/>
      <c r="AI107" s="86"/>
      <c r="AJ107" s="87"/>
      <c r="AK107" s="88"/>
      <c r="AL107" s="88"/>
      <c r="AM107" s="88"/>
      <c r="AN107" s="88"/>
      <c r="AO107" s="89"/>
    </row>
    <row r="108" spans="1:41" s="90" customFormat="1" ht="15" customHeight="1" x14ac:dyDescent="0.25">
      <c r="A108" s="42">
        <v>209</v>
      </c>
      <c r="B108" s="100"/>
      <c r="C108" s="100"/>
      <c r="D108" s="101"/>
      <c r="E108" s="103"/>
      <c r="F108" s="102"/>
      <c r="G108" s="103"/>
      <c r="H108" s="104"/>
      <c r="I108" s="69"/>
      <c r="J108" s="69"/>
      <c r="K108" s="105"/>
      <c r="L108" s="105"/>
      <c r="M108" s="107"/>
      <c r="N108" s="108"/>
      <c r="O108" s="108"/>
      <c r="P108" s="226"/>
      <c r="Q108" s="110"/>
      <c r="R108" s="111"/>
      <c r="S108" s="112"/>
      <c r="T108" s="112"/>
      <c r="U108" s="112"/>
      <c r="V108" s="113"/>
      <c r="W108" s="81"/>
      <c r="X108" s="81"/>
      <c r="Y108" s="81"/>
      <c r="Z108" s="81"/>
      <c r="AA108" s="81"/>
      <c r="AB108" s="81"/>
      <c r="AC108" s="79"/>
      <c r="AD108" s="99"/>
      <c r="AE108" s="45">
        <f t="shared" si="16"/>
        <v>0</v>
      </c>
      <c r="AF108" s="45">
        <f t="shared" si="17"/>
        <v>0</v>
      </c>
      <c r="AG108" s="46">
        <f t="shared" si="18"/>
        <v>0</v>
      </c>
      <c r="AH108" s="86"/>
      <c r="AI108" s="86"/>
      <c r="AJ108" s="87"/>
      <c r="AK108" s="88"/>
      <c r="AL108" s="88"/>
      <c r="AM108" s="88"/>
      <c r="AN108" s="88"/>
      <c r="AO108" s="89"/>
    </row>
    <row r="109" spans="1:41" s="90" customFormat="1" ht="15" customHeight="1" x14ac:dyDescent="0.25">
      <c r="A109" s="42">
        <v>210</v>
      </c>
      <c r="B109" s="100"/>
      <c r="C109" s="100"/>
      <c r="D109" s="101"/>
      <c r="E109" s="103"/>
      <c r="F109" s="102"/>
      <c r="G109" s="103"/>
      <c r="H109" s="104"/>
      <c r="I109" s="69"/>
      <c r="J109" s="69"/>
      <c r="K109" s="105"/>
      <c r="L109" s="105"/>
      <c r="M109" s="107"/>
      <c r="N109" s="108"/>
      <c r="O109" s="108"/>
      <c r="P109" s="226"/>
      <c r="Q109" s="110"/>
      <c r="R109" s="111"/>
      <c r="S109" s="112"/>
      <c r="T109" s="112"/>
      <c r="U109" s="112"/>
      <c r="V109" s="113"/>
      <c r="W109" s="81"/>
      <c r="X109" s="81"/>
      <c r="Y109" s="81"/>
      <c r="Z109" s="81"/>
      <c r="AA109" s="81"/>
      <c r="AB109" s="81"/>
      <c r="AC109" s="79"/>
      <c r="AD109" s="99"/>
      <c r="AE109" s="45">
        <f t="shared" si="16"/>
        <v>0</v>
      </c>
      <c r="AF109" s="45">
        <f t="shared" si="17"/>
        <v>0</v>
      </c>
      <c r="AG109" s="46">
        <f t="shared" si="18"/>
        <v>0</v>
      </c>
      <c r="AH109" s="86"/>
      <c r="AI109" s="86"/>
      <c r="AJ109" s="87"/>
      <c r="AK109" s="88"/>
      <c r="AL109" s="88"/>
      <c r="AM109" s="88"/>
      <c r="AN109" s="88"/>
      <c r="AO109" s="89"/>
    </row>
    <row r="110" spans="1:41" s="90" customFormat="1" ht="15" customHeight="1" x14ac:dyDescent="0.25">
      <c r="A110" s="42">
        <v>211</v>
      </c>
      <c r="B110" s="100"/>
      <c r="C110" s="100"/>
      <c r="D110" s="101"/>
      <c r="E110" s="103"/>
      <c r="F110" s="102"/>
      <c r="G110" s="103"/>
      <c r="H110" s="104"/>
      <c r="I110" s="69"/>
      <c r="J110" s="69"/>
      <c r="K110" s="105"/>
      <c r="L110" s="105"/>
      <c r="M110" s="107"/>
      <c r="N110" s="108"/>
      <c r="O110" s="108"/>
      <c r="P110" s="226"/>
      <c r="Q110" s="110"/>
      <c r="R110" s="111"/>
      <c r="S110" s="112"/>
      <c r="T110" s="112"/>
      <c r="U110" s="112"/>
      <c r="V110" s="113"/>
      <c r="W110" s="81"/>
      <c r="X110" s="81"/>
      <c r="Y110" s="81"/>
      <c r="Z110" s="81"/>
      <c r="AA110" s="81"/>
      <c r="AB110" s="81"/>
      <c r="AC110" s="79"/>
      <c r="AD110" s="99"/>
      <c r="AE110" s="45">
        <f t="shared" si="16"/>
        <v>0</v>
      </c>
      <c r="AF110" s="45">
        <f t="shared" si="17"/>
        <v>0</v>
      </c>
      <c r="AG110" s="46">
        <f t="shared" si="18"/>
        <v>0</v>
      </c>
      <c r="AH110" s="86"/>
      <c r="AI110" s="86"/>
      <c r="AJ110" s="87"/>
      <c r="AK110" s="88"/>
      <c r="AL110" s="88"/>
      <c r="AM110" s="88"/>
      <c r="AN110" s="88"/>
      <c r="AO110" s="89"/>
    </row>
    <row r="111" spans="1:41" s="90" customFormat="1" ht="15" customHeight="1" x14ac:dyDescent="0.25">
      <c r="A111" s="42">
        <v>212</v>
      </c>
      <c r="B111" s="100"/>
      <c r="C111" s="100"/>
      <c r="D111" s="101"/>
      <c r="E111" s="103"/>
      <c r="F111" s="102"/>
      <c r="G111" s="103"/>
      <c r="H111" s="104"/>
      <c r="I111" s="69"/>
      <c r="J111" s="69"/>
      <c r="K111" s="105"/>
      <c r="L111" s="105"/>
      <c r="M111" s="107"/>
      <c r="N111" s="108"/>
      <c r="O111" s="108"/>
      <c r="P111" s="226"/>
      <c r="Q111" s="110"/>
      <c r="R111" s="111"/>
      <c r="S111" s="112"/>
      <c r="T111" s="112"/>
      <c r="U111" s="112"/>
      <c r="V111" s="113"/>
      <c r="W111" s="81"/>
      <c r="X111" s="81"/>
      <c r="Y111" s="81"/>
      <c r="Z111" s="81"/>
      <c r="AA111" s="81"/>
      <c r="AB111" s="81"/>
      <c r="AC111" s="79"/>
      <c r="AD111" s="99"/>
      <c r="AE111" s="45">
        <f t="shared" si="16"/>
        <v>0</v>
      </c>
      <c r="AF111" s="45">
        <f t="shared" si="17"/>
        <v>0</v>
      </c>
      <c r="AG111" s="46">
        <f t="shared" si="18"/>
        <v>0</v>
      </c>
      <c r="AH111" s="86"/>
      <c r="AI111" s="86"/>
      <c r="AJ111" s="87"/>
      <c r="AK111" s="88"/>
      <c r="AL111" s="88"/>
      <c r="AM111" s="88"/>
      <c r="AN111" s="88"/>
      <c r="AO111" s="89"/>
    </row>
    <row r="112" spans="1:41" s="90" customFormat="1" ht="15" customHeight="1" x14ac:dyDescent="0.25">
      <c r="A112" s="42">
        <v>213</v>
      </c>
      <c r="B112" s="100"/>
      <c r="C112" s="100"/>
      <c r="D112" s="101"/>
      <c r="E112" s="103"/>
      <c r="F112" s="102"/>
      <c r="G112" s="103"/>
      <c r="H112" s="104"/>
      <c r="I112" s="69"/>
      <c r="J112" s="69"/>
      <c r="K112" s="105"/>
      <c r="L112" s="105"/>
      <c r="M112" s="107"/>
      <c r="N112" s="108"/>
      <c r="O112" s="108"/>
      <c r="P112" s="226"/>
      <c r="Q112" s="110"/>
      <c r="R112" s="111"/>
      <c r="S112" s="112"/>
      <c r="T112" s="112"/>
      <c r="U112" s="112"/>
      <c r="V112" s="113"/>
      <c r="W112" s="81"/>
      <c r="X112" s="81"/>
      <c r="Y112" s="81"/>
      <c r="Z112" s="81"/>
      <c r="AA112" s="81"/>
      <c r="AB112" s="81"/>
      <c r="AC112" s="79"/>
      <c r="AD112" s="99"/>
      <c r="AE112" s="45">
        <f t="shared" si="16"/>
        <v>0</v>
      </c>
      <c r="AF112" s="45">
        <f t="shared" si="17"/>
        <v>0</v>
      </c>
      <c r="AG112" s="46">
        <f t="shared" si="18"/>
        <v>0</v>
      </c>
      <c r="AH112" s="86"/>
      <c r="AI112" s="86"/>
      <c r="AJ112" s="87"/>
      <c r="AK112" s="88"/>
      <c r="AL112" s="88"/>
      <c r="AM112" s="88"/>
      <c r="AN112" s="88"/>
      <c r="AO112" s="89"/>
    </row>
    <row r="113" spans="1:41" s="90" customFormat="1" ht="15" customHeight="1" x14ac:dyDescent="0.25">
      <c r="A113" s="42">
        <v>214</v>
      </c>
      <c r="B113" s="100"/>
      <c r="C113" s="100"/>
      <c r="D113" s="101"/>
      <c r="E113" s="103"/>
      <c r="F113" s="102"/>
      <c r="G113" s="103"/>
      <c r="H113" s="104"/>
      <c r="I113" s="69"/>
      <c r="J113" s="69"/>
      <c r="K113" s="105"/>
      <c r="L113" s="105"/>
      <c r="M113" s="107"/>
      <c r="N113" s="108"/>
      <c r="O113" s="108"/>
      <c r="P113" s="226"/>
      <c r="Q113" s="110"/>
      <c r="R113" s="111"/>
      <c r="S113" s="112"/>
      <c r="T113" s="112"/>
      <c r="U113" s="112"/>
      <c r="V113" s="113"/>
      <c r="W113" s="81"/>
      <c r="X113" s="81"/>
      <c r="Y113" s="81"/>
      <c r="Z113" s="81"/>
      <c r="AA113" s="81"/>
      <c r="AB113" s="81"/>
      <c r="AC113" s="99"/>
      <c r="AD113" s="99"/>
      <c r="AE113" s="45">
        <f t="shared" si="16"/>
        <v>0</v>
      </c>
      <c r="AF113" s="45">
        <f t="shared" si="17"/>
        <v>0</v>
      </c>
      <c r="AG113" s="46">
        <f t="shared" si="18"/>
        <v>0</v>
      </c>
      <c r="AH113" s="86"/>
      <c r="AI113" s="86"/>
      <c r="AJ113" s="87"/>
      <c r="AK113" s="88"/>
      <c r="AL113" s="88"/>
      <c r="AM113" s="88"/>
      <c r="AN113" s="88"/>
      <c r="AO113" s="89"/>
    </row>
    <row r="114" spans="1:41" s="90" customFormat="1" ht="15" customHeight="1" x14ac:dyDescent="0.25">
      <c r="A114" s="42">
        <v>215</v>
      </c>
      <c r="B114" s="100"/>
      <c r="C114" s="100"/>
      <c r="D114" s="101"/>
      <c r="E114" s="103"/>
      <c r="F114" s="102"/>
      <c r="G114" s="103"/>
      <c r="H114" s="104"/>
      <c r="I114" s="69"/>
      <c r="J114" s="69"/>
      <c r="K114" s="105"/>
      <c r="L114" s="105"/>
      <c r="M114" s="107"/>
      <c r="N114" s="108"/>
      <c r="O114" s="108"/>
      <c r="P114" s="226"/>
      <c r="Q114" s="110"/>
      <c r="R114" s="111"/>
      <c r="S114" s="112"/>
      <c r="T114" s="112"/>
      <c r="U114" s="112"/>
      <c r="V114" s="113"/>
      <c r="W114" s="81"/>
      <c r="X114" s="81"/>
      <c r="Y114" s="81"/>
      <c r="Z114" s="81"/>
      <c r="AA114" s="81"/>
      <c r="AB114" s="81"/>
      <c r="AC114" s="99"/>
      <c r="AD114" s="99"/>
      <c r="AE114" s="45">
        <f t="shared" si="16"/>
        <v>0</v>
      </c>
      <c r="AF114" s="45">
        <f t="shared" si="17"/>
        <v>0</v>
      </c>
      <c r="AG114" s="46">
        <f t="shared" si="18"/>
        <v>0</v>
      </c>
      <c r="AH114" s="86"/>
      <c r="AI114" s="86"/>
      <c r="AJ114" s="87"/>
      <c r="AK114" s="88"/>
      <c r="AL114" s="88"/>
      <c r="AM114" s="88"/>
      <c r="AN114" s="88"/>
      <c r="AO114" s="89"/>
    </row>
    <row r="115" spans="1:41" s="90" customFormat="1" ht="15" customHeight="1" x14ac:dyDescent="0.25">
      <c r="A115" s="42">
        <v>216</v>
      </c>
      <c r="B115" s="100"/>
      <c r="C115" s="100"/>
      <c r="D115" s="101"/>
      <c r="E115" s="103"/>
      <c r="F115" s="102"/>
      <c r="G115" s="103"/>
      <c r="H115" s="104"/>
      <c r="I115" s="69"/>
      <c r="J115" s="69"/>
      <c r="K115" s="105"/>
      <c r="L115" s="105"/>
      <c r="M115" s="107"/>
      <c r="N115" s="108"/>
      <c r="O115" s="71"/>
      <c r="P115" s="226"/>
      <c r="Q115" s="110"/>
      <c r="R115" s="111"/>
      <c r="S115" s="112"/>
      <c r="T115" s="112"/>
      <c r="U115" s="112"/>
      <c r="V115" s="113"/>
      <c r="W115" s="81"/>
      <c r="X115" s="81"/>
      <c r="Y115" s="81"/>
      <c r="Z115" s="81"/>
      <c r="AA115" s="81"/>
      <c r="AB115" s="81"/>
      <c r="AC115" s="99"/>
      <c r="AD115" s="99"/>
      <c r="AE115" s="45">
        <f t="shared" si="16"/>
        <v>0</v>
      </c>
      <c r="AF115" s="45">
        <f t="shared" si="17"/>
        <v>0</v>
      </c>
      <c r="AG115" s="46">
        <f t="shared" si="18"/>
        <v>0</v>
      </c>
      <c r="AH115" s="86"/>
      <c r="AI115" s="86"/>
      <c r="AJ115" s="87"/>
      <c r="AK115" s="88"/>
      <c r="AL115" s="88"/>
      <c r="AM115" s="88"/>
      <c r="AN115" s="88"/>
      <c r="AO115" s="89"/>
    </row>
    <row r="116" spans="1:41" s="90" customFormat="1" ht="15" customHeight="1" x14ac:dyDescent="0.25">
      <c r="A116" s="42">
        <v>217</v>
      </c>
      <c r="B116" s="100"/>
      <c r="C116" s="100"/>
      <c r="D116" s="101"/>
      <c r="E116" s="69"/>
      <c r="F116" s="102"/>
      <c r="G116" s="103"/>
      <c r="H116" s="104"/>
      <c r="I116" s="69"/>
      <c r="J116" s="69"/>
      <c r="K116" s="105"/>
      <c r="L116" s="105"/>
      <c r="M116" s="107"/>
      <c r="N116" s="71"/>
      <c r="O116" s="108"/>
      <c r="P116" s="109"/>
      <c r="Q116" s="110"/>
      <c r="R116" s="111"/>
      <c r="S116" s="112"/>
      <c r="T116" s="112"/>
      <c r="U116" s="112"/>
      <c r="V116" s="81"/>
      <c r="W116" s="81"/>
      <c r="X116" s="81"/>
      <c r="Y116" s="81"/>
      <c r="Z116" s="81"/>
      <c r="AA116" s="81"/>
      <c r="AB116" s="81"/>
      <c r="AC116" s="99"/>
      <c r="AD116" s="99"/>
      <c r="AE116" s="45">
        <f t="shared" si="16"/>
        <v>0</v>
      </c>
      <c r="AF116" s="45">
        <f t="shared" si="17"/>
        <v>0</v>
      </c>
      <c r="AG116" s="46">
        <f t="shared" si="18"/>
        <v>0</v>
      </c>
      <c r="AH116" s="86"/>
      <c r="AI116" s="86"/>
      <c r="AJ116" s="87"/>
      <c r="AK116" s="88"/>
      <c r="AL116" s="88"/>
      <c r="AM116" s="88"/>
      <c r="AN116" s="88"/>
      <c r="AO116" s="89"/>
    </row>
    <row r="117" spans="1:41" s="90" customFormat="1" ht="15" customHeight="1" x14ac:dyDescent="0.25">
      <c r="A117" s="42">
        <v>218</v>
      </c>
      <c r="B117" s="100"/>
      <c r="C117" s="100"/>
      <c r="D117" s="101"/>
      <c r="E117" s="69"/>
      <c r="F117" s="102"/>
      <c r="G117" s="103"/>
      <c r="H117" s="104"/>
      <c r="I117" s="69"/>
      <c r="J117" s="105"/>
      <c r="K117" s="106"/>
      <c r="L117" s="105"/>
      <c r="M117" s="107"/>
      <c r="N117" s="71"/>
      <c r="O117" s="108"/>
      <c r="P117" s="109"/>
      <c r="Q117" s="110"/>
      <c r="R117" s="111"/>
      <c r="S117" s="112"/>
      <c r="T117" s="112"/>
      <c r="U117" s="112"/>
      <c r="V117" s="81"/>
      <c r="W117" s="81"/>
      <c r="X117" s="81"/>
      <c r="Y117" s="81"/>
      <c r="Z117" s="81"/>
      <c r="AA117" s="81"/>
      <c r="AB117" s="81"/>
      <c r="AC117" s="99"/>
      <c r="AD117" s="99"/>
      <c r="AE117" s="45">
        <f t="shared" si="16"/>
        <v>0</v>
      </c>
      <c r="AF117" s="45">
        <f t="shared" si="17"/>
        <v>0</v>
      </c>
      <c r="AG117" s="46">
        <f t="shared" si="18"/>
        <v>0</v>
      </c>
      <c r="AH117" s="86"/>
      <c r="AI117" s="86"/>
      <c r="AJ117" s="87"/>
      <c r="AK117" s="88"/>
      <c r="AL117" s="88"/>
      <c r="AM117" s="88"/>
      <c r="AN117" s="88"/>
      <c r="AO117" s="89"/>
    </row>
    <row r="118" spans="1:41" s="90" customFormat="1" ht="15" customHeight="1" x14ac:dyDescent="0.25">
      <c r="A118" s="42">
        <v>219</v>
      </c>
      <c r="B118" s="100"/>
      <c r="C118" s="100"/>
      <c r="D118" s="101"/>
      <c r="E118" s="69"/>
      <c r="F118" s="102"/>
      <c r="G118" s="103"/>
      <c r="H118" s="104"/>
      <c r="I118" s="69"/>
      <c r="J118" s="105"/>
      <c r="K118" s="106"/>
      <c r="L118" s="105"/>
      <c r="M118" s="107"/>
      <c r="N118" s="71"/>
      <c r="O118" s="108"/>
      <c r="P118" s="109"/>
      <c r="Q118" s="110"/>
      <c r="R118" s="111"/>
      <c r="S118" s="112"/>
      <c r="T118" s="112"/>
      <c r="U118" s="112"/>
      <c r="V118" s="113"/>
      <c r="W118" s="81"/>
      <c r="X118" s="81"/>
      <c r="Y118" s="81"/>
      <c r="Z118" s="81"/>
      <c r="AA118" s="81"/>
      <c r="AB118" s="81"/>
      <c r="AC118" s="99"/>
      <c r="AD118" s="99"/>
      <c r="AE118" s="45">
        <f t="shared" si="16"/>
        <v>0</v>
      </c>
      <c r="AF118" s="45">
        <f t="shared" si="17"/>
        <v>0</v>
      </c>
      <c r="AG118" s="46">
        <f t="shared" si="18"/>
        <v>0</v>
      </c>
      <c r="AH118" s="86"/>
      <c r="AI118" s="86"/>
      <c r="AJ118" s="87"/>
      <c r="AK118" s="88"/>
      <c r="AL118" s="88"/>
      <c r="AM118" s="88"/>
      <c r="AN118" s="88"/>
      <c r="AO118" s="89"/>
    </row>
    <row r="119" spans="1:41" s="90" customFormat="1" ht="15" customHeight="1" x14ac:dyDescent="0.25">
      <c r="A119" s="42">
        <v>220</v>
      </c>
      <c r="B119" s="100"/>
      <c r="C119" s="100"/>
      <c r="D119" s="101"/>
      <c r="E119" s="69"/>
      <c r="F119" s="102"/>
      <c r="G119" s="103"/>
      <c r="H119" s="104"/>
      <c r="I119" s="69"/>
      <c r="J119" s="105"/>
      <c r="K119" s="106"/>
      <c r="L119" s="105"/>
      <c r="M119" s="107"/>
      <c r="N119" s="71"/>
      <c r="O119" s="108"/>
      <c r="P119" s="109"/>
      <c r="Q119" s="110"/>
      <c r="R119" s="111"/>
      <c r="S119" s="112"/>
      <c r="T119" s="112"/>
      <c r="U119" s="112"/>
      <c r="V119" s="113"/>
      <c r="W119" s="81"/>
      <c r="X119" s="81"/>
      <c r="Y119" s="81"/>
      <c r="Z119" s="81"/>
      <c r="AA119" s="81"/>
      <c r="AB119" s="81"/>
      <c r="AC119" s="99"/>
      <c r="AD119" s="99"/>
      <c r="AE119" s="45">
        <f t="shared" si="16"/>
        <v>0</v>
      </c>
      <c r="AF119" s="45">
        <f t="shared" si="17"/>
        <v>0</v>
      </c>
      <c r="AG119" s="46">
        <f t="shared" si="18"/>
        <v>0</v>
      </c>
      <c r="AH119" s="86"/>
      <c r="AI119" s="86"/>
      <c r="AJ119" s="87"/>
      <c r="AK119" s="88"/>
      <c r="AL119" s="88"/>
      <c r="AM119" s="88"/>
      <c r="AN119" s="88"/>
      <c r="AO119" s="89"/>
    </row>
    <row r="120" spans="1:41" s="90" customFormat="1" ht="15" customHeight="1" x14ac:dyDescent="0.25">
      <c r="A120" s="42">
        <v>221</v>
      </c>
      <c r="B120" s="100"/>
      <c r="C120" s="100"/>
      <c r="D120" s="101"/>
      <c r="E120" s="69"/>
      <c r="F120" s="102"/>
      <c r="G120" s="103"/>
      <c r="H120" s="104"/>
      <c r="I120" s="69"/>
      <c r="J120" s="105"/>
      <c r="K120" s="106"/>
      <c r="L120" s="105"/>
      <c r="M120" s="107"/>
      <c r="N120" s="71"/>
      <c r="O120" s="108"/>
      <c r="P120" s="109"/>
      <c r="Q120" s="110"/>
      <c r="R120" s="111"/>
      <c r="S120" s="112"/>
      <c r="T120" s="112"/>
      <c r="U120" s="112"/>
      <c r="V120" s="113"/>
      <c r="W120" s="81"/>
      <c r="X120" s="81"/>
      <c r="Y120" s="81"/>
      <c r="Z120" s="81"/>
      <c r="AA120" s="81"/>
      <c r="AB120" s="81"/>
      <c r="AC120" s="99"/>
      <c r="AD120" s="99"/>
      <c r="AE120" s="45">
        <f t="shared" si="16"/>
        <v>0</v>
      </c>
      <c r="AF120" s="45">
        <f t="shared" si="17"/>
        <v>0</v>
      </c>
      <c r="AG120" s="46">
        <f t="shared" si="18"/>
        <v>0</v>
      </c>
      <c r="AH120" s="86"/>
      <c r="AI120" s="86"/>
      <c r="AJ120" s="87"/>
      <c r="AK120" s="88"/>
      <c r="AL120" s="88"/>
      <c r="AM120" s="88"/>
      <c r="AN120" s="88"/>
      <c r="AO120" s="89"/>
    </row>
    <row r="121" spans="1:41" s="90" customFormat="1" ht="15" customHeight="1" x14ac:dyDescent="0.25">
      <c r="A121" s="42">
        <v>222</v>
      </c>
      <c r="B121" s="100"/>
      <c r="C121" s="100"/>
      <c r="D121" s="101"/>
      <c r="E121" s="69"/>
      <c r="F121" s="102"/>
      <c r="G121" s="103"/>
      <c r="H121" s="104"/>
      <c r="I121" s="69"/>
      <c r="J121" s="105"/>
      <c r="K121" s="106"/>
      <c r="L121" s="105"/>
      <c r="M121" s="107"/>
      <c r="N121" s="71"/>
      <c r="O121" s="108"/>
      <c r="P121" s="109"/>
      <c r="Q121" s="110"/>
      <c r="R121" s="111"/>
      <c r="S121" s="112"/>
      <c r="T121" s="112"/>
      <c r="U121" s="112"/>
      <c r="V121" s="113"/>
      <c r="W121" s="81"/>
      <c r="X121" s="81"/>
      <c r="Y121" s="81"/>
      <c r="Z121" s="81"/>
      <c r="AA121" s="81"/>
      <c r="AB121" s="81"/>
      <c r="AC121" s="99"/>
      <c r="AD121" s="99"/>
      <c r="AE121" s="45">
        <f t="shared" si="16"/>
        <v>0</v>
      </c>
      <c r="AF121" s="45">
        <f t="shared" si="17"/>
        <v>0</v>
      </c>
      <c r="AG121" s="46">
        <f t="shared" si="18"/>
        <v>0</v>
      </c>
      <c r="AH121" s="86"/>
      <c r="AI121" s="86"/>
      <c r="AJ121" s="87"/>
      <c r="AK121" s="88"/>
      <c r="AL121" s="88"/>
      <c r="AM121" s="88"/>
      <c r="AN121" s="88"/>
      <c r="AO121" s="89"/>
    </row>
    <row r="122" spans="1:41" s="90" customFormat="1" ht="15" customHeight="1" x14ac:dyDescent="0.25">
      <c r="A122" s="42">
        <v>223</v>
      </c>
      <c r="B122" s="100"/>
      <c r="C122" s="100"/>
      <c r="D122" s="101"/>
      <c r="E122" s="69"/>
      <c r="F122" s="102"/>
      <c r="G122" s="103"/>
      <c r="H122" s="104"/>
      <c r="I122" s="69"/>
      <c r="J122" s="105"/>
      <c r="K122" s="106"/>
      <c r="L122" s="105"/>
      <c r="M122" s="107"/>
      <c r="N122" s="71"/>
      <c r="O122" s="108"/>
      <c r="P122" s="109"/>
      <c r="Q122" s="110"/>
      <c r="R122" s="111"/>
      <c r="S122" s="112"/>
      <c r="T122" s="112"/>
      <c r="U122" s="112"/>
      <c r="V122" s="113"/>
      <c r="W122" s="81"/>
      <c r="X122" s="81"/>
      <c r="Y122" s="81"/>
      <c r="Z122" s="81"/>
      <c r="AA122" s="81"/>
      <c r="AB122" s="81"/>
      <c r="AC122" s="99"/>
      <c r="AD122" s="99"/>
      <c r="AE122" s="45">
        <f t="shared" si="16"/>
        <v>0</v>
      </c>
      <c r="AF122" s="45">
        <f t="shared" si="17"/>
        <v>0</v>
      </c>
      <c r="AG122" s="46">
        <f t="shared" si="18"/>
        <v>0</v>
      </c>
      <c r="AH122" s="86"/>
      <c r="AI122" s="86"/>
      <c r="AJ122" s="87"/>
      <c r="AK122" s="88"/>
      <c r="AL122" s="88"/>
      <c r="AM122" s="88"/>
      <c r="AN122" s="88"/>
      <c r="AO122" s="89"/>
    </row>
    <row r="123" spans="1:41" s="90" customFormat="1" ht="15" customHeight="1" x14ac:dyDescent="0.25">
      <c r="A123" s="42">
        <v>224</v>
      </c>
      <c r="B123" s="100"/>
      <c r="C123" s="100"/>
      <c r="D123" s="101"/>
      <c r="E123" s="69"/>
      <c r="F123" s="102"/>
      <c r="G123" s="103"/>
      <c r="H123" s="104"/>
      <c r="I123" s="69"/>
      <c r="J123" s="105"/>
      <c r="K123" s="106"/>
      <c r="L123" s="105"/>
      <c r="M123" s="107"/>
      <c r="N123" s="71"/>
      <c r="O123" s="108"/>
      <c r="P123" s="109"/>
      <c r="Q123" s="110"/>
      <c r="R123" s="111"/>
      <c r="S123" s="112"/>
      <c r="T123" s="112"/>
      <c r="U123" s="112"/>
      <c r="V123" s="113"/>
      <c r="W123" s="81"/>
      <c r="X123" s="81"/>
      <c r="Y123" s="81"/>
      <c r="Z123" s="81"/>
      <c r="AA123" s="81"/>
      <c r="AB123" s="81"/>
      <c r="AC123" s="99"/>
      <c r="AD123" s="99"/>
      <c r="AE123" s="45">
        <f t="shared" si="16"/>
        <v>0</v>
      </c>
      <c r="AF123" s="45">
        <f t="shared" si="17"/>
        <v>0</v>
      </c>
      <c r="AG123" s="46">
        <f t="shared" si="18"/>
        <v>0</v>
      </c>
      <c r="AH123" s="86"/>
      <c r="AI123" s="86"/>
      <c r="AJ123" s="87"/>
      <c r="AK123" s="88"/>
      <c r="AL123" s="88"/>
      <c r="AM123" s="88"/>
      <c r="AN123" s="88"/>
      <c r="AO123" s="89"/>
    </row>
    <row r="124" spans="1:41" s="90" customFormat="1" ht="15" customHeight="1" x14ac:dyDescent="0.25">
      <c r="A124" s="42">
        <v>225</v>
      </c>
      <c r="B124" s="100"/>
      <c r="C124" s="100"/>
      <c r="D124" s="101"/>
      <c r="E124" s="69"/>
      <c r="F124" s="102"/>
      <c r="G124" s="103"/>
      <c r="H124" s="104"/>
      <c r="I124" s="69"/>
      <c r="J124" s="105"/>
      <c r="K124" s="106"/>
      <c r="L124" s="105"/>
      <c r="M124" s="107"/>
      <c r="N124" s="71"/>
      <c r="O124" s="108"/>
      <c r="P124" s="109"/>
      <c r="Q124" s="110"/>
      <c r="R124" s="111"/>
      <c r="S124" s="112"/>
      <c r="T124" s="112"/>
      <c r="U124" s="112"/>
      <c r="V124" s="113"/>
      <c r="W124" s="81"/>
      <c r="X124" s="81"/>
      <c r="Y124" s="81"/>
      <c r="Z124" s="81"/>
      <c r="AA124" s="81"/>
      <c r="AB124" s="81"/>
      <c r="AC124" s="99"/>
      <c r="AD124" s="99"/>
      <c r="AE124" s="45">
        <f t="shared" si="16"/>
        <v>0</v>
      </c>
      <c r="AF124" s="45">
        <f t="shared" si="17"/>
        <v>0</v>
      </c>
      <c r="AG124" s="46">
        <f t="shared" si="18"/>
        <v>0</v>
      </c>
      <c r="AH124" s="86"/>
      <c r="AI124" s="86"/>
      <c r="AJ124" s="87"/>
      <c r="AK124" s="88"/>
      <c r="AL124" s="88"/>
      <c r="AM124" s="88"/>
      <c r="AN124" s="88"/>
      <c r="AO124" s="89"/>
    </row>
    <row r="125" spans="1:41" s="90" customFormat="1" ht="15" customHeight="1" x14ac:dyDescent="0.25">
      <c r="A125" s="42">
        <v>226</v>
      </c>
      <c r="B125" s="100"/>
      <c r="C125" s="100"/>
      <c r="D125" s="101"/>
      <c r="E125" s="69"/>
      <c r="F125" s="102"/>
      <c r="G125" s="103"/>
      <c r="H125" s="104"/>
      <c r="I125" s="69"/>
      <c r="J125" s="105"/>
      <c r="K125" s="106"/>
      <c r="L125" s="105"/>
      <c r="M125" s="107"/>
      <c r="N125" s="71"/>
      <c r="O125" s="108"/>
      <c r="P125" s="109"/>
      <c r="Q125" s="110"/>
      <c r="R125" s="111"/>
      <c r="S125" s="112"/>
      <c r="T125" s="112"/>
      <c r="U125" s="112"/>
      <c r="V125" s="113"/>
      <c r="W125" s="81"/>
      <c r="X125" s="81"/>
      <c r="Y125" s="81"/>
      <c r="Z125" s="81"/>
      <c r="AA125" s="81"/>
      <c r="AB125" s="81"/>
      <c r="AC125" s="99"/>
      <c r="AD125" s="99"/>
      <c r="AE125" s="45">
        <f t="shared" si="16"/>
        <v>0</v>
      </c>
      <c r="AF125" s="45">
        <f t="shared" si="17"/>
        <v>0</v>
      </c>
      <c r="AG125" s="46">
        <f t="shared" si="18"/>
        <v>0</v>
      </c>
      <c r="AH125" s="86"/>
      <c r="AI125" s="86"/>
      <c r="AJ125" s="87"/>
      <c r="AK125" s="88"/>
      <c r="AL125" s="88"/>
      <c r="AM125" s="88"/>
      <c r="AN125" s="88"/>
      <c r="AO125" s="89"/>
    </row>
    <row r="126" spans="1:41" s="90" customFormat="1" ht="15" customHeight="1" x14ac:dyDescent="0.25">
      <c r="A126" s="42">
        <v>227</v>
      </c>
      <c r="B126" s="73"/>
      <c r="C126" s="73"/>
      <c r="D126" s="74"/>
      <c r="E126" s="62"/>
      <c r="F126" s="95"/>
      <c r="G126" s="94"/>
      <c r="H126" s="96"/>
      <c r="I126" s="62"/>
      <c r="J126" s="76"/>
      <c r="K126" s="77"/>
      <c r="L126" s="76"/>
      <c r="M126" s="91"/>
      <c r="N126" s="72"/>
      <c r="O126" s="92"/>
      <c r="P126" s="78"/>
      <c r="Q126" s="82"/>
      <c r="R126" s="93"/>
      <c r="S126" s="97"/>
      <c r="T126" s="97"/>
      <c r="U126" s="97"/>
      <c r="V126" s="98"/>
      <c r="W126" s="79"/>
      <c r="X126" s="79"/>
      <c r="Y126" s="79"/>
      <c r="Z126" s="79"/>
      <c r="AA126" s="79"/>
      <c r="AB126" s="99"/>
      <c r="AC126" s="99"/>
      <c r="AD126" s="99"/>
      <c r="AE126" s="45">
        <f t="shared" si="16"/>
        <v>0</v>
      </c>
      <c r="AF126" s="45">
        <f t="shared" si="17"/>
        <v>0</v>
      </c>
      <c r="AG126" s="46">
        <f t="shared" si="18"/>
        <v>0</v>
      </c>
      <c r="AH126" s="86"/>
      <c r="AI126" s="86"/>
      <c r="AJ126" s="87"/>
      <c r="AK126" s="88"/>
      <c r="AL126" s="88"/>
      <c r="AM126" s="88"/>
      <c r="AN126" s="88"/>
      <c r="AO126" s="89"/>
    </row>
    <row r="127" spans="1:41" s="90" customFormat="1" ht="15" customHeight="1" x14ac:dyDescent="0.25">
      <c r="A127" s="42">
        <v>228</v>
      </c>
      <c r="B127" s="73"/>
      <c r="C127" s="73"/>
      <c r="D127" s="74"/>
      <c r="E127" s="62"/>
      <c r="F127" s="95"/>
      <c r="G127" s="94"/>
      <c r="H127" s="96"/>
      <c r="I127" s="62"/>
      <c r="J127" s="76"/>
      <c r="K127" s="77"/>
      <c r="L127" s="76"/>
      <c r="M127" s="91"/>
      <c r="N127" s="72"/>
      <c r="O127" s="92"/>
      <c r="P127" s="78"/>
      <c r="Q127" s="82"/>
      <c r="R127" s="93"/>
      <c r="S127" s="97"/>
      <c r="T127" s="97"/>
      <c r="U127" s="97"/>
      <c r="V127" s="98"/>
      <c r="W127" s="79"/>
      <c r="X127" s="79"/>
      <c r="Y127" s="79"/>
      <c r="Z127" s="79"/>
      <c r="AA127" s="79"/>
      <c r="AB127" s="99"/>
      <c r="AC127" s="99"/>
      <c r="AD127" s="99"/>
      <c r="AE127" s="45">
        <f t="shared" si="16"/>
        <v>0</v>
      </c>
      <c r="AF127" s="45">
        <f t="shared" si="17"/>
        <v>0</v>
      </c>
      <c r="AG127" s="46">
        <f t="shared" si="18"/>
        <v>0</v>
      </c>
      <c r="AH127" s="86"/>
      <c r="AI127" s="86"/>
      <c r="AJ127" s="87"/>
      <c r="AK127" s="88"/>
      <c r="AL127" s="88"/>
      <c r="AM127" s="88"/>
      <c r="AN127" s="88"/>
      <c r="AO127" s="89"/>
    </row>
    <row r="128" spans="1:41" s="90" customFormat="1" ht="15" customHeight="1" x14ac:dyDescent="0.25">
      <c r="A128" s="42">
        <v>229</v>
      </c>
      <c r="B128" s="73"/>
      <c r="C128" s="73"/>
      <c r="D128" s="74"/>
      <c r="E128" s="62"/>
      <c r="F128" s="95"/>
      <c r="G128" s="94"/>
      <c r="H128" s="96"/>
      <c r="I128" s="62"/>
      <c r="J128" s="76"/>
      <c r="K128" s="77"/>
      <c r="L128" s="76"/>
      <c r="M128" s="91"/>
      <c r="N128" s="72"/>
      <c r="O128" s="92"/>
      <c r="P128" s="78"/>
      <c r="Q128" s="82"/>
      <c r="R128" s="93"/>
      <c r="S128" s="97"/>
      <c r="T128" s="97"/>
      <c r="U128" s="97"/>
      <c r="V128" s="98"/>
      <c r="W128" s="79"/>
      <c r="X128" s="79"/>
      <c r="Y128" s="79"/>
      <c r="Z128" s="79"/>
      <c r="AA128" s="79"/>
      <c r="AB128" s="99"/>
      <c r="AC128" s="99"/>
      <c r="AD128" s="99"/>
      <c r="AE128" s="45">
        <f t="shared" si="16"/>
        <v>0</v>
      </c>
      <c r="AF128" s="45">
        <f t="shared" si="17"/>
        <v>0</v>
      </c>
      <c r="AG128" s="46">
        <f t="shared" si="18"/>
        <v>0</v>
      </c>
      <c r="AH128" s="86"/>
      <c r="AI128" s="86"/>
      <c r="AJ128" s="87"/>
      <c r="AK128" s="88"/>
      <c r="AL128" s="88"/>
      <c r="AM128" s="88"/>
      <c r="AN128" s="88"/>
      <c r="AO128" s="89"/>
    </row>
    <row r="129" spans="1:41" s="90" customFormat="1" ht="15" customHeight="1" x14ac:dyDescent="0.25">
      <c r="A129" s="42">
        <v>230</v>
      </c>
      <c r="B129" s="73"/>
      <c r="C129" s="73"/>
      <c r="D129" s="74"/>
      <c r="E129" s="62"/>
      <c r="F129" s="95"/>
      <c r="G129" s="94"/>
      <c r="H129" s="96"/>
      <c r="I129" s="62"/>
      <c r="J129" s="76"/>
      <c r="K129" s="77"/>
      <c r="L129" s="76"/>
      <c r="M129" s="91"/>
      <c r="N129" s="72"/>
      <c r="O129" s="92"/>
      <c r="P129" s="78"/>
      <c r="Q129" s="82"/>
      <c r="R129" s="93"/>
      <c r="S129" s="97"/>
      <c r="T129" s="97"/>
      <c r="U129" s="97"/>
      <c r="V129" s="98"/>
      <c r="W129" s="79"/>
      <c r="X129" s="79"/>
      <c r="Y129" s="79"/>
      <c r="Z129" s="79"/>
      <c r="AA129" s="79"/>
      <c r="AB129" s="99"/>
      <c r="AC129" s="99"/>
      <c r="AD129" s="99"/>
      <c r="AE129" s="45">
        <f t="shared" si="16"/>
        <v>0</v>
      </c>
      <c r="AF129" s="45">
        <f t="shared" si="17"/>
        <v>0</v>
      </c>
      <c r="AG129" s="46">
        <f t="shared" si="18"/>
        <v>0</v>
      </c>
      <c r="AH129" s="86"/>
      <c r="AI129" s="86"/>
      <c r="AJ129" s="87"/>
      <c r="AK129" s="88"/>
      <c r="AL129" s="88"/>
      <c r="AM129" s="88"/>
      <c r="AN129" s="88"/>
      <c r="AO129" s="89"/>
    </row>
    <row r="130" spans="1:41" s="90" customFormat="1" ht="15" customHeight="1" x14ac:dyDescent="0.25">
      <c r="A130" s="42">
        <v>231</v>
      </c>
      <c r="B130" s="73"/>
      <c r="C130" s="73"/>
      <c r="D130" s="74"/>
      <c r="E130" s="62"/>
      <c r="F130" s="95"/>
      <c r="G130" s="94"/>
      <c r="H130" s="96"/>
      <c r="I130" s="62"/>
      <c r="J130" s="76"/>
      <c r="K130" s="77"/>
      <c r="L130" s="76"/>
      <c r="M130" s="91"/>
      <c r="N130" s="72"/>
      <c r="O130" s="92"/>
      <c r="P130" s="78"/>
      <c r="Q130" s="82"/>
      <c r="R130" s="93"/>
      <c r="S130" s="97"/>
      <c r="T130" s="97"/>
      <c r="U130" s="97"/>
      <c r="V130" s="98"/>
      <c r="W130" s="79"/>
      <c r="X130" s="79"/>
      <c r="Y130" s="79"/>
      <c r="Z130" s="79"/>
      <c r="AA130" s="79"/>
      <c r="AB130" s="99"/>
      <c r="AC130" s="99"/>
      <c r="AD130" s="99"/>
      <c r="AE130" s="45">
        <f t="shared" si="16"/>
        <v>0</v>
      </c>
      <c r="AF130" s="45">
        <f t="shared" si="17"/>
        <v>0</v>
      </c>
      <c r="AG130" s="46">
        <f t="shared" si="18"/>
        <v>0</v>
      </c>
      <c r="AH130" s="86"/>
      <c r="AI130" s="86"/>
      <c r="AJ130" s="87"/>
      <c r="AK130" s="88"/>
      <c r="AL130" s="88"/>
      <c r="AM130" s="88"/>
      <c r="AN130" s="88"/>
      <c r="AO130" s="89"/>
    </row>
    <row r="131" spans="1:41" s="90" customFormat="1" ht="15" customHeight="1" x14ac:dyDescent="0.25">
      <c r="A131" s="42">
        <v>232</v>
      </c>
      <c r="B131" s="73"/>
      <c r="C131" s="73"/>
      <c r="D131" s="74"/>
      <c r="E131" s="62"/>
      <c r="F131" s="95"/>
      <c r="G131" s="94"/>
      <c r="H131" s="96"/>
      <c r="I131" s="62"/>
      <c r="J131" s="76"/>
      <c r="K131" s="77"/>
      <c r="L131" s="76"/>
      <c r="M131" s="91"/>
      <c r="N131" s="72"/>
      <c r="O131" s="92"/>
      <c r="P131" s="78"/>
      <c r="Q131" s="82"/>
      <c r="R131" s="93"/>
      <c r="S131" s="97"/>
      <c r="T131" s="97"/>
      <c r="U131" s="97"/>
      <c r="V131" s="98"/>
      <c r="W131" s="79"/>
      <c r="X131" s="79"/>
      <c r="Y131" s="79"/>
      <c r="Z131" s="79"/>
      <c r="AA131" s="79"/>
      <c r="AB131" s="99"/>
      <c r="AC131" s="99"/>
      <c r="AD131" s="99"/>
      <c r="AE131" s="45">
        <f t="shared" si="16"/>
        <v>0</v>
      </c>
      <c r="AF131" s="45">
        <f t="shared" si="17"/>
        <v>0</v>
      </c>
      <c r="AG131" s="46">
        <f t="shared" si="18"/>
        <v>0</v>
      </c>
      <c r="AH131" s="86"/>
      <c r="AI131" s="86"/>
      <c r="AJ131" s="87"/>
      <c r="AK131" s="88"/>
      <c r="AL131" s="88"/>
      <c r="AM131" s="88"/>
      <c r="AN131" s="88"/>
      <c r="AO131" s="89"/>
    </row>
    <row r="132" spans="1:41" s="90" customFormat="1" ht="15" customHeight="1" x14ac:dyDescent="0.25">
      <c r="A132" s="42">
        <v>233</v>
      </c>
      <c r="B132" s="73"/>
      <c r="C132" s="73"/>
      <c r="D132" s="74"/>
      <c r="E132" s="62"/>
      <c r="F132" s="95"/>
      <c r="G132" s="94"/>
      <c r="H132" s="96"/>
      <c r="I132" s="62"/>
      <c r="J132" s="76"/>
      <c r="K132" s="77"/>
      <c r="L132" s="76"/>
      <c r="M132" s="91"/>
      <c r="N132" s="72"/>
      <c r="O132" s="92"/>
      <c r="P132" s="78"/>
      <c r="Q132" s="82"/>
      <c r="R132" s="93"/>
      <c r="S132" s="97"/>
      <c r="T132" s="97"/>
      <c r="U132" s="97"/>
      <c r="V132" s="98"/>
      <c r="W132" s="79"/>
      <c r="X132" s="79"/>
      <c r="Y132" s="79"/>
      <c r="Z132" s="79"/>
      <c r="AA132" s="79"/>
      <c r="AB132" s="99"/>
      <c r="AC132" s="99"/>
      <c r="AD132" s="99"/>
      <c r="AE132" s="45">
        <f t="shared" si="16"/>
        <v>0</v>
      </c>
      <c r="AF132" s="45">
        <f t="shared" si="17"/>
        <v>0</v>
      </c>
      <c r="AG132" s="46">
        <f t="shared" si="18"/>
        <v>0</v>
      </c>
      <c r="AH132" s="86"/>
      <c r="AI132" s="86"/>
      <c r="AJ132" s="87"/>
      <c r="AK132" s="88"/>
      <c r="AL132" s="88"/>
      <c r="AM132" s="88"/>
      <c r="AN132" s="88"/>
      <c r="AO132" s="89"/>
    </row>
    <row r="133" spans="1:41" s="90" customFormat="1" ht="15" customHeight="1" x14ac:dyDescent="0.25">
      <c r="A133" s="42">
        <v>234</v>
      </c>
      <c r="B133" s="73"/>
      <c r="C133" s="73"/>
      <c r="D133" s="74"/>
      <c r="E133" s="62"/>
      <c r="F133" s="95"/>
      <c r="G133" s="94"/>
      <c r="H133" s="96"/>
      <c r="I133" s="62"/>
      <c r="J133" s="76"/>
      <c r="K133" s="77"/>
      <c r="L133" s="76"/>
      <c r="M133" s="91"/>
      <c r="N133" s="72"/>
      <c r="O133" s="92"/>
      <c r="P133" s="78"/>
      <c r="Q133" s="82"/>
      <c r="R133" s="93"/>
      <c r="S133" s="97"/>
      <c r="T133" s="97"/>
      <c r="U133" s="97"/>
      <c r="V133" s="98"/>
      <c r="W133" s="79"/>
      <c r="X133" s="79"/>
      <c r="Y133" s="79"/>
      <c r="Z133" s="79"/>
      <c r="AA133" s="79"/>
      <c r="AB133" s="99"/>
      <c r="AC133" s="99"/>
      <c r="AD133" s="99"/>
      <c r="AE133" s="45">
        <f t="shared" si="16"/>
        <v>0</v>
      </c>
      <c r="AF133" s="45">
        <f t="shared" si="17"/>
        <v>0</v>
      </c>
      <c r="AG133" s="46">
        <f t="shared" si="18"/>
        <v>0</v>
      </c>
      <c r="AH133" s="86"/>
      <c r="AI133" s="86"/>
      <c r="AJ133" s="87"/>
      <c r="AK133" s="88"/>
      <c r="AL133" s="88"/>
      <c r="AM133" s="88"/>
      <c r="AN133" s="88"/>
      <c r="AO133" s="89"/>
    </row>
    <row r="134" spans="1:41" s="90" customFormat="1" ht="15" customHeight="1" x14ac:dyDescent="0.25">
      <c r="A134" s="42">
        <v>235</v>
      </c>
      <c r="B134" s="73"/>
      <c r="C134" s="73"/>
      <c r="D134" s="74"/>
      <c r="E134" s="62"/>
      <c r="F134" s="95"/>
      <c r="G134" s="94"/>
      <c r="H134" s="96"/>
      <c r="I134" s="62"/>
      <c r="J134" s="76"/>
      <c r="K134" s="77"/>
      <c r="L134" s="76"/>
      <c r="M134" s="91"/>
      <c r="N134" s="72"/>
      <c r="O134" s="92"/>
      <c r="P134" s="78"/>
      <c r="Q134" s="82"/>
      <c r="R134" s="93"/>
      <c r="S134" s="97"/>
      <c r="T134" s="97"/>
      <c r="U134" s="97"/>
      <c r="V134" s="98"/>
      <c r="W134" s="79"/>
      <c r="X134" s="79"/>
      <c r="Y134" s="79"/>
      <c r="Z134" s="79"/>
      <c r="AA134" s="79"/>
      <c r="AB134" s="99"/>
      <c r="AC134" s="99"/>
      <c r="AD134" s="99"/>
      <c r="AE134" s="45">
        <f t="shared" si="16"/>
        <v>0</v>
      </c>
      <c r="AF134" s="45">
        <f t="shared" si="17"/>
        <v>0</v>
      </c>
      <c r="AG134" s="46">
        <f t="shared" si="18"/>
        <v>0</v>
      </c>
      <c r="AH134" s="86"/>
      <c r="AI134" s="86"/>
      <c r="AJ134" s="87"/>
      <c r="AK134" s="88"/>
      <c r="AL134" s="88"/>
      <c r="AM134" s="88"/>
      <c r="AN134" s="88"/>
      <c r="AO134" s="89"/>
    </row>
    <row r="135" spans="1:41" s="90" customFormat="1" ht="15" customHeight="1" x14ac:dyDescent="0.25">
      <c r="A135" s="42">
        <v>236</v>
      </c>
      <c r="B135" s="73"/>
      <c r="C135" s="73"/>
      <c r="D135" s="74"/>
      <c r="E135" s="62"/>
      <c r="F135" s="95"/>
      <c r="G135" s="94"/>
      <c r="H135" s="96"/>
      <c r="I135" s="62"/>
      <c r="J135" s="76"/>
      <c r="K135" s="77"/>
      <c r="L135" s="76"/>
      <c r="M135" s="91"/>
      <c r="N135" s="72"/>
      <c r="O135" s="92"/>
      <c r="P135" s="78"/>
      <c r="Q135" s="82"/>
      <c r="R135" s="93"/>
      <c r="S135" s="97"/>
      <c r="T135" s="97"/>
      <c r="U135" s="97"/>
      <c r="V135" s="98"/>
      <c r="W135" s="79"/>
      <c r="X135" s="79"/>
      <c r="Y135" s="79"/>
      <c r="Z135" s="79"/>
      <c r="AA135" s="79"/>
      <c r="AB135" s="99"/>
      <c r="AC135" s="99"/>
      <c r="AD135" s="99"/>
      <c r="AE135" s="45">
        <f t="shared" si="16"/>
        <v>0</v>
      </c>
      <c r="AF135" s="45">
        <f t="shared" si="17"/>
        <v>0</v>
      </c>
      <c r="AG135" s="46">
        <f t="shared" si="18"/>
        <v>0</v>
      </c>
      <c r="AH135" s="86"/>
      <c r="AI135" s="86"/>
      <c r="AJ135" s="87"/>
      <c r="AK135" s="88"/>
      <c r="AL135" s="88"/>
      <c r="AM135" s="88"/>
      <c r="AN135" s="88"/>
      <c r="AO135" s="89"/>
    </row>
    <row r="136" spans="1:41" s="90" customFormat="1" ht="15" customHeight="1" x14ac:dyDescent="0.25">
      <c r="A136" s="42">
        <v>237</v>
      </c>
      <c r="B136" s="73"/>
      <c r="C136" s="73"/>
      <c r="D136" s="74"/>
      <c r="E136" s="62"/>
      <c r="F136" s="95"/>
      <c r="G136" s="94"/>
      <c r="H136" s="96"/>
      <c r="I136" s="62"/>
      <c r="J136" s="76"/>
      <c r="K136" s="77"/>
      <c r="L136" s="76"/>
      <c r="M136" s="91"/>
      <c r="N136" s="72"/>
      <c r="O136" s="92"/>
      <c r="P136" s="78"/>
      <c r="Q136" s="82"/>
      <c r="R136" s="93"/>
      <c r="S136" s="97"/>
      <c r="T136" s="97"/>
      <c r="U136" s="97"/>
      <c r="V136" s="98"/>
      <c r="W136" s="79"/>
      <c r="X136" s="79"/>
      <c r="Y136" s="79"/>
      <c r="Z136" s="79"/>
      <c r="AA136" s="79"/>
      <c r="AB136" s="99"/>
      <c r="AC136" s="99"/>
      <c r="AD136" s="99"/>
      <c r="AE136" s="45">
        <f t="shared" si="16"/>
        <v>0</v>
      </c>
      <c r="AF136" s="45">
        <f t="shared" si="17"/>
        <v>0</v>
      </c>
      <c r="AG136" s="46">
        <f t="shared" si="18"/>
        <v>0</v>
      </c>
      <c r="AH136" s="86"/>
      <c r="AI136" s="86"/>
      <c r="AJ136" s="87"/>
      <c r="AK136" s="88"/>
      <c r="AL136" s="88"/>
      <c r="AM136" s="88"/>
      <c r="AN136" s="88"/>
      <c r="AO136" s="89"/>
    </row>
    <row r="137" spans="1:41" s="90" customFormat="1" ht="15" customHeight="1" x14ac:dyDescent="0.25">
      <c r="A137" s="42">
        <v>238</v>
      </c>
      <c r="B137" s="73"/>
      <c r="C137" s="73"/>
      <c r="D137" s="74"/>
      <c r="E137" s="62"/>
      <c r="F137" s="95"/>
      <c r="G137" s="94"/>
      <c r="H137" s="96"/>
      <c r="I137" s="62"/>
      <c r="J137" s="76"/>
      <c r="K137" s="77"/>
      <c r="L137" s="76"/>
      <c r="M137" s="91"/>
      <c r="N137" s="72"/>
      <c r="O137" s="92"/>
      <c r="P137" s="78"/>
      <c r="Q137" s="82"/>
      <c r="R137" s="93"/>
      <c r="S137" s="97"/>
      <c r="T137" s="97"/>
      <c r="U137" s="97"/>
      <c r="V137" s="98"/>
      <c r="W137" s="79"/>
      <c r="X137" s="79"/>
      <c r="Y137" s="79"/>
      <c r="Z137" s="79"/>
      <c r="AA137" s="79"/>
      <c r="AB137" s="99"/>
      <c r="AC137" s="99"/>
      <c r="AD137" s="99"/>
      <c r="AE137" s="45">
        <f t="shared" si="16"/>
        <v>0</v>
      </c>
      <c r="AF137" s="45">
        <f t="shared" si="17"/>
        <v>0</v>
      </c>
      <c r="AG137" s="46">
        <f t="shared" si="18"/>
        <v>0</v>
      </c>
      <c r="AH137" s="86"/>
      <c r="AI137" s="86"/>
      <c r="AJ137" s="87"/>
      <c r="AK137" s="88"/>
      <c r="AL137" s="88"/>
      <c r="AM137" s="88"/>
      <c r="AN137" s="88"/>
      <c r="AO137" s="89"/>
    </row>
    <row r="138" spans="1:41" s="90" customFormat="1" ht="15" customHeight="1" x14ac:dyDescent="0.25">
      <c r="A138" s="42">
        <v>239</v>
      </c>
      <c r="B138" s="73"/>
      <c r="C138" s="73"/>
      <c r="D138" s="74"/>
      <c r="E138" s="62"/>
      <c r="F138" s="95"/>
      <c r="G138" s="94"/>
      <c r="H138" s="96"/>
      <c r="I138" s="62"/>
      <c r="J138" s="76"/>
      <c r="K138" s="77"/>
      <c r="L138" s="76"/>
      <c r="M138" s="91"/>
      <c r="N138" s="72"/>
      <c r="O138" s="92"/>
      <c r="P138" s="78"/>
      <c r="Q138" s="82"/>
      <c r="R138" s="93"/>
      <c r="S138" s="97"/>
      <c r="T138" s="97"/>
      <c r="U138" s="97"/>
      <c r="V138" s="98"/>
      <c r="W138" s="79"/>
      <c r="X138" s="79"/>
      <c r="Y138" s="79"/>
      <c r="Z138" s="79"/>
      <c r="AA138" s="79"/>
      <c r="AB138" s="99"/>
      <c r="AC138" s="99"/>
      <c r="AD138" s="99"/>
      <c r="AE138" s="45">
        <f t="shared" si="16"/>
        <v>0</v>
      </c>
      <c r="AF138" s="45">
        <f t="shared" si="17"/>
        <v>0</v>
      </c>
      <c r="AG138" s="46">
        <f t="shared" si="18"/>
        <v>0</v>
      </c>
      <c r="AH138" s="86"/>
      <c r="AI138" s="86"/>
      <c r="AJ138" s="87"/>
      <c r="AK138" s="88"/>
      <c r="AL138" s="88"/>
      <c r="AM138" s="88"/>
      <c r="AN138" s="88"/>
      <c r="AO138" s="89"/>
    </row>
    <row r="139" spans="1:41" s="90" customFormat="1" ht="15" customHeight="1" x14ac:dyDescent="0.25">
      <c r="A139" s="42">
        <v>240</v>
      </c>
      <c r="B139" s="73"/>
      <c r="C139" s="73"/>
      <c r="D139" s="74"/>
      <c r="E139" s="62"/>
      <c r="F139" s="95"/>
      <c r="G139" s="94"/>
      <c r="H139" s="96"/>
      <c r="I139" s="62"/>
      <c r="J139" s="76"/>
      <c r="K139" s="77"/>
      <c r="L139" s="76"/>
      <c r="M139" s="91"/>
      <c r="N139" s="72"/>
      <c r="O139" s="92"/>
      <c r="P139" s="78"/>
      <c r="Q139" s="82"/>
      <c r="R139" s="93"/>
      <c r="S139" s="97"/>
      <c r="T139" s="97"/>
      <c r="U139" s="97"/>
      <c r="V139" s="98"/>
      <c r="W139" s="79"/>
      <c r="X139" s="79"/>
      <c r="Y139" s="79"/>
      <c r="Z139" s="79"/>
      <c r="AA139" s="79"/>
      <c r="AB139" s="99"/>
      <c r="AC139" s="99"/>
      <c r="AD139" s="99"/>
      <c r="AE139" s="45">
        <f t="shared" si="16"/>
        <v>0</v>
      </c>
      <c r="AF139" s="45">
        <f t="shared" si="17"/>
        <v>0</v>
      </c>
      <c r="AG139" s="46">
        <f t="shared" si="18"/>
        <v>0</v>
      </c>
      <c r="AH139" s="86"/>
      <c r="AI139" s="86"/>
      <c r="AJ139" s="87"/>
      <c r="AK139" s="88"/>
      <c r="AL139" s="88"/>
      <c r="AM139" s="88"/>
      <c r="AN139" s="88"/>
      <c r="AO139" s="89"/>
    </row>
    <row r="140" spans="1:41" s="90" customFormat="1" ht="15" customHeight="1" x14ac:dyDescent="0.25">
      <c r="A140" s="42">
        <v>241</v>
      </c>
      <c r="B140" s="73"/>
      <c r="C140" s="73"/>
      <c r="D140" s="74"/>
      <c r="E140" s="62"/>
      <c r="F140" s="95"/>
      <c r="G140" s="94"/>
      <c r="H140" s="96"/>
      <c r="I140" s="62"/>
      <c r="J140" s="76"/>
      <c r="K140" s="77"/>
      <c r="L140" s="76"/>
      <c r="M140" s="91"/>
      <c r="N140" s="72"/>
      <c r="O140" s="92"/>
      <c r="P140" s="78"/>
      <c r="Q140" s="82"/>
      <c r="R140" s="93"/>
      <c r="S140" s="97"/>
      <c r="T140" s="97"/>
      <c r="U140" s="97"/>
      <c r="V140" s="98"/>
      <c r="W140" s="79"/>
      <c r="X140" s="79"/>
      <c r="Y140" s="79"/>
      <c r="Z140" s="79"/>
      <c r="AA140" s="79"/>
      <c r="AB140" s="99"/>
      <c r="AC140" s="99"/>
      <c r="AD140" s="99"/>
      <c r="AE140" s="45">
        <f t="shared" si="16"/>
        <v>0</v>
      </c>
      <c r="AF140" s="45">
        <f t="shared" si="17"/>
        <v>0</v>
      </c>
      <c r="AG140" s="46">
        <f t="shared" si="18"/>
        <v>0</v>
      </c>
      <c r="AH140" s="86"/>
      <c r="AI140" s="86"/>
      <c r="AJ140" s="87"/>
      <c r="AK140" s="88"/>
      <c r="AL140" s="88"/>
      <c r="AM140" s="88"/>
      <c r="AN140" s="88"/>
      <c r="AO140" s="89"/>
    </row>
    <row r="141" spans="1:41" s="90" customFormat="1" ht="15" customHeight="1" x14ac:dyDescent="0.25">
      <c r="A141" s="42">
        <v>242</v>
      </c>
      <c r="B141" s="73"/>
      <c r="C141" s="73"/>
      <c r="D141" s="74"/>
      <c r="E141" s="62"/>
      <c r="F141" s="95"/>
      <c r="G141" s="94"/>
      <c r="H141" s="96"/>
      <c r="I141" s="62"/>
      <c r="J141" s="76"/>
      <c r="K141" s="77"/>
      <c r="L141" s="76"/>
      <c r="M141" s="91"/>
      <c r="N141" s="72"/>
      <c r="O141" s="92"/>
      <c r="P141" s="78"/>
      <c r="Q141" s="82"/>
      <c r="R141" s="93"/>
      <c r="S141" s="97"/>
      <c r="T141" s="97"/>
      <c r="U141" s="97"/>
      <c r="V141" s="98"/>
      <c r="W141" s="79"/>
      <c r="X141" s="79"/>
      <c r="Y141" s="79"/>
      <c r="Z141" s="79"/>
      <c r="AA141" s="79"/>
      <c r="AB141" s="99"/>
      <c r="AC141" s="99"/>
      <c r="AD141" s="99"/>
      <c r="AE141" s="45">
        <f t="shared" si="16"/>
        <v>0</v>
      </c>
      <c r="AF141" s="45">
        <f t="shared" si="17"/>
        <v>0</v>
      </c>
      <c r="AG141" s="46">
        <f t="shared" si="18"/>
        <v>0</v>
      </c>
      <c r="AH141" s="86"/>
      <c r="AI141" s="86"/>
      <c r="AJ141" s="87"/>
      <c r="AK141" s="88"/>
      <c r="AL141" s="88"/>
      <c r="AM141" s="88"/>
      <c r="AN141" s="88"/>
      <c r="AO141" s="89"/>
    </row>
    <row r="142" spans="1:41" s="90" customFormat="1" ht="15" customHeight="1" x14ac:dyDescent="0.25">
      <c r="A142" s="42">
        <v>243</v>
      </c>
      <c r="B142" s="73"/>
      <c r="C142" s="73"/>
      <c r="D142" s="74"/>
      <c r="E142" s="62"/>
      <c r="F142" s="95"/>
      <c r="G142" s="94"/>
      <c r="H142" s="96"/>
      <c r="I142" s="62"/>
      <c r="J142" s="76"/>
      <c r="K142" s="77"/>
      <c r="L142" s="76"/>
      <c r="M142" s="91"/>
      <c r="N142" s="72"/>
      <c r="O142" s="92"/>
      <c r="P142" s="78"/>
      <c r="Q142" s="82"/>
      <c r="R142" s="93"/>
      <c r="S142" s="97"/>
      <c r="T142" s="97"/>
      <c r="U142" s="97"/>
      <c r="V142" s="98"/>
      <c r="W142" s="79"/>
      <c r="X142" s="79"/>
      <c r="Y142" s="79"/>
      <c r="Z142" s="79"/>
      <c r="AA142" s="79"/>
      <c r="AB142" s="99"/>
      <c r="AC142" s="99"/>
      <c r="AD142" s="99"/>
      <c r="AE142" s="45">
        <f t="shared" si="16"/>
        <v>0</v>
      </c>
      <c r="AF142" s="45">
        <f t="shared" si="17"/>
        <v>0</v>
      </c>
      <c r="AG142" s="46">
        <f t="shared" si="18"/>
        <v>0</v>
      </c>
      <c r="AH142" s="86"/>
      <c r="AI142" s="86"/>
      <c r="AJ142" s="87"/>
      <c r="AK142" s="88"/>
      <c r="AL142" s="88"/>
      <c r="AM142" s="88"/>
      <c r="AN142" s="88"/>
      <c r="AO142" s="89"/>
    </row>
    <row r="143" spans="1:41" s="90" customFormat="1" ht="15" customHeight="1" x14ac:dyDescent="0.25">
      <c r="A143" s="42">
        <v>244</v>
      </c>
      <c r="B143" s="73"/>
      <c r="C143" s="73"/>
      <c r="D143" s="74"/>
      <c r="E143" s="62"/>
      <c r="F143" s="95"/>
      <c r="G143" s="94"/>
      <c r="H143" s="96"/>
      <c r="I143" s="62"/>
      <c r="J143" s="76"/>
      <c r="K143" s="77"/>
      <c r="L143" s="76"/>
      <c r="M143" s="91"/>
      <c r="N143" s="72"/>
      <c r="O143" s="92"/>
      <c r="P143" s="78"/>
      <c r="Q143" s="82"/>
      <c r="R143" s="93"/>
      <c r="S143" s="97"/>
      <c r="T143" s="97"/>
      <c r="U143" s="97"/>
      <c r="V143" s="98"/>
      <c r="W143" s="79"/>
      <c r="X143" s="79"/>
      <c r="Y143" s="79"/>
      <c r="Z143" s="79"/>
      <c r="AA143" s="79"/>
      <c r="AB143" s="99"/>
      <c r="AC143" s="99"/>
      <c r="AD143" s="99"/>
      <c r="AE143" s="45">
        <f t="shared" si="16"/>
        <v>0</v>
      </c>
      <c r="AF143" s="45">
        <f t="shared" si="17"/>
        <v>0</v>
      </c>
      <c r="AG143" s="46">
        <f t="shared" si="18"/>
        <v>0</v>
      </c>
      <c r="AH143" s="86"/>
      <c r="AI143" s="86"/>
      <c r="AJ143" s="87"/>
      <c r="AK143" s="88"/>
      <c r="AL143" s="88"/>
      <c r="AM143" s="88"/>
      <c r="AN143" s="88"/>
      <c r="AO143" s="89"/>
    </row>
    <row r="144" spans="1:41" s="90" customFormat="1" ht="15" customHeight="1" x14ac:dyDescent="0.25">
      <c r="A144" s="42">
        <v>245</v>
      </c>
      <c r="B144" s="73"/>
      <c r="C144" s="73"/>
      <c r="D144" s="74"/>
      <c r="E144" s="62"/>
      <c r="F144" s="95"/>
      <c r="G144" s="94"/>
      <c r="H144" s="96"/>
      <c r="I144" s="62"/>
      <c r="J144" s="76"/>
      <c r="K144" s="77"/>
      <c r="L144" s="76"/>
      <c r="M144" s="91"/>
      <c r="N144" s="72"/>
      <c r="O144" s="92"/>
      <c r="P144" s="78"/>
      <c r="Q144" s="82"/>
      <c r="R144" s="93"/>
      <c r="S144" s="97"/>
      <c r="T144" s="97"/>
      <c r="U144" s="97"/>
      <c r="V144" s="98"/>
      <c r="W144" s="79"/>
      <c r="X144" s="79"/>
      <c r="Y144" s="79"/>
      <c r="Z144" s="79"/>
      <c r="AA144" s="79"/>
      <c r="AB144" s="99"/>
      <c r="AC144" s="99"/>
      <c r="AD144" s="99"/>
      <c r="AE144" s="45">
        <f t="shared" si="16"/>
        <v>0</v>
      </c>
      <c r="AF144" s="45">
        <f t="shared" si="17"/>
        <v>0</v>
      </c>
      <c r="AG144" s="46">
        <f t="shared" si="18"/>
        <v>0</v>
      </c>
      <c r="AH144" s="86"/>
      <c r="AI144" s="86"/>
      <c r="AJ144" s="87"/>
      <c r="AK144" s="88"/>
      <c r="AL144" s="88"/>
      <c r="AM144" s="88"/>
      <c r="AN144" s="88"/>
      <c r="AO144" s="89"/>
    </row>
    <row r="145" spans="1:41" s="90" customFormat="1" ht="15" customHeight="1" x14ac:dyDescent="0.25">
      <c r="A145" s="42">
        <v>246</v>
      </c>
      <c r="B145" s="73"/>
      <c r="C145" s="73"/>
      <c r="D145" s="74"/>
      <c r="E145" s="62"/>
      <c r="F145" s="95"/>
      <c r="G145" s="94"/>
      <c r="H145" s="96"/>
      <c r="I145" s="62"/>
      <c r="J145" s="76"/>
      <c r="K145" s="77"/>
      <c r="L145" s="76"/>
      <c r="M145" s="91"/>
      <c r="N145" s="72"/>
      <c r="O145" s="92"/>
      <c r="P145" s="78"/>
      <c r="Q145" s="82"/>
      <c r="R145" s="93"/>
      <c r="S145" s="97"/>
      <c r="T145" s="97"/>
      <c r="U145" s="97"/>
      <c r="V145" s="98"/>
      <c r="W145" s="79"/>
      <c r="X145" s="79"/>
      <c r="Y145" s="79"/>
      <c r="Z145" s="79"/>
      <c r="AA145" s="79"/>
      <c r="AB145" s="99"/>
      <c r="AC145" s="99"/>
      <c r="AD145" s="99"/>
      <c r="AE145" s="45">
        <f t="shared" si="16"/>
        <v>0</v>
      </c>
      <c r="AF145" s="45">
        <f t="shared" si="17"/>
        <v>0</v>
      </c>
      <c r="AG145" s="46">
        <f t="shared" si="18"/>
        <v>0</v>
      </c>
      <c r="AH145" s="86"/>
      <c r="AI145" s="86"/>
      <c r="AJ145" s="87"/>
      <c r="AK145" s="88"/>
      <c r="AL145" s="88"/>
      <c r="AM145" s="88"/>
      <c r="AN145" s="88"/>
      <c r="AO145" s="89"/>
    </row>
    <row r="146" spans="1:41" s="90" customFormat="1" ht="15" customHeight="1" x14ac:dyDescent="0.25">
      <c r="A146" s="42">
        <v>247</v>
      </c>
      <c r="B146" s="73"/>
      <c r="C146" s="73"/>
      <c r="D146" s="74"/>
      <c r="E146" s="62"/>
      <c r="F146" s="75"/>
      <c r="G146" s="62"/>
      <c r="H146" s="83"/>
      <c r="I146" s="62"/>
      <c r="J146" s="62"/>
      <c r="K146" s="76"/>
      <c r="L146" s="76"/>
      <c r="M146" s="91"/>
      <c r="N146" s="92"/>
      <c r="O146" s="92"/>
      <c r="P146" s="80"/>
      <c r="Q146" s="82"/>
      <c r="R146" s="93"/>
      <c r="S146" s="97"/>
      <c r="T146" s="97"/>
      <c r="U146" s="97"/>
      <c r="V146" s="98"/>
      <c r="W146" s="79"/>
      <c r="X146" s="79"/>
      <c r="Y146" s="79"/>
      <c r="Z146" s="79"/>
      <c r="AA146" s="79"/>
      <c r="AB146" s="99"/>
      <c r="AC146" s="99"/>
      <c r="AD146" s="99"/>
      <c r="AE146" s="45">
        <f t="shared" si="16"/>
        <v>0</v>
      </c>
      <c r="AF146" s="45">
        <f t="shared" si="17"/>
        <v>0</v>
      </c>
      <c r="AG146" s="46">
        <f t="shared" si="18"/>
        <v>0</v>
      </c>
      <c r="AH146" s="86"/>
      <c r="AI146" s="86"/>
      <c r="AJ146" s="87"/>
      <c r="AK146" s="88"/>
      <c r="AL146" s="88"/>
      <c r="AM146" s="88"/>
      <c r="AN146" s="88"/>
      <c r="AO146" s="89"/>
    </row>
    <row r="147" spans="1:41" s="90" customFormat="1" ht="15" customHeight="1" x14ac:dyDescent="0.25">
      <c r="A147" s="42">
        <v>248</v>
      </c>
      <c r="B147" s="114"/>
      <c r="C147" s="114"/>
      <c r="D147" s="74"/>
      <c r="E147" s="62"/>
      <c r="F147" s="79"/>
      <c r="G147" s="76"/>
      <c r="H147" s="83"/>
      <c r="I147" s="94"/>
      <c r="J147" s="62"/>
      <c r="K147" s="76"/>
      <c r="L147" s="76"/>
      <c r="M147" s="91"/>
      <c r="N147" s="92"/>
      <c r="O147" s="92"/>
      <c r="P147" s="115"/>
      <c r="Q147" s="116"/>
      <c r="R147" s="93"/>
      <c r="S147" s="72"/>
      <c r="T147" s="72"/>
      <c r="U147" s="72"/>
      <c r="V147" s="79"/>
      <c r="W147" s="79"/>
      <c r="X147" s="79"/>
      <c r="Y147" s="79"/>
      <c r="Z147" s="79"/>
      <c r="AA147" s="79"/>
      <c r="AB147" s="99"/>
      <c r="AC147" s="99"/>
      <c r="AD147" s="99"/>
      <c r="AE147" s="45">
        <f t="shared" si="16"/>
        <v>0</v>
      </c>
      <c r="AF147" s="45">
        <f t="shared" si="17"/>
        <v>0</v>
      </c>
      <c r="AG147" s="46">
        <f t="shared" si="18"/>
        <v>0</v>
      </c>
      <c r="AH147" s="86"/>
      <c r="AI147" s="86"/>
      <c r="AJ147" s="87"/>
      <c r="AK147" s="88"/>
      <c r="AL147" s="88"/>
      <c r="AM147" s="88"/>
      <c r="AN147" s="88"/>
      <c r="AO147" s="89"/>
    </row>
    <row r="148" spans="1:41" s="90" customFormat="1" ht="15" customHeight="1" x14ac:dyDescent="0.25">
      <c r="A148" s="42">
        <v>249</v>
      </c>
      <c r="B148" s="73"/>
      <c r="C148" s="73"/>
      <c r="D148" s="74"/>
      <c r="E148" s="62"/>
      <c r="F148" s="117"/>
      <c r="G148" s="62"/>
      <c r="H148" s="118"/>
      <c r="I148" s="62"/>
      <c r="J148" s="62"/>
      <c r="K148" s="76"/>
      <c r="L148" s="76"/>
      <c r="M148" s="91"/>
      <c r="N148" s="92"/>
      <c r="O148" s="92"/>
      <c r="P148" s="115"/>
      <c r="Q148" s="116"/>
      <c r="R148" s="93"/>
      <c r="S148" s="72"/>
      <c r="T148" s="72"/>
      <c r="U148" s="72"/>
      <c r="V148" s="79"/>
      <c r="W148" s="79"/>
      <c r="X148" s="79"/>
      <c r="Y148" s="99"/>
      <c r="Z148" s="99"/>
      <c r="AA148" s="99"/>
      <c r="AB148" s="99"/>
      <c r="AC148" s="99"/>
      <c r="AD148" s="99"/>
      <c r="AE148" s="84">
        <f t="shared" ref="AE148" si="19">SUM(V148:AD148)</f>
        <v>0</v>
      </c>
      <c r="AF148" s="84">
        <f t="shared" ref="AF148" si="20">R148+AE148</f>
        <v>0</v>
      </c>
      <c r="AG148" s="85">
        <f t="shared" ref="AG148" si="21">+(N148+O148)-AF148</f>
        <v>0</v>
      </c>
      <c r="AH148" s="86"/>
      <c r="AI148" s="86"/>
      <c r="AJ148" s="87"/>
      <c r="AK148" s="88"/>
      <c r="AL148" s="88"/>
      <c r="AM148" s="88"/>
      <c r="AN148" s="88"/>
      <c r="AO148" s="89"/>
    </row>
    <row r="149" spans="1:41" x14ac:dyDescent="0.25">
      <c r="A149" s="1"/>
      <c r="D149" s="119"/>
      <c r="E149" s="120"/>
      <c r="F149" s="121"/>
      <c r="G149" s="1"/>
      <c r="I149" s="4"/>
      <c r="J149" s="1"/>
      <c r="M149" s="30"/>
      <c r="N149" s="122">
        <f>SUBTOTAL(9,N7:N148)</f>
        <v>80780700</v>
      </c>
      <c r="O149" s="122">
        <f>SUBTOTAL(9,O7:O148)</f>
        <v>60363730</v>
      </c>
      <c r="P149" s="123"/>
      <c r="Q149" s="124"/>
      <c r="R149" s="125">
        <f>SUBTOTAL(9,R7:R148)</f>
        <v>48550000</v>
      </c>
      <c r="S149" s="126"/>
      <c r="T149" s="126"/>
      <c r="U149" s="126"/>
      <c r="V149" s="126"/>
      <c r="W149" s="126"/>
      <c r="X149" s="126"/>
      <c r="Y149" s="126"/>
      <c r="Z149" s="126"/>
      <c r="AE149" s="127">
        <f>SUBTOTAL(9,AE7:AE148)</f>
        <v>36200000</v>
      </c>
      <c r="AF149" s="128">
        <f>SUBTOTAL(9,AF7:AF148)</f>
        <v>84750000</v>
      </c>
      <c r="AG149" s="128">
        <f>SUBTOTAL(9,AG7:AG148)</f>
        <v>56394430</v>
      </c>
      <c r="AO149" s="129"/>
    </row>
    <row r="150" spans="1:41" x14ac:dyDescent="0.25">
      <c r="A150" s="130"/>
      <c r="B150" s="131"/>
      <c r="C150" s="131"/>
      <c r="D150" s="119"/>
      <c r="E150" s="132"/>
      <c r="F150" s="119"/>
      <c r="G150" s="130"/>
      <c r="H150" s="131"/>
      <c r="I150" s="133"/>
      <c r="J150" s="133"/>
      <c r="K150" s="133"/>
      <c r="L150" s="131"/>
      <c r="M150" s="134"/>
      <c r="N150" s="135"/>
      <c r="O150" s="135"/>
      <c r="P150" s="136"/>
      <c r="Q150" s="137"/>
      <c r="R150" s="138"/>
      <c r="S150" s="139"/>
      <c r="T150" s="139"/>
      <c r="U150" s="139"/>
      <c r="V150" s="139"/>
      <c r="W150" s="139"/>
      <c r="X150" s="139"/>
      <c r="Y150" s="139"/>
      <c r="Z150" s="139"/>
      <c r="AA150" s="131"/>
      <c r="AB150" s="131"/>
      <c r="AC150" s="131"/>
      <c r="AD150" s="131"/>
      <c r="AE150" s="140"/>
      <c r="AF150" s="141"/>
      <c r="AG150" s="141"/>
      <c r="AH150" s="131"/>
      <c r="AI150" s="131"/>
      <c r="AJ150" s="131"/>
      <c r="AK150" s="131"/>
      <c r="AL150" s="131"/>
      <c r="AM150" s="131"/>
      <c r="AN150" s="131"/>
      <c r="AO150" s="142"/>
    </row>
    <row r="151" spans="1:41" ht="12" customHeight="1" x14ac:dyDescent="0.25">
      <c r="A151" s="1"/>
      <c r="D151" s="143">
        <f>D155/D154*100%</f>
        <v>1.2315110497237569</v>
      </c>
      <c r="E151" s="144">
        <f>E155/E154</f>
        <v>0.24333120494335736</v>
      </c>
      <c r="F151" s="145"/>
      <c r="G151" s="1"/>
      <c r="I151" s="4"/>
      <c r="J151" s="4"/>
      <c r="K151" s="4"/>
      <c r="M151" s="126"/>
      <c r="N151" s="126"/>
      <c r="O151" s="146"/>
      <c r="P151" s="147"/>
      <c r="Q151" s="124"/>
      <c r="R151" s="148"/>
      <c r="S151" s="126"/>
      <c r="T151" s="126"/>
      <c r="U151" s="126"/>
      <c r="V151" s="126"/>
      <c r="W151" s="126"/>
      <c r="X151" s="126"/>
      <c r="Y151" s="126"/>
      <c r="Z151" s="126"/>
      <c r="AF151" s="149"/>
    </row>
    <row r="152" spans="1:41" x14ac:dyDescent="0.25">
      <c r="A152" s="1"/>
      <c r="B152" s="150"/>
      <c r="C152" s="150"/>
      <c r="D152" s="151" t="s">
        <v>36</v>
      </c>
      <c r="E152" s="152" t="s">
        <v>12</v>
      </c>
      <c r="F152" s="151" t="s">
        <v>5</v>
      </c>
      <c r="G152" s="1"/>
      <c r="I152" s="4"/>
      <c r="J152" s="4"/>
      <c r="K152" s="4"/>
      <c r="M152" s="126"/>
      <c r="N152" s="126"/>
      <c r="O152" s="146"/>
      <c r="P152" s="147"/>
      <c r="Q152" s="124"/>
      <c r="R152" s="148"/>
      <c r="S152" s="126"/>
      <c r="T152" s="126"/>
      <c r="U152" s="126"/>
      <c r="V152" s="126"/>
      <c r="W152" s="126"/>
      <c r="X152" s="126"/>
      <c r="Y152" s="126"/>
      <c r="Z152" s="126"/>
      <c r="AF152" s="149"/>
    </row>
    <row r="153" spans="1:41" ht="21" x14ac:dyDescent="0.35">
      <c r="A153" s="153"/>
      <c r="B153" s="154" t="s">
        <v>69</v>
      </c>
      <c r="C153" s="154"/>
      <c r="D153" s="155">
        <f>N149</f>
        <v>80780700</v>
      </c>
      <c r="E153" s="156">
        <f>O149</f>
        <v>60363730</v>
      </c>
      <c r="F153" s="157">
        <f>D153+E153</f>
        <v>141144430</v>
      </c>
      <c r="G153" s="158"/>
      <c r="H153" s="159"/>
      <c r="I153" s="160"/>
      <c r="J153" s="158"/>
      <c r="K153" s="161"/>
      <c r="L153" s="162"/>
      <c r="M153" s="163"/>
      <c r="N153" s="163"/>
      <c r="O153" s="163"/>
      <c r="P153" s="164"/>
      <c r="Q153" s="165"/>
      <c r="R153" s="166"/>
      <c r="S153" s="163"/>
      <c r="T153" s="163"/>
      <c r="U153" s="163"/>
      <c r="V153" s="163"/>
      <c r="W153" s="163"/>
      <c r="X153" s="163"/>
      <c r="Y153" s="163"/>
      <c r="Z153" s="163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</row>
    <row r="154" spans="1:41" ht="21" x14ac:dyDescent="0.35">
      <c r="A154" s="153"/>
      <c r="B154" s="154" t="s">
        <v>70</v>
      </c>
      <c r="C154" s="154"/>
      <c r="D154" s="167">
        <f>AE149</f>
        <v>36200000</v>
      </c>
      <c r="E154" s="168">
        <f>R149</f>
        <v>48550000</v>
      </c>
      <c r="F154" s="157">
        <f>D154+E154</f>
        <v>84750000</v>
      </c>
      <c r="G154" s="153"/>
      <c r="H154" s="169"/>
      <c r="I154" s="160"/>
      <c r="J154" s="170"/>
      <c r="K154" s="162"/>
      <c r="L154" s="162"/>
      <c r="M154" s="163"/>
      <c r="N154" s="171"/>
      <c r="O154" s="163"/>
      <c r="P154" s="164"/>
      <c r="Q154" s="165"/>
      <c r="R154" s="166"/>
      <c r="S154" s="163"/>
      <c r="T154" s="163"/>
      <c r="U154" s="163"/>
      <c r="V154" s="163"/>
      <c r="W154" s="163"/>
      <c r="X154" s="163"/>
      <c r="Y154" s="163"/>
      <c r="Z154" s="163"/>
      <c r="AA154" s="162"/>
      <c r="AB154" s="162"/>
      <c r="AC154" s="162"/>
      <c r="AD154" s="162"/>
      <c r="AE154" s="162"/>
      <c r="AF154" s="162"/>
      <c r="AG154" s="162"/>
      <c r="AH154" s="162">
        <f>1395+250</f>
        <v>1645</v>
      </c>
      <c r="AI154" s="162"/>
      <c r="AJ154" s="162"/>
      <c r="AK154" s="162"/>
      <c r="AL154" s="162"/>
      <c r="AM154" s="162"/>
      <c r="AN154" s="162"/>
      <c r="AO154" s="162"/>
    </row>
    <row r="155" spans="1:41" ht="21" x14ac:dyDescent="0.35">
      <c r="A155" s="153"/>
      <c r="B155" s="154" t="s">
        <v>17</v>
      </c>
      <c r="C155" s="154"/>
      <c r="D155" s="172">
        <f>D153-D154</f>
        <v>44580700</v>
      </c>
      <c r="E155" s="173">
        <f>E153-E154</f>
        <v>11813730</v>
      </c>
      <c r="F155" s="157">
        <f>D155+E155</f>
        <v>56394430</v>
      </c>
      <c r="G155" s="153"/>
      <c r="H155" s="159"/>
      <c r="I155" s="160"/>
      <c r="J155" s="153"/>
      <c r="K155" s="162"/>
      <c r="L155" s="162"/>
      <c r="M155" s="163"/>
      <c r="N155" s="163"/>
      <c r="O155" s="163"/>
      <c r="P155" s="164"/>
      <c r="Q155" s="165"/>
      <c r="R155" s="166"/>
      <c r="S155" s="163"/>
      <c r="T155" s="163"/>
      <c r="U155" s="163"/>
      <c r="V155" s="163"/>
      <c r="W155" s="163"/>
      <c r="X155" s="163"/>
      <c r="Y155" s="163"/>
      <c r="Z155" s="163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</row>
    <row r="156" spans="1:41" ht="21" x14ac:dyDescent="0.35">
      <c r="B156" s="174" t="s">
        <v>71</v>
      </c>
      <c r="C156" s="174"/>
      <c r="D156" s="175"/>
      <c r="E156" s="176">
        <f>E155*5%</f>
        <v>590686.5</v>
      </c>
      <c r="F156" s="177">
        <f>F155/F154*100%</f>
        <v>0.66542100294985251</v>
      </c>
      <c r="N156" s="178"/>
      <c r="O156" s="179"/>
      <c r="P156" s="180">
        <v>15</v>
      </c>
      <c r="R156" s="181">
        <v>20</v>
      </c>
    </row>
    <row r="157" spans="1:41" x14ac:dyDescent="0.25">
      <c r="D157" s="121">
        <f>D155/D153*100%</f>
        <v>0.55187315782111324</v>
      </c>
      <c r="E157" s="120">
        <f>+E155/E153*100%</f>
        <v>0.19570907894525405</v>
      </c>
      <c r="F157" s="121">
        <f>+F155/F153*100%</f>
        <v>0.39955122564879109</v>
      </c>
      <c r="O157" s="179"/>
      <c r="P157" s="180"/>
      <c r="R157" s="181"/>
    </row>
    <row r="158" spans="1:41" x14ac:dyDescent="0.25">
      <c r="E158" s="182"/>
      <c r="O158" s="179"/>
      <c r="P158" s="180"/>
      <c r="R158" s="181"/>
    </row>
    <row r="159" spans="1:41" x14ac:dyDescent="0.25">
      <c r="E159" s="183">
        <f>+E155/E153*100%</f>
        <v>0.19570907894525405</v>
      </c>
      <c r="I159" t="s">
        <v>72</v>
      </c>
      <c r="O159" s="179"/>
      <c r="P159" s="180">
        <f>4750000-625000-125000-2200000</f>
        <v>1800000</v>
      </c>
      <c r="R159" s="181"/>
    </row>
    <row r="160" spans="1:41" x14ac:dyDescent="0.25">
      <c r="E160" s="184" t="s">
        <v>73</v>
      </c>
      <c r="O160" s="179"/>
      <c r="P160" s="180"/>
      <c r="R160" s="181"/>
    </row>
    <row r="161" spans="2:21" x14ac:dyDescent="0.25">
      <c r="B161" s="185" t="s">
        <v>74</v>
      </c>
      <c r="C161" s="185"/>
      <c r="D161" s="185" t="s">
        <v>29</v>
      </c>
      <c r="F161" s="187" t="s">
        <v>75</v>
      </c>
      <c r="G161" s="188"/>
      <c r="H161" s="189" t="s">
        <v>76</v>
      </c>
      <c r="I161" s="189" t="s">
        <v>76</v>
      </c>
      <c r="J161" s="188" t="s">
        <v>77</v>
      </c>
      <c r="K161" s="187" t="s">
        <v>78</v>
      </c>
      <c r="L161" s="190"/>
      <c r="M161" s="190"/>
      <c r="N161" s="190"/>
      <c r="O161" s="190"/>
      <c r="P161" s="191"/>
      <c r="Q161" s="192"/>
      <c r="R161" s="193"/>
      <c r="S161" s="194"/>
      <c r="T161" s="194"/>
      <c r="U161" s="194"/>
    </row>
    <row r="162" spans="2:21" x14ac:dyDescent="0.25">
      <c r="B162" s="195" t="s">
        <v>79</v>
      </c>
      <c r="C162" s="195"/>
      <c r="D162" s="196">
        <v>3937500</v>
      </c>
      <c r="E162" s="197">
        <v>1500</v>
      </c>
      <c r="F162" s="196">
        <f>+D162*8</f>
        <v>31500000</v>
      </c>
      <c r="G162" s="196"/>
      <c r="H162" s="198">
        <v>4000000</v>
      </c>
      <c r="I162" s="198">
        <v>4000000</v>
      </c>
      <c r="J162" s="196">
        <f>1500000*8</f>
        <v>12000000</v>
      </c>
      <c r="K162" s="196">
        <f>+F162-I162-J162</f>
        <v>15500000</v>
      </c>
      <c r="L162" s="199"/>
      <c r="M162" s="200"/>
      <c r="N162" s="200"/>
      <c r="O162" s="201"/>
      <c r="P162" s="202"/>
      <c r="Q162" s="203"/>
      <c r="R162" s="201"/>
      <c r="S162" s="199"/>
      <c r="T162" s="199"/>
      <c r="U162" s="199"/>
    </row>
    <row r="163" spans="2:21" x14ac:dyDescent="0.25">
      <c r="B163" s="195" t="s">
        <v>80</v>
      </c>
      <c r="C163" s="195"/>
      <c r="D163" s="196">
        <v>5375000</v>
      </c>
      <c r="E163" s="204">
        <v>1500</v>
      </c>
      <c r="F163" s="196">
        <f>+D163*8</f>
        <v>43000000</v>
      </c>
      <c r="G163" s="196">
        <f>+E162-H162</f>
        <v>-3998500</v>
      </c>
      <c r="H163" s="198">
        <v>4400000</v>
      </c>
      <c r="I163" s="198">
        <v>4400000</v>
      </c>
      <c r="J163" s="196">
        <f>1500000*8</f>
        <v>12000000</v>
      </c>
      <c r="K163" s="196">
        <f t="shared" ref="K163" si="22">+F163-I163-J163</f>
        <v>26600000</v>
      </c>
      <c r="L163" s="199"/>
      <c r="M163" s="200"/>
      <c r="N163" s="199"/>
      <c r="O163" s="201"/>
      <c r="P163" s="202"/>
      <c r="Q163" s="203"/>
      <c r="R163" s="201"/>
      <c r="S163" s="199"/>
      <c r="T163" s="199"/>
      <c r="U163" s="199"/>
    </row>
    <row r="164" spans="2:21" x14ac:dyDescent="0.25">
      <c r="B164" s="195" t="s">
        <v>81</v>
      </c>
      <c r="C164" s="195"/>
      <c r="D164" s="196">
        <v>6500000</v>
      </c>
      <c r="E164" s="204">
        <v>1500</v>
      </c>
      <c r="F164" s="196">
        <f>+D164*8</f>
        <v>52000000</v>
      </c>
      <c r="G164" s="196"/>
      <c r="H164" s="198">
        <f>300000+12600000</f>
        <v>12900000</v>
      </c>
      <c r="I164" s="198">
        <f>300000+12600000</f>
        <v>12900000</v>
      </c>
      <c r="J164" s="196">
        <f>1500000*8</f>
        <v>12000000</v>
      </c>
      <c r="K164" s="196">
        <f>+F164-I164-J164</f>
        <v>27100000</v>
      </c>
      <c r="L164" s="199"/>
      <c r="M164" s="200"/>
      <c r="N164" s="199"/>
      <c r="O164" s="201"/>
      <c r="P164" s="202"/>
      <c r="Q164" s="203"/>
      <c r="R164" s="201"/>
      <c r="S164" s="199"/>
      <c r="T164" s="199"/>
      <c r="U164" s="199"/>
    </row>
    <row r="165" spans="2:21" x14ac:dyDescent="0.25">
      <c r="O165" s="179"/>
      <c r="P165" s="180"/>
      <c r="R165" s="181"/>
    </row>
    <row r="166" spans="2:21" x14ac:dyDescent="0.25">
      <c r="O166" s="179"/>
      <c r="P166" s="180"/>
      <c r="R166" s="181"/>
    </row>
    <row r="168" spans="2:21" x14ac:dyDescent="0.25">
      <c r="F168" s="205"/>
    </row>
  </sheetData>
  <autoFilter ref="A6:AN148"/>
  <mergeCells count="27">
    <mergeCell ref="AH3:AI3"/>
    <mergeCell ref="AJ3:AJ5"/>
    <mergeCell ref="I4:I5"/>
    <mergeCell ref="J4:J5"/>
    <mergeCell ref="K4:K5"/>
    <mergeCell ref="L4:L5"/>
    <mergeCell ref="R4:R5"/>
    <mergeCell ref="S4:S5"/>
    <mergeCell ref="T4:T5"/>
    <mergeCell ref="R3:T3"/>
    <mergeCell ref="U3:U5"/>
    <mergeCell ref="V3:AD3"/>
    <mergeCell ref="AE3:AE5"/>
    <mergeCell ref="AF3:AF5"/>
    <mergeCell ref="AG3:AG5"/>
    <mergeCell ref="V4:AA4"/>
    <mergeCell ref="AB4:AD4"/>
    <mergeCell ref="AA2:AB2"/>
    <mergeCell ref="A3:A5"/>
    <mergeCell ref="B3:B5"/>
    <mergeCell ref="D3:D5"/>
    <mergeCell ref="E3:E5"/>
    <mergeCell ref="M3:M5"/>
    <mergeCell ref="N3:O4"/>
    <mergeCell ref="P3:P5"/>
    <mergeCell ref="Q3:Q5"/>
    <mergeCell ref="C3:C5"/>
  </mergeCells>
  <hyperlinks>
    <hyperlink ref="F2" r:id="rId1"/>
  </hyperlinks>
  <pageMargins left="0.7" right="0.7" top="0.75" bottom="0.75" header="0.3" footer="0.3"/>
  <pageSetup paperSize="9" scale="16" orientation="portrait" horizont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</vt:lpstr>
      <vt:lpstr>Jan!Print_Area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Nia</cp:lastModifiedBy>
  <cp:lastPrinted>2026-01-15T04:46:39Z</cp:lastPrinted>
  <dcterms:created xsi:type="dcterms:W3CDTF">2026-01-05T02:37:47Z</dcterms:created>
  <dcterms:modified xsi:type="dcterms:W3CDTF">2026-01-28T06:49:03Z</dcterms:modified>
</cp:coreProperties>
</file>