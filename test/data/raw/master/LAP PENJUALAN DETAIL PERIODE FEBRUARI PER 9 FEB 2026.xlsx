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ifa Nisa\Downloads\"/>
    </mc:Choice>
  </mc:AlternateContent>
  <xr:revisionPtr revIDLastSave="0" documentId="13_ncr:1_{C7D74104-F302-49DE-B7A6-0A6B845A32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Sheet!$A$1:$P$192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4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2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<sst xmlns="http://schemas.openxmlformats.org/spreadsheetml/2006/main" count="1420" uniqueCount="647">
  <si>
    <t>Nama Cust</t>
  </si>
  <si>
    <t>PT. KAWATA INDONESIA</t>
  </si>
  <si>
    <t>PT. HANYA KARYA BAHANA</t>
  </si>
  <si>
    <t>PT INTEGRASI MEDIKA PRIMA</t>
  </si>
  <si>
    <t>PT. KAWASAKI MOTOR INDONESIA</t>
  </si>
  <si>
    <t>PT. DAIWA SINERGI KARYATAMA</t>
  </si>
  <si>
    <t>PT. SUBANG AUTOCOMP INDONESIA</t>
  </si>
  <si>
    <t>PT. EHWA INDONESIA</t>
  </si>
  <si>
    <t>PT. EVERPRO INDONESIA TECHNOLOGIES</t>
  </si>
  <si>
    <t>PT. Essilorluxottica Professional Solutions Indonesia</t>
  </si>
  <si>
    <t>PT. FUKOKU TOKAI RUBBER INDONESIA</t>
  </si>
  <si>
    <t>PT. TRIDAYA PERSANUSA PRATAMA</t>
  </si>
  <si>
    <t>PT. SIGMA PACK GEMILANG</t>
  </si>
  <si>
    <t>PT. DAE HWA INDONESIA</t>
  </si>
  <si>
    <t>PT. YAMATOGOMU INDONESIA</t>
  </si>
  <si>
    <t>PT. GESIA CIPTA BUANA</t>
  </si>
  <si>
    <t>PT. TRI SAUDARA SENTOSA INDUSTRI</t>
  </si>
  <si>
    <t>PT. ASAHI INDONESIA</t>
  </si>
  <si>
    <t>PT. GUNA BAKTI UNGGUL</t>
  </si>
  <si>
    <t>SANOH INDONESIA, PT</t>
  </si>
  <si>
    <t>PT. STAR TEC PACIFIC</t>
  </si>
  <si>
    <t>PT. Cipta Synergi Indonesia</t>
  </si>
  <si>
    <t>PT WANG SARIMULTI UTAMA</t>
  </si>
  <si>
    <t>PT. SAKATA NIMOTECH INDONESIA</t>
  </si>
  <si>
    <t>CV. DAARUL HUDA TEKNIK</t>
  </si>
  <si>
    <t>PT. SAMSUNG PRINT &amp; PACK INDONESIA</t>
  </si>
  <si>
    <t>PT. KARYA BUMIMAS PERSADA</t>
  </si>
  <si>
    <t>Tanggal</t>
  </si>
  <si>
    <t>No PO</t>
  </si>
  <si>
    <t>KIPO26010208</t>
  </si>
  <si>
    <t>KIPO26010223</t>
  </si>
  <si>
    <t>KIPO26010222</t>
  </si>
  <si>
    <t>KIPO25110126</t>
  </si>
  <si>
    <t>HKB/PO/01/0256/3456</t>
  </si>
  <si>
    <t>KIPO25100184</t>
  </si>
  <si>
    <t>PO-L- 202601000168</t>
  </si>
  <si>
    <t>C90947</t>
  </si>
  <si>
    <t>001/TLJ/DSK/I/26</t>
  </si>
  <si>
    <t>SUAI.TLJP-852601-001</t>
  </si>
  <si>
    <t>PO2501-034</t>
  </si>
  <si>
    <t>PO20260123000050</t>
  </si>
  <si>
    <t>PO20251215000157</t>
  </si>
  <si>
    <t>PO-000006550</t>
  </si>
  <si>
    <t>022-CM-B-0126</t>
  </si>
  <si>
    <t>0109/PB/UTM/0126</t>
  </si>
  <si>
    <t>SPG-PO/460/XII-2025</t>
  </si>
  <si>
    <t>TLJ/25-0108</t>
  </si>
  <si>
    <t>TLJP/26-0005</t>
  </si>
  <si>
    <t>TLJ/26-0002</t>
  </si>
  <si>
    <t>TLJ/26-0006</t>
  </si>
  <si>
    <t>TLJ/26-0004</t>
  </si>
  <si>
    <t>024/TLJ/DSK/XII/25</t>
  </si>
  <si>
    <t>PO-000010316</t>
  </si>
  <si>
    <t>PO-000006186</t>
  </si>
  <si>
    <t>PO-000002818</t>
  </si>
  <si>
    <t>PO-000007818</t>
  </si>
  <si>
    <t>008-CM-B-0126</t>
  </si>
  <si>
    <t>012-CM-B-0126</t>
  </si>
  <si>
    <t>26010059</t>
  </si>
  <si>
    <t>KIPO26020016</t>
  </si>
  <si>
    <t>KIPO26020015</t>
  </si>
  <si>
    <t>KIPO26010243</t>
  </si>
  <si>
    <t>KIPO26010263</t>
  </si>
  <si>
    <t>KIPO26010257</t>
  </si>
  <si>
    <t>NST/PO/TLJP/2026-003</t>
  </si>
  <si>
    <t>PO2-2026/A/039/RMIP</t>
  </si>
  <si>
    <t>PUR-PO/0126/0101</t>
  </si>
  <si>
    <t>GBU/PO/C/01/2026/00039</t>
  </si>
  <si>
    <t>PL2600223</t>
  </si>
  <si>
    <t>PO-L-2026020000035</t>
  </si>
  <si>
    <t>PO/STP/I/2026/006</t>
  </si>
  <si>
    <t>TLJ/25-0106</t>
  </si>
  <si>
    <t>008/CSI/PO/I/2026</t>
  </si>
  <si>
    <t>011/CSI/PO/I/2026</t>
  </si>
  <si>
    <t>PL2600295</t>
  </si>
  <si>
    <t>SPG-PO/452/XII-2025</t>
  </si>
  <si>
    <t>KIPO26020011</t>
  </si>
  <si>
    <t>TLJ/25-0088</t>
  </si>
  <si>
    <t>PO20260100092</t>
  </si>
  <si>
    <t>PO20260100147</t>
  </si>
  <si>
    <t>PO20260100208</t>
  </si>
  <si>
    <t>PO0003202601120008</t>
  </si>
  <si>
    <t>PO0003202601080004</t>
  </si>
  <si>
    <t>DHT-2026.01.395</t>
  </si>
  <si>
    <t>01/SPPI/2025, 04/SPPI/2025</t>
  </si>
  <si>
    <t>PO/KBP26-00057</t>
  </si>
  <si>
    <t>PO/KBP26-00040</t>
  </si>
  <si>
    <t>KIPO26020051</t>
  </si>
  <si>
    <t>KIPO26020038</t>
  </si>
  <si>
    <t>KIPO26020033</t>
  </si>
  <si>
    <t>No Inv</t>
  </si>
  <si>
    <t>0403/JL/CKRG/0226</t>
  </si>
  <si>
    <t>0404/JL/CKRG/0226</t>
  </si>
  <si>
    <t>0405/JL/CKRG/0226</t>
  </si>
  <si>
    <t>0406/JL/CKRG/0226</t>
  </si>
  <si>
    <t>0423/JL/CKRG/0226</t>
  </si>
  <si>
    <t>0407/JL/CKRG/0226</t>
  </si>
  <si>
    <t>0408/JL/CKRG/0226</t>
  </si>
  <si>
    <t>0441/JL/CKRG/0226</t>
  </si>
  <si>
    <t>0485/JL/CKRG/0226</t>
  </si>
  <si>
    <t>0413/JL/CKRG/0226</t>
  </si>
  <si>
    <t>0414/JL/CKRG/0226</t>
  </si>
  <si>
    <t>0415/JL/CKRG/0226</t>
  </si>
  <si>
    <t>0416/JL/CKRG/0226</t>
  </si>
  <si>
    <t>0525/JL/CKRG/0226</t>
  </si>
  <si>
    <t>0535/JL/CKRG/0226</t>
  </si>
  <si>
    <t>0537/JL/CKRG/0226</t>
  </si>
  <si>
    <t>0547/JL/CKRG/0226</t>
  </si>
  <si>
    <t>0422/JL/CKRG/0226</t>
  </si>
  <si>
    <t>0434/JL/CKRG/0226</t>
  </si>
  <si>
    <t>0435/JL/CKRG/0226</t>
  </si>
  <si>
    <t>0436/JL/CKRG/0226</t>
  </si>
  <si>
    <t>0437/JL/CKRG/0226</t>
  </si>
  <si>
    <t>0438/JL/CKRG/0226</t>
  </si>
  <si>
    <t>0516/JL/CKRG/0226</t>
  </si>
  <si>
    <t>0526/JL/CKRG/0226</t>
  </si>
  <si>
    <t>0527/JL/CKRG/0226</t>
  </si>
  <si>
    <t>0528/JL/CKRG/0226</t>
  </si>
  <si>
    <t>0529/JL/CKRG/0226</t>
  </si>
  <si>
    <t>0533/JL/CKRG/0226</t>
  </si>
  <si>
    <t>0534/JL/CKRG/0226</t>
  </si>
  <si>
    <t>0476/JL/CKRG/0226</t>
  </si>
  <si>
    <t>0477/JL/CKRG/0226</t>
  </si>
  <si>
    <t>0478/JL/CKRG/0226</t>
  </si>
  <si>
    <t>0479/JL/CKRG/0226</t>
  </si>
  <si>
    <t>0480/JL/CKRG/0226</t>
  </si>
  <si>
    <t>0481/JL/CKRG/0226</t>
  </si>
  <si>
    <t>0482/JL/CKRG/0226</t>
  </si>
  <si>
    <t>0532/JL/CKRG/0226</t>
  </si>
  <si>
    <t>0538/JL/CKRG/0226</t>
  </si>
  <si>
    <t>0539/JL/CKRG/0226</t>
  </si>
  <si>
    <t>0541/JL/CKRG/0226</t>
  </si>
  <si>
    <t>0543/JL/CKRG/0226</t>
  </si>
  <si>
    <t>0502/JL/CKRG/0226</t>
  </si>
  <si>
    <t>0503/JL/CKRG/0226</t>
  </si>
  <si>
    <t>0504/JL/CKRG/0226</t>
  </si>
  <si>
    <t>0505/JL/CKRG/0226</t>
  </si>
  <si>
    <t>0510/JL/CKRG/0226</t>
  </si>
  <si>
    <t>0511/JL/CKRG/0226</t>
  </si>
  <si>
    <t>0512/JL/CKRG/0226</t>
  </si>
  <si>
    <t>0513/JL/CKRG/0226</t>
  </si>
  <si>
    <t>0514/JL/CKRG/0226</t>
  </si>
  <si>
    <t>0531/JL/CKRG/0226</t>
  </si>
  <si>
    <t>0536/JL/CKRG/0226</t>
  </si>
  <si>
    <t>0542/JL/CKRG/0226</t>
  </si>
  <si>
    <t>0548/JL/CKRG/0226</t>
  </si>
  <si>
    <t>0519/JL/CKRG/0226</t>
  </si>
  <si>
    <t>0518/JL/CKRG/0226</t>
  </si>
  <si>
    <t>0520/JL/CKRG/0226</t>
  </si>
  <si>
    <t>0521/JL/CKRG/0226</t>
  </si>
  <si>
    <t>0522/JL/CKRG/0226</t>
  </si>
  <si>
    <t>0523/JL/CKRG/0226</t>
  </si>
  <si>
    <t>0544/JL/CKRG/0226</t>
  </si>
  <si>
    <t>0545/JL/CKRG/0226</t>
  </si>
  <si>
    <t>0546/JL/CKRG/0226</t>
  </si>
  <si>
    <t>0549/JL/CKRG/0226</t>
  </si>
  <si>
    <t>0550/JL/CKRG/0226</t>
  </si>
  <si>
    <t>0554/JL/CKRG/0226</t>
  </si>
  <si>
    <t>0524/JL/CKRG/0226</t>
  </si>
  <si>
    <t>0553/JL/CKRG/0226</t>
  </si>
  <si>
    <t>0551/JL/CKRG/0226</t>
  </si>
  <si>
    <t>0552/JL/CKRG/0226</t>
  </si>
  <si>
    <t>0556/JL/CKRG/0226</t>
  </si>
  <si>
    <t>0555/JL/CKRG/0226</t>
  </si>
  <si>
    <t>0557/JL/CKRG/0226</t>
  </si>
  <si>
    <t>0559/JL/CKRG/0226</t>
  </si>
  <si>
    <t>0558/JL/CKRG/0226</t>
  </si>
  <si>
    <t>0530/JL/CKRG/0226</t>
  </si>
  <si>
    <t>No.</t>
  </si>
  <si>
    <t>Kode Item</t>
  </si>
  <si>
    <t>TRM1215</t>
  </si>
  <si>
    <t>TRM0236</t>
  </si>
  <si>
    <t>TRM0145</t>
  </si>
  <si>
    <t>TRM0063</t>
  </si>
  <si>
    <t>TRM4494</t>
  </si>
  <si>
    <t>TRM1008</t>
  </si>
  <si>
    <t>TRM0532</t>
  </si>
  <si>
    <t>TRM0079</t>
  </si>
  <si>
    <t>TRM0220</t>
  </si>
  <si>
    <t>TRM0212</t>
  </si>
  <si>
    <t>TRM1089</t>
  </si>
  <si>
    <t>TRM0058</t>
  </si>
  <si>
    <t>TRM0228</t>
  </si>
  <si>
    <t>TRM3234</t>
  </si>
  <si>
    <t>TRM0487</t>
  </si>
  <si>
    <t>KRT00484</t>
  </si>
  <si>
    <t>KRT00483</t>
  </si>
  <si>
    <t>TRM3454</t>
  </si>
  <si>
    <t>KRT02571</t>
  </si>
  <si>
    <t>KRT02087</t>
  </si>
  <si>
    <t>KRT02883</t>
  </si>
  <si>
    <t>KRT02465</t>
  </si>
  <si>
    <t>KRT01279</t>
  </si>
  <si>
    <t>KRT02565</t>
  </si>
  <si>
    <t>KRT02889</t>
  </si>
  <si>
    <t>KRT02891</t>
  </si>
  <si>
    <t>KRT01332</t>
  </si>
  <si>
    <t>KRT02169</t>
  </si>
  <si>
    <t>KRT04061</t>
  </si>
  <si>
    <t>KRT04050</t>
  </si>
  <si>
    <t>KRT03985</t>
  </si>
  <si>
    <t>KRT03780</t>
  </si>
  <si>
    <t>KRT03781</t>
  </si>
  <si>
    <t>KRT01579</t>
  </si>
  <si>
    <t>KRT01580</t>
  </si>
  <si>
    <t>KRT01587</t>
  </si>
  <si>
    <t>KRT02895</t>
  </si>
  <si>
    <t>KRT00012</t>
  </si>
  <si>
    <t>KRT03547</t>
  </si>
  <si>
    <t>TRM0072</t>
  </si>
  <si>
    <t>KRT00193</t>
  </si>
  <si>
    <t>KRT01266</t>
  </si>
  <si>
    <t>KRT01390</t>
  </si>
  <si>
    <t>KRT02983</t>
  </si>
  <si>
    <t>KRT00228</t>
  </si>
  <si>
    <t>KRT00189</t>
  </si>
  <si>
    <t>KRT02722</t>
  </si>
  <si>
    <t>KRT04951</t>
  </si>
  <si>
    <t>KRT02787</t>
  </si>
  <si>
    <t>KRT01608</t>
  </si>
  <si>
    <t>KRT01557</t>
  </si>
  <si>
    <t>KRT02405</t>
  </si>
  <si>
    <t>KRT02788</t>
  </si>
  <si>
    <t>KRT02896</t>
  </si>
  <si>
    <t>KRT01217</t>
  </si>
  <si>
    <t>KRT02897</t>
  </si>
  <si>
    <t>KRT01218</t>
  </si>
  <si>
    <t>KRT01221</t>
  </si>
  <si>
    <t>KRT01301</t>
  </si>
  <si>
    <t>KRT02898</t>
  </si>
  <si>
    <t>KRT02725</t>
  </si>
  <si>
    <t>KRT02903</t>
  </si>
  <si>
    <t>KRT02904</t>
  </si>
  <si>
    <t>KRT02106</t>
  </si>
  <si>
    <t>KRT00319</t>
  </si>
  <si>
    <t>TRM3030</t>
  </si>
  <si>
    <t>TRM0054</t>
  </si>
  <si>
    <t>TRM1370</t>
  </si>
  <si>
    <t>TRM0670</t>
  </si>
  <si>
    <t>TRM0301</t>
  </si>
  <si>
    <t>TRM0348</t>
  </si>
  <si>
    <t>TRM0296</t>
  </si>
  <si>
    <t>TRM0347</t>
  </si>
  <si>
    <t>TRM0671</t>
  </si>
  <si>
    <t>TRM0673</t>
  </si>
  <si>
    <t>TRM2158</t>
  </si>
  <si>
    <t>TRM1158</t>
  </si>
  <si>
    <t>TRM0099</t>
  </si>
  <si>
    <t>TRM0299</t>
  </si>
  <si>
    <t>TRM0298</t>
  </si>
  <si>
    <t>TRM0117</t>
  </si>
  <si>
    <t>TRM0697</t>
  </si>
  <si>
    <t>KRT04920</t>
  </si>
  <si>
    <t>KRT05025</t>
  </si>
  <si>
    <t>KRT04921</t>
  </si>
  <si>
    <t>KRT04922</t>
  </si>
  <si>
    <t>KRT02910</t>
  </si>
  <si>
    <t>KRT00248</t>
  </si>
  <si>
    <t>KRT01318</t>
  </si>
  <si>
    <t>KRT03418</t>
  </si>
  <si>
    <t>KRT03422</t>
  </si>
  <si>
    <t>KRT00028</t>
  </si>
  <si>
    <t>KRT00051</t>
  </si>
  <si>
    <t>KRT00052</t>
  </si>
  <si>
    <t>KRT00042</t>
  </si>
  <si>
    <t>TRM3223</t>
  </si>
  <si>
    <t>TRM0131</t>
  </si>
  <si>
    <t>TRM0012</t>
  </si>
  <si>
    <t>TRM1966</t>
  </si>
  <si>
    <t>KRT02150</t>
  </si>
  <si>
    <t>KRT02884</t>
  </si>
  <si>
    <t>KRT01897</t>
  </si>
  <si>
    <t>KRT00273</t>
  </si>
  <si>
    <t>KRT02885</t>
  </si>
  <si>
    <t>KRT02886</t>
  </si>
  <si>
    <t>KRT01333</t>
  </si>
  <si>
    <t>KRT04978</t>
  </si>
  <si>
    <t>KRT00191</t>
  </si>
  <si>
    <t>KRT00195</t>
  </si>
  <si>
    <t>KRT00200</t>
  </si>
  <si>
    <t>IMP4462</t>
  </si>
  <si>
    <t>IMP4463</t>
  </si>
  <si>
    <t>IMP4464</t>
  </si>
  <si>
    <t>IMP4465</t>
  </si>
  <si>
    <t>IMP4467</t>
  </si>
  <si>
    <t>IMP4468</t>
  </si>
  <si>
    <t>IMP4469</t>
  </si>
  <si>
    <t>IMP4470</t>
  </si>
  <si>
    <t>KRT02935</t>
  </si>
  <si>
    <t>KRT03632</t>
  </si>
  <si>
    <t>KRT03633</t>
  </si>
  <si>
    <t>KRT00240</t>
  </si>
  <si>
    <t>TRM1302</t>
  </si>
  <si>
    <t>TRM1529</t>
  </si>
  <si>
    <t>TRM3201</t>
  </si>
  <si>
    <t>KRT00197</t>
  </si>
  <si>
    <t>KRT00196</t>
  </si>
  <si>
    <t>KRT03185</t>
  </si>
  <si>
    <t>KRT03184</t>
  </si>
  <si>
    <t>KRT04064</t>
  </si>
  <si>
    <t>KRT03489</t>
  </si>
  <si>
    <t>KRT02718</t>
  </si>
  <si>
    <t>KRT02719</t>
  </si>
  <si>
    <t>KRT03187</t>
  </si>
  <si>
    <t>KRT03186</t>
  </si>
  <si>
    <t>KRT04218</t>
  </si>
  <si>
    <t>KRT04219</t>
  </si>
  <si>
    <t>KRT04220</t>
  </si>
  <si>
    <t>KRT04032</t>
  </si>
  <si>
    <t>KRT03719</t>
  </si>
  <si>
    <t>KRT03720</t>
  </si>
  <si>
    <t>KRT04030</t>
  </si>
  <si>
    <t>KRT04031</t>
  </si>
  <si>
    <t>KRT02422</t>
  </si>
  <si>
    <t>KRT02323</t>
  </si>
  <si>
    <t>KRT04284</t>
  </si>
  <si>
    <t>KRT04099</t>
  </si>
  <si>
    <t>KRT04100</t>
  </si>
  <si>
    <t>KRT04217</t>
  </si>
  <si>
    <t>IMP3889</t>
  </si>
  <si>
    <t>KRT05047</t>
  </si>
  <si>
    <t>KRT05048</t>
  </si>
  <si>
    <t>KRT05049</t>
  </si>
  <si>
    <t>KRT05050</t>
  </si>
  <si>
    <t>KRT05051</t>
  </si>
  <si>
    <t>KRT05052</t>
  </si>
  <si>
    <t>KRT05053</t>
  </si>
  <si>
    <t>KRT00318</t>
  </si>
  <si>
    <t>KRT03902</t>
  </si>
  <si>
    <t>KRT02188</t>
  </si>
  <si>
    <t>TRM0152</t>
  </si>
  <si>
    <t>TRM4496</t>
  </si>
  <si>
    <t>TRM0241</t>
  </si>
  <si>
    <t>TRM0038</t>
  </si>
  <si>
    <t>TRM0024</t>
  </si>
  <si>
    <t>TRM0062</t>
  </si>
  <si>
    <t>TRM0053</t>
  </si>
  <si>
    <t>TRM2344</t>
  </si>
  <si>
    <t>TRM0081</t>
  </si>
  <si>
    <t>TRM0046</t>
  </si>
  <si>
    <t>TRM0070</t>
  </si>
  <si>
    <t>TRM0069</t>
  </si>
  <si>
    <t>Nama Item</t>
  </si>
  <si>
    <t>CORRUGATED FLEXIBLE CONDUIT HITAM ID DIA 10MM/OD.16MM TYPE FCP-10 (50MTR./ROLL) (NB115-1)</t>
  </si>
  <si>
    <t>TERMINAL LUG RING TYPE KSS R3.5-6 [100PCS/PACK] (SKUN RING POLOS FOR WIRE 2.50-4.00MM2) (CC029)</t>
  </si>
  <si>
    <t>DIODA IN4002 (DN001)</t>
  </si>
  <si>
    <t>ROCK WOOL  Ø16 X  Ø26 (BESAR) (NB390)</t>
  </si>
  <si>
    <t>LONG DRAT M10X1.5 (GALVANIZE) [Q235] (1 METER/PC) FOR SHAFT HONEYCOMB DFG-SERIES</t>
  </si>
  <si>
    <t>TOWER LIGHT LED (Q-LIGHT) ST45L-BZ 2-2 220-AC220V RG (RED, GREEN) BRACKET TYPE QZ18 C/W BUZZER (RG085)</t>
  </si>
  <si>
    <t>KERTAS VCI 30 x 33</t>
  </si>
  <si>
    <t>BUBBLE SHEET (NB058)</t>
  </si>
  <si>
    <t>POLYFOAM 200CMX100CMX2.6CM (NB059)</t>
  </si>
  <si>
    <t>METALIZING W 1.2XL.50M (NB148)</t>
  </si>
  <si>
    <t>STRAPPING BAND SIZE : 15MMW X 0.6MMT X 2.500MTR/ROLL (NB064)</t>
  </si>
  <si>
    <t>PYLOX : BLACK NIPPON/RJ (NB027)</t>
  </si>
  <si>
    <t>SILICA GEL 250GR/PACK (NB282)</t>
  </si>
  <si>
    <t>PRINT CARTON UK 60 X 100CM</t>
  </si>
  <si>
    <t>BOLT FLANGE 8X20 MC3 G7 (K1410-0025)</t>
  </si>
  <si>
    <t>PARTISI K2FA PANJANG : 640 X 95 MM PENDEK : 440 X 95 MM</t>
  </si>
  <si>
    <t>PARTISI KOWF/LIGHT GUIDE (PANJANG 3, PENDEK 6)</t>
  </si>
  <si>
    <t>KARET KUMIS TRANSPARAN 5CM (COKLAT)</t>
  </si>
  <si>
    <t>BULK BOX 8" (PM2006)</t>
  </si>
  <si>
    <t>BULK BOX 7" (PM2005)</t>
  </si>
  <si>
    <t>OUT BOX DIABLO 3" IP 3 PCS PET 30% (PM2246)</t>
  </si>
  <si>
    <t>BULK BOX 4" (PM2001)</t>
  </si>
  <si>
    <t>OUT BOX BOSCH VA 7INCH IP 5PCS 257X238X47 (PM2095)</t>
  </si>
  <si>
    <t>OUT BOX BOSCH VA 4-5 INCH MP 20 PCS (PM2094)</t>
  </si>
  <si>
    <t>OUT BOX DIABLO 7" IP 3PK PET 30% (PM2252)</t>
  </si>
  <si>
    <t>OUT BOX DIABLO 7" MP 15PK PET 30% SEG-TU (PM2254)</t>
  </si>
  <si>
    <t>OUTBOX BOSCH 4.5 2PACK IP5PCS (PM2195)</t>
  </si>
  <si>
    <t>OUTBOX SGA 14" IP 3PCS (PM2223)</t>
  </si>
  <si>
    <t>(994819000010083) PACKAGING BOX/NEUTRAL LOGO PACKAGING/UK 370X370X430 MM</t>
  </si>
  <si>
    <t>(994819000000192) CARTON 5 LAYERS CORRUGATED PAPER OUTER UK 375X375X375 MM HW EXCLUSIVE</t>
  </si>
  <si>
    <t>(998486000060432) PACKAGING/CARD BOARD/IVORY BOARD/WHITE/27 6MMX200MM/D100012</t>
  </si>
  <si>
    <t>(998486000060400) PACKING/BOX/E-SHAPED INNER CARTON BOX/NO PRINTING /E-SHAPED CORRUGATED PAPER/NATURAL COLOR/280x200x40MM/D500007</t>
  </si>
  <si>
    <t>(998486000060401) PACKING/BOX/F-SHAPED OUTER CARTON/BLACK PRINTING/DOUBLE-LAYER CORRUGATED PAPER/NATURAL COLOR/440X300X485MM/D500051</t>
  </si>
  <si>
    <t>CARTON BOX 360X242X250MM (NON PRINTED) (CSUCMMS002156)</t>
  </si>
  <si>
    <t>CARTON BOX 495X360X250MM (NON PRINTED) (CSUCMMS002157)</t>
  </si>
  <si>
    <t>BOX FRAME 15X6.5X4CM (CSUCMMS002913)</t>
  </si>
  <si>
    <t>CARTON BOX TRAD 335X335X260MM K150/M125X3/K150 BC/F</t>
  </si>
  <si>
    <t>ALAS KARTON 110 X 110 CM</t>
  </si>
  <si>
    <t>CB.DPT-IC0G-M034 K200/M125/K200 B/F 570X190X190</t>
  </si>
  <si>
    <t>STEREO FOAM 3MM (NB233)</t>
  </si>
  <si>
    <t>CARTON BOX DH12 380X290X150 SINGLE</t>
  </si>
  <si>
    <t>PAPER ANGEL 50X50X10X1200</t>
  </si>
  <si>
    <t>PAPER ANGEL 50X50X10X1000</t>
  </si>
  <si>
    <t>PAPER ANGEL 50X50X10X1020</t>
  </si>
  <si>
    <t>CARTON BOX DH 5 POLOS 820X450X680 MM K125/M125/K125 C/F</t>
  </si>
  <si>
    <t>CARTON BOX DFI 690X510X450 MM K125/M125X3/K125 CB/F</t>
  </si>
  <si>
    <t>CARTON BOX DH8 POLOS 727X380X320MM K200/M125/K200 C/F</t>
  </si>
  <si>
    <t>PARTISI SENSOR K07A</t>
  </si>
  <si>
    <t>DUS DISPATH COKLAT SEDANG 175X100X100MM (CSUCMMS003276)</t>
  </si>
  <si>
    <t>BOX BULK POLOS TERTUTUP 8.8X49X18 CM (ISUPROIS00023)</t>
  </si>
  <si>
    <t>BOX BULK LOGO PACKING 40X50X40 (CSUCMMS002871)</t>
  </si>
  <si>
    <t>DUS DISPATH COKLAT BESAR 230 X 175 X 100 MM (CSUCMMS003443)</t>
  </si>
  <si>
    <t>DUS DISPATH COKLAT KECIL 175X100X72MM (CSUCMMS003275)</t>
  </si>
  <si>
    <t>CARTON BOX (IND) 335X265X100MM</t>
  </si>
  <si>
    <t>LAYER 1050X1050MM (K150/M125X3/K150 CBF)</t>
  </si>
  <si>
    <t>CARTON BOX 011 SF 180X275X80MM</t>
  </si>
  <si>
    <t>CARTON BOX HOP TORQUE 305X305X216MM (PRINTING) K150/M125X3/K150 CBF</t>
  </si>
  <si>
    <t>CARTON BOX ISUZU P/N. 8974968572 UK: 375X280X175MM (K150/M125X3/K150 CB/F)</t>
  </si>
  <si>
    <t>CARTON BOX 1533660451 CARTON BOX : 375X280X175 MM</t>
  </si>
  <si>
    <t>CARTON BOX 1533660412 375X280X175MM</t>
  </si>
  <si>
    <t>CARTON BOX ME017116 355X355X97 MM (TANPA PARTISI)</t>
  </si>
  <si>
    <t>CARTON BOX "TAM" UK 150X150X50MM K200.M125/K150 BF</t>
  </si>
  <si>
    <t>CARTON BOX "ADM" UK 150X150X50MM K200.M125/K150 BF</t>
  </si>
  <si>
    <t>CARTON BOX TAM IMV 150X150X65 MM (K150/M125/K150/B/F)</t>
  </si>
  <si>
    <t>KARTON BOX NS-6</t>
  </si>
  <si>
    <t>BRASS BALL VALVE 40A (LONG HANDLE ORANGE) MDT MODEL BV-600(1 1/2") (CS099-1)</t>
  </si>
  <si>
    <t>PLASTIC CLIP CLEAR 10CMX7CM [100PCS/PCK] (NB067-1)</t>
  </si>
  <si>
    <t>METAL CONNECTOR SINOCONTEC PLUG+ FLANGE SOCKET 19M-4A+4E (4PIN) ZINC ALLOY</t>
  </si>
  <si>
    <t>SPRING WASHER / RING PER M5 (S20C) (ZINC PLATED) (JB003)</t>
  </si>
  <si>
    <t>SPRING WASHER / RING PER M6 (SS400) (ZINC PLATED) (NB345)</t>
  </si>
  <si>
    <t>FLAT WASHER / RING PLATE (SS400) M6 (GALVANIZED) (NB033)</t>
  </si>
  <si>
    <t>HEX. NUT /  MUR (S20C) M6X1.0 (GALVANIZED) (JA006)</t>
  </si>
  <si>
    <t>FLAT WASHER / RING PLATE (SS400) M4 (GALVANIZED) (NB512)</t>
  </si>
  <si>
    <t>FLAT WASHER / RING PLATE (SS400) Ø8 LEBAR (GALVANIZED) (NB419)</t>
  </si>
  <si>
    <t>TAPING SCREW 8X3/8" GALVANIZED (NB368)</t>
  </si>
  <si>
    <t>CLAMP HOSE BAND (SILVER) Ø42 -  Ø48 (DOUBLE WIRE CLAMP) FOR PVC HOSE Ø38 /SILICONE HOSE  Ø43 (SUNTRAC) (NB060-1)</t>
  </si>
  <si>
    <t>CLAMP HOSE BAND (SILVER) Ø50-Ø55 (DOUBLE WIRE CLAMP) FOR SILICON HOSE Ø51 (SUNTRAC) (NB065)</t>
  </si>
  <si>
    <t>BOLT (BAUT JP) M4XP.07XL50MM (GALVANIZED) (NB488-1)</t>
  </si>
  <si>
    <t>BOLT (BAUT L) M8XP1.25XL20MM (GALVANIZED) (NB360)</t>
  </si>
  <si>
    <t>BOLT (BAUT HEXAGONAL) M8XP1.25XL25MM (GALVANIZED) (HA059)</t>
  </si>
  <si>
    <t>BOLT (BAUT L) M8XP1.25XL16MM (GALVANIZED) (NB139)</t>
  </si>
  <si>
    <t>SARUNG TANGAN KARET SENSI SIZE : XL (NB145)</t>
  </si>
  <si>
    <t>PAPER REEL 330</t>
  </si>
  <si>
    <t>PAPER REEL 360</t>
  </si>
  <si>
    <t>PAPER REEL 370</t>
  </si>
  <si>
    <t>PAPER REEL 380</t>
  </si>
  <si>
    <t>LAYER KARTON BOX IA (590X390MM)</t>
  </si>
  <si>
    <t>CARTON LAYER 950X770</t>
  </si>
  <si>
    <t>DUS SEALWARE BAHAMA S (SW 17S) 78X73.5X48.5 CM</t>
  </si>
  <si>
    <t>DUS SEALWARE ELSA S (69,5X69,5X47,5 CM)</t>
  </si>
  <si>
    <t>MASTER BOX SEALWARE SWEETY L (UK 69,5X51X57,5 CM)</t>
  </si>
  <si>
    <t>BOX 1050 X 260 X 115 SNI03</t>
  </si>
  <si>
    <t>BOX 700 X 360 X 250 SNI07</t>
  </si>
  <si>
    <t>BOX 735 X 255 X 200 SNI09</t>
  </si>
  <si>
    <t>BOX 500 X 330 X 240 SNI11</t>
  </si>
  <si>
    <t>LAMPU DOWNLIGHT 15W</t>
  </si>
  <si>
    <t>CABLE NYAF Ø0.50MM2 (YELLOW) [100MTR/ROLL] (CC491-1)</t>
  </si>
  <si>
    <t>CABLE NYAF Ø0.50MM2 (BLUE) [100MTR/ROLL] (CC481)</t>
  </si>
  <si>
    <t>CABLE NYAF Ø6.00MM2 (WHITE) [100M/ROLL] (CC480)</t>
  </si>
  <si>
    <t>SIDE REEL 10 STP</t>
  </si>
  <si>
    <t>OUT BOX DIABLO 3" MP 15 PCS PET 30% (PM2247)</t>
  </si>
  <si>
    <t>BULK BOX 5" (PM2003)</t>
  </si>
  <si>
    <t>EURO SHIPPING BOX 1180X780X780 (PM9044)</t>
  </si>
  <si>
    <t>OUT BOX DIABLO 4"-5" IP 5PK PET 30% (PM2248)</t>
  </si>
  <si>
    <t>0UT BOX DIABLO 4"-5" MP 20PK PET 30% (PM2249)</t>
  </si>
  <si>
    <t>OUTBOX BOSCH 4.5 2PACK MP20PCS (PM2196)</t>
  </si>
  <si>
    <t>OUTBOX KOBALT 3" IP (4PCS) (PM2270)</t>
  </si>
  <si>
    <t>CARTON BOX DH1 560X380X340 CF</t>
  </si>
  <si>
    <t>CARTON BOX DH15 380X280X270 CBF</t>
  </si>
  <si>
    <t>CARTON BOX DH4 380X280X270 CBF</t>
  </si>
  <si>
    <t>MODIF BOX A SIZE BEFORE 1400 X 120 X 400 SIZE AFTER 1400 X 120 X 200</t>
  </si>
  <si>
    <t>MODIF BOX B SIZE BEFORE 1100 X 120 X 400 SIZE AFTER 1100 X 120 X 200</t>
  </si>
  <si>
    <t>MODIF BOX D SIZE BEFORE 1400 X 400 X 450 SIZE AFTER 700 X 400 X 450</t>
  </si>
  <si>
    <t>MODIF BOX E SIZE BEFORE 1200 X 400 X 450 SIZE AFTER 1200 X 320 X 450 (DIPOTONG)</t>
  </si>
  <si>
    <t>IMPRABOX A T5 BIRU 1400 X 120 X 200 MM</t>
  </si>
  <si>
    <t>IMPRABOX B T5 BIRU 1100 X 120 X 200 MM</t>
  </si>
  <si>
    <t>IMPRABOX D T5 BIRU 700 X 400 X 450 MM</t>
  </si>
  <si>
    <t>IMPRABOX E T5 BIRU UK 1200 X 320 X 450 MM</t>
  </si>
  <si>
    <t>KARTON SNI18 (575X275X160)</t>
  </si>
  <si>
    <t>CARTON BOX EXPORT 4L45-SWR (QUARTER) UK 960X850X365 K275/M150X3/K275 BC/F</t>
  </si>
  <si>
    <t>CARTON BOX EXPORT 4L45-SWL (QUARTER) UK 960X850X365 K275/M150X3/K275 BC/F</t>
  </si>
  <si>
    <t>CARTON BOX SIZE : 40CM X 40CM X 30CM (NB654)</t>
  </si>
  <si>
    <t>PISAU POTONG CIRCLE GMT7" (NB357)</t>
  </si>
  <si>
    <t>PAKU RENG 4CM (NB464)</t>
  </si>
  <si>
    <t>LEM PVC 45GR (ESURON) NO.73S (CP005)</t>
  </si>
  <si>
    <t>CARTON BOX DH18 380X300X80 MM K125/M125X4 CBF</t>
  </si>
  <si>
    <t>CARTON BOX DH17 300X210X80 MM K125/M125X4 CBF</t>
  </si>
  <si>
    <t>LAYER W1 460X270 - LAYER W1</t>
  </si>
  <si>
    <t>BOX W1 S W 479X285X217 - BOX W1</t>
  </si>
  <si>
    <t>GEN-2025-725816-PARTISI W1 10 HOLE</t>
  </si>
  <si>
    <t>KARTON BOX W20 690X400X420 - BOX W20</t>
  </si>
  <si>
    <t>BOX W18 S W 547X269X223 - BOX W18</t>
  </si>
  <si>
    <t>BOX W6 S W 370X220X130 - BOX W6</t>
  </si>
  <si>
    <t>LAYER W18 520X260 MM - LAYER W18</t>
  </si>
  <si>
    <t>LAYER W6 370X220 - LAYER W6</t>
  </si>
  <si>
    <t>CARTON BOX S/B INNER</t>
  </si>
  <si>
    <t>CARTON LAYER S/B</t>
  </si>
  <si>
    <t>LAYER INNER RH/LH</t>
  </si>
  <si>
    <t>PARTISI INNER HOLE 10</t>
  </si>
  <si>
    <t>PARTISI INNER HOLE 15</t>
  </si>
  <si>
    <t>PARTISI INNER HOLE 25</t>
  </si>
  <si>
    <t>PARTISI OUTER HOLE 7 CTR</t>
  </si>
  <si>
    <t>PARTISI OUTER HOLE 10</t>
  </si>
  <si>
    <t>PARTISI OUTER HOLE 5 CTR LIPAT</t>
  </si>
  <si>
    <t>PARTISI OUTER HOLE 5 SIDE (DOUBLE WALL)</t>
  </si>
  <si>
    <t>LAYER KARTON PERO</t>
  </si>
  <si>
    <t>PARTISI OC13D 4 HOLE</t>
  </si>
  <si>
    <t>PARTISI OC13D 7 HOLE</t>
  </si>
  <si>
    <t>CARTON BOX S/B, SZ 480X283X160MM</t>
  </si>
  <si>
    <t>PARTISI B74 GBWT 40 HOLES UK 290 x 290 x  70MM</t>
  </si>
  <si>
    <t>COMM, CPC 1-5 UK 360X310X530 DOUBLE WALL K125/M125X4 GRAND BRASSERIE</t>
  </si>
  <si>
    <t>COMM, CPC 1-1 UK 435X270X630 DOUBLE WALL K125/M125X4 ASORO</t>
  </si>
  <si>
    <t>COMM, CPC 1-2 UK 460X345X360 DOUBLE WALL K125/M125X4 ASORO</t>
  </si>
  <si>
    <t>COMM, CPC 1-3 UK 460X420X350 DOUBLE WALL K125/M125X4 ASORO</t>
  </si>
  <si>
    <t>COMM, CPC 1-27  UK 435X270X720 DOUBLE WALL K125/M125X4 BUDDAKAN</t>
  </si>
  <si>
    <t>COMM, CPC 1-32 UK 435X270X670 DOUBLE WALL K125/M125X4 PASTIS</t>
  </si>
  <si>
    <t>COMM, CPC 1-4 UK 515X190X475 DOUBLE WALL K125/M125X4 PLUM BOTTOM</t>
  </si>
  <si>
    <t>KARTON BOX NS-10</t>
  </si>
  <si>
    <t>BOX KLOSET JONGKOK ISI 3 EVOGLO (BBP-BOX-SX EVG)</t>
  </si>
  <si>
    <t>BOX KLOSET JONGKOK ISI 3 ORTA (BBP-BOX-SX)</t>
  </si>
  <si>
    <t>CABLE NYAF Ø2.50 MM2 (WHITE) (100MTR/ROLL) (CC476-1)</t>
  </si>
  <si>
    <t>CORRUGATED FLEXIBLE CONDUIT HITAM IDØ7.0MM/OD.12MM TYPE FCP-7 [100MTR./ROLL](NB117-1)</t>
  </si>
  <si>
    <t>TIMING BELT S5M-800 FOR HONEYCOMB DFG-15/150Z (IDF0050-7313)</t>
  </si>
  <si>
    <t>HINGE (ENGSEL PANEL) BLACK 40X40X9MM (IDR0015-6400)</t>
  </si>
  <si>
    <t>CLAMP LATCH LOCK FOR PANEL (ADB/ADG-15-300Z) SUS304 (IAD005-6403)</t>
  </si>
  <si>
    <t>REVOLVING WARNING LIGHT LTE-1101 AC220V (RED) W/O BUZZER (RG091)</t>
  </si>
  <si>
    <t>PLASTIC CHAIN STAR 6X50M YELLOW (NB161)</t>
  </si>
  <si>
    <t>NYLON CABLE GLAND PG-13.5 (BLACK) FOR (Ø20.4 HOLE) (NB479-1)</t>
  </si>
  <si>
    <t>NYLON CABLE GLAND PG-29 (BLACK) FOR (Ø37.0 HOLE) (NB490)</t>
  </si>
  <si>
    <t>MARKER TUBE MOTP WHITE 3.2 (200MTR/ROL) (CC104-1)</t>
  </si>
  <si>
    <t>SOCKET CONNECTOR 2 PIN MALE (NB470)</t>
  </si>
  <si>
    <t>SOCKET CONNECTOR 2 PIN FEMALE (NB471)</t>
  </si>
  <si>
    <t>Jml</t>
  </si>
  <si>
    <t>Satuan</t>
  </si>
  <si>
    <t>MTR</t>
  </si>
  <si>
    <t>PCS</t>
  </si>
  <si>
    <t>ROL</t>
  </si>
  <si>
    <t>LBR</t>
  </si>
  <si>
    <t>CAN</t>
  </si>
  <si>
    <t>PCK</t>
  </si>
  <si>
    <t>SET</t>
  </si>
  <si>
    <t>KG</t>
  </si>
  <si>
    <t>SHEET</t>
  </si>
  <si>
    <t>EA</t>
  </si>
  <si>
    <t>BOX</t>
  </si>
  <si>
    <t>TUBE</t>
  </si>
  <si>
    <t>Harga</t>
  </si>
  <si>
    <t xml:space="preserve">Pot. </t>
  </si>
  <si>
    <t>Total</t>
  </si>
  <si>
    <t>PPN</t>
  </si>
  <si>
    <t>Total Akhir</t>
  </si>
  <si>
    <t>No FP</t>
  </si>
  <si>
    <t>04002600022889603</t>
  </si>
  <si>
    <t xml:space="preserve"> 04002600022889598</t>
  </si>
  <si>
    <t>04002600022889645</t>
  </si>
  <si>
    <t>04002600022889626</t>
  </si>
  <si>
    <t>04002600025995764</t>
  </si>
  <si>
    <t>04002600022889608</t>
  </si>
  <si>
    <t>04002600022889624</t>
  </si>
  <si>
    <t>04002600025902436</t>
  </si>
  <si>
    <t>04002600027867595</t>
  </si>
  <si>
    <t xml:space="preserve">04002600023365133 </t>
  </si>
  <si>
    <t>04002600023664464</t>
  </si>
  <si>
    <t>04002600023664465</t>
  </si>
  <si>
    <t>04002600024483734</t>
  </si>
  <si>
    <t>04002600025426692</t>
  </si>
  <si>
    <t>04002600025426681</t>
  </si>
  <si>
    <t>04002600025426668</t>
  </si>
  <si>
    <t>04002600025426676</t>
  </si>
  <si>
    <t>04002600025426687</t>
  </si>
  <si>
    <t>04002600028731789</t>
  </si>
  <si>
    <t>04012600024483731</t>
  </si>
  <si>
    <t>04002600026281974</t>
  </si>
  <si>
    <t>04002600026281954</t>
  </si>
  <si>
    <t>04002600026281952</t>
  </si>
  <si>
    <t>04002600026281919</t>
  </si>
  <si>
    <t>04002600027744223</t>
  </si>
  <si>
    <t>04002600027717184</t>
  </si>
  <si>
    <t>04012600027744247</t>
  </si>
  <si>
    <t>04002600027779599</t>
  </si>
  <si>
    <t>04002600029007021</t>
  </si>
  <si>
    <t>04012600029007011</t>
  </si>
  <si>
    <t>04002600029007010</t>
  </si>
  <si>
    <t>04002600032290571</t>
  </si>
  <si>
    <t>04002600032119303</t>
  </si>
  <si>
    <t>04002600032119304</t>
  </si>
  <si>
    <t>Ket</t>
  </si>
  <si>
    <t>PO : KIPO26010208</t>
  </si>
  <si>
    <t>PO : KIPO26010223</t>
  </si>
  <si>
    <t>PO : KIPO26010222                      DO : 12361-020226</t>
  </si>
  <si>
    <t>PO : KIPO25110126</t>
  </si>
  <si>
    <t>PO : HKB/PO/01/0256/3456DO NO. : 12358-020226</t>
  </si>
  <si>
    <t>PO : KIPO25100184</t>
  </si>
  <si>
    <t xml:space="preserve">PO : PO-L-202601000168 </t>
  </si>
  <si>
    <t>PO : C90947                                  DO : 12354-020226</t>
  </si>
  <si>
    <t>PO : 001/TLJ/DSK/I/26                   DO : DLV-2602023755</t>
  </si>
  <si>
    <t>PO : SUAI.TLJP-852601-001DO NO. : 12364-020226</t>
  </si>
  <si>
    <t>PO : PO2601-079 PO2601-028      PO2506-061                               DO : DLV-2602023754</t>
  </si>
  <si>
    <t>PO : PO20260123000050 DO : DLV-2601303735 DLV-2601283686 DLV-2601273663 DLV-2601253636 DLV-2601233621 DLV-2601233606</t>
  </si>
  <si>
    <t>PO : PO20251215000157 DO : DLV-2601233605 DLV-2601223599</t>
  </si>
  <si>
    <t>PO : PO-000006550 DO : DLV-2602023757</t>
  </si>
  <si>
    <t>PO : 022-CM-B-0126 DO : DLV-2601283682</t>
  </si>
  <si>
    <t>PO : 0109/PB/UTM/0126 DO : DLV-2602023759</t>
  </si>
  <si>
    <t>PO : SPG-PO/460/XII-2025 DO : DLV-2602023760</t>
  </si>
  <si>
    <t>PO : KIPO25100184DO NO. : 12366-030226-KIPO25100184</t>
  </si>
  <si>
    <t>PO : TLJ/25-0108 DO : DLV-2602033783</t>
  </si>
  <si>
    <t>PO : TLJP/26-0005 DO : DLV-2602033785</t>
  </si>
  <si>
    <t>PO : TLJ/26-0002 DO : DLV-2602033784</t>
  </si>
  <si>
    <t>PO : TLJ/26-0006 DO : DLV-2602033781</t>
  </si>
  <si>
    <t>PO : TLJ/26-0004 DO :  DLV-2602033782</t>
  </si>
  <si>
    <t>PO : 024/TLJ/DSK/XII/25                DO : DLV-2602023766</t>
  </si>
  <si>
    <t>PO : PO-000010316 DO : DLV-2602033790</t>
  </si>
  <si>
    <t>PO : PO-000006186 DO : DLV-2602033793</t>
  </si>
  <si>
    <t>PO : PO-000002818 DO : DLV-2602033792</t>
  </si>
  <si>
    <t>PO : PO-000007818 DO : DLV-2602033791</t>
  </si>
  <si>
    <t>PO : 008-CM-B-0126 DO : DLV-2602033789 DLV-2512183162 DLV-2601283683</t>
  </si>
  <si>
    <t>PO : 012-CM-B-0126 DO : DLV-2602033788</t>
  </si>
  <si>
    <t>PO : 26010059                                DO : DLV-2602043804</t>
  </si>
  <si>
    <t>PO : PO2601-079                            DO : DLV-2602043805</t>
  </si>
  <si>
    <t>PO : KIPO26020016DEL. NO : 12372-040226-KIPO26020016</t>
  </si>
  <si>
    <t>PO : KIPO26020015DEL. NO : 12373-040226-KIPO26020015</t>
  </si>
  <si>
    <t>PO : KIPO26010243DEL. NO : 12374-040226-KIPO26010243</t>
  </si>
  <si>
    <t>PO : KIPO26010263DEL. NO : 12375-040226-KIPO26010263</t>
  </si>
  <si>
    <t>PO : KIPO26010257DEL. NO : 12376-040226-KIPO26010257</t>
  </si>
  <si>
    <t>PO : NST/PO/TLJP/2026-003 DO : DLV-2602043819 DLV-2602033786</t>
  </si>
  <si>
    <t>PO : PO2-2026/A/039/RMIP DO : DLV-2602043817</t>
  </si>
  <si>
    <t>PO : PUR-PO/0126/0101 DO : DLV-2602043820</t>
  </si>
  <si>
    <t>PO : GBU/PO/C/01/2026/00039 DO : DLV-2602033795</t>
  </si>
  <si>
    <t>PO : PL2600223 DO : DLV-2602043818</t>
  </si>
  <si>
    <t>PO : KIPO26010263DEL. NO : 12379-050226-KIPO26010263</t>
  </si>
  <si>
    <t>PO : PO-L-2026020000035DEL. NO : 12379-050226</t>
  </si>
  <si>
    <t>PO : KIPO26010223                       DO : 12001-050226-KIPO26010223</t>
  </si>
  <si>
    <t>PO : PO/STP/I/2026/006 DO : DLV-2602053850</t>
  </si>
  <si>
    <t>PO : PO2506-061 PO2601-028       PO2601-079                                   DO : DLV-2602053851</t>
  </si>
  <si>
    <t>PO : PO2512-102 PO2601-062       PO2601-079                                   DO : PO2601-079</t>
  </si>
  <si>
    <t>PO : TLJ/25-0108 DO : DLV-2602053853</t>
  </si>
  <si>
    <t>PO : TLJ/26-0004 DO : DLV-2602053854</t>
  </si>
  <si>
    <t>PO : TLJ/25-0106 DO : DLV-2602053855</t>
  </si>
  <si>
    <t>PO : 008/CSI/PO/1/2026 DO : DLV-2602043828</t>
  </si>
  <si>
    <t>PO : 011/CSI/PO/I/2026 DO : DLV-2602043829</t>
  </si>
  <si>
    <t>PO : PL2600295 DO : DLV-2602053848</t>
  </si>
  <si>
    <t>PO : SPG-PO/452/XII-2025 DO : DLV-2602053849 DLV-2512042855</t>
  </si>
  <si>
    <t>PO : KIPO26010223                       DO : 12383-060226</t>
  </si>
  <si>
    <t>PO : KIPO26020015                       DO : 12382-060226</t>
  </si>
  <si>
    <t>PO : KIPO26020011                       DO : 12385-060226</t>
  </si>
  <si>
    <t>PO : TLJ/26-0006 DO : DLV-2602063869</t>
  </si>
  <si>
    <t>PO : TLJ/26-0004 DO : DLV-2602063870</t>
  </si>
  <si>
    <t>PO : TLJ/25-0088 DO : DLV-2602063871</t>
  </si>
  <si>
    <t>PO : PO20260100092 DO : DLV-2602063885</t>
  </si>
  <si>
    <t>PO : PO20260100147 DO : DLV-2602063886 DLV-2602023761</t>
  </si>
  <si>
    <t>PO : PO20260100208 DO : DLV-2602063887 DLV-2602033794 DLV-2602023762</t>
  </si>
  <si>
    <t>PO : PO0003202601120008 DO : DLV-2602063894</t>
  </si>
  <si>
    <t>PO : PO0003202601080004 DO : DLV-2602063896</t>
  </si>
  <si>
    <t>PO : DHT-2026.01.395 DO : DLV-2602073905</t>
  </si>
  <si>
    <t>PO : 1/SPPI/2026                            DO : DLV-2602063895</t>
  </si>
  <si>
    <t>PO : 26010059 DO : DLV-2602073908</t>
  </si>
  <si>
    <t>PO : PO/KBP26-00057                    DO : DLV-2602073909</t>
  </si>
  <si>
    <t>PO : PO/KBP26-00040                    DO : DLV-2602073910</t>
  </si>
  <si>
    <t>PO : KIPO26010208                       DO : 12387-090226</t>
  </si>
  <si>
    <t>PO : KIPO26010243                       DO : 12386-090226</t>
  </si>
  <si>
    <t>PO : KIPO26020051                       DO : 12388-090226</t>
  </si>
  <si>
    <t>PO : KIPO26020038                       DO : 12391-090226</t>
  </si>
  <si>
    <t>PO : KIPO26020033                       DO : 12390-090226</t>
  </si>
  <si>
    <t>PO : PO20260123000050  DO : DLV-2602043841 DLV-2602043803DLV-2602033774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</si>
</sst>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rgb="FF000000"/>
      <name val="Calibri"/>
    </font>
    <font>
      <i/>
      <u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i/>
      <u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49" fontId="2" fillId="2" borderId="1" xfId="0" applyNumberFormat="1" applyFont="1" applyFill="1" applyBorder="1" applyAlignment="1">
      <alignment vertical="top" wrapText="1"/>
    </xf>
    <xf numFmtId="22" fontId="3" fillId="3" borderId="1" xfId="0" applyNumberFormat="1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4" fontId="6" fillId="5" borderId="1" xfId="0" applyNumberFormat="1" applyFont="1" applyFill="1" applyBorder="1" applyAlignment="1">
      <alignment horizontal="right" vertical="top" wrapText="1"/>
    </xf>
    <xf numFmtId="4" fontId="6" fillId="5" borderId="1" xfId="0" applyNumberFormat="1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43" fontId="1" fillId="6" borderId="1" xfId="1" applyFont="1" applyFill="1" applyBorder="1" applyAlignment="1">
      <alignment horizontal="left" vertical="center" wrapText="1"/>
    </xf>
    <xf numFmtId="43" fontId="5" fillId="4" borderId="1" xfId="1" applyFont="1" applyFill="1" applyBorder="1" applyAlignment="1">
      <alignment vertical="top" wrapText="1"/>
    </xf>
    <xf numFmtId="43" fontId="5" fillId="4" borderId="1" xfId="1" applyFont="1" applyFill="1" applyBorder="1" applyAlignment="1">
      <alignment horizontal="left" vertical="top" wrapText="1"/>
    </xf>
    <xf numFmtId="43" fontId="0" fillId="0" borderId="0" xfId="1" applyFont="1" applyAlignment="1">
      <alignment wrapText="1"/>
    </xf>
    <xf numFmtId="43" fontId="8" fillId="0" borderId="0" xfId="1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4"/>
  <sheetViews>
    <sheetView showGridLines="0" tabSelected="1" workbookViewId="0">
      <selection activeCell="G136" sqref="G136"/>
    </sheetView>
  </sheetViews>
  <sheetFormatPr defaultRowHeight="14.4" x14ac:dyDescent="0.3"/>
  <cols>
    <col min="1" max="1" width="21.21875" style="1" customWidth="1"/>
    <col min="2" max="2" width="10.33203125" style="1" bestFit="1" customWidth="1"/>
    <col min="3" max="3" width="19.6640625" style="1" bestFit="1" customWidth="1"/>
    <col min="4" max="4" width="14" style="1" bestFit="1" customWidth="1"/>
    <col min="5" max="5" width="5.6640625" style="1" bestFit="1" customWidth="1"/>
    <col min="6" max="6" width="10.109375" style="1" bestFit="1" customWidth="1"/>
    <col min="7" max="7" width="41.6640625" style="1" customWidth="1"/>
    <col min="8" max="8" width="7.109375" style="1" bestFit="1" customWidth="1"/>
    <col min="9" max="9" width="8" style="1" bestFit="1" customWidth="1"/>
    <col min="10" max="10" width="7.88671875" style="1" bestFit="1" customWidth="1"/>
    <col min="11" max="11" width="6.109375" style="1" bestFit="1" customWidth="1"/>
    <col min="12" max="12" width="9.88671875" style="1" bestFit="1" customWidth="1"/>
    <col min="13" max="13" width="10" style="13" bestFit="1" customWidth="1"/>
    <col min="14" max="14" width="14.6640625" style="13" bestFit="1" customWidth="1"/>
    <col min="15" max="15" width="14.5546875" style="1" bestFit="1" customWidth="1"/>
    <col min="16" max="16" width="21.6640625" style="1" bestFit="1" customWidth="1"/>
    <col min="17" max="16384" width="8.88671875" style="1"/>
  </cols>
  <sheetData>
    <row r="1" spans="1:16" x14ac:dyDescent="0.3">
      <c r="A1" s="8" t="s">
        <v>0</v>
      </c>
      <c r="B1" s="8" t="s">
        <v>27</v>
      </c>
      <c r="C1" s="8" t="s">
        <v>28</v>
      </c>
      <c r="D1" s="8" t="s">
        <v>90</v>
      </c>
      <c r="E1" s="9" t="s">
        <v>168</v>
      </c>
      <c r="F1" s="9" t="s">
        <v>169</v>
      </c>
      <c r="G1" s="9" t="s">
        <v>342</v>
      </c>
      <c r="H1" s="8" t="s">
        <v>515</v>
      </c>
      <c r="I1" s="8" t="s">
        <v>516</v>
      </c>
      <c r="J1" s="8" t="s">
        <v>529</v>
      </c>
      <c r="K1" s="8" t="s">
        <v>530</v>
      </c>
      <c r="L1" s="8" t="s">
        <v>531</v>
      </c>
      <c r="M1" s="10" t="s">
        <v>532</v>
      </c>
      <c r="N1" s="10" t="s">
        <v>533</v>
      </c>
      <c r="O1" s="8" t="s">
        <v>534</v>
      </c>
      <c r="P1" s="8" t="s">
        <v>569</v>
      </c>
    </row>
    <row r="2" spans="1:16" ht="20.399999999999999" x14ac:dyDescent="0.3">
      <c r="A2" s="2" t="s">
        <v>1</v>
      </c>
      <c r="B2" s="3">
        <v>46055.379583333299</v>
      </c>
      <c r="C2" s="2" t="s">
        <v>29</v>
      </c>
      <c r="D2" s="2" t="s">
        <v>91</v>
      </c>
      <c r="E2" s="4">
        <v>1</v>
      </c>
      <c r="F2" s="5" t="s">
        <v>170</v>
      </c>
      <c r="G2" s="2" t="s">
        <v>343</v>
      </c>
      <c r="H2" s="6">
        <v>100</v>
      </c>
      <c r="I2" s="5" t="s">
        <v>517</v>
      </c>
      <c r="J2" s="6">
        <v>1800</v>
      </c>
      <c r="K2" s="4">
        <v>0</v>
      </c>
      <c r="L2" s="7">
        <v>180000</v>
      </c>
      <c r="M2" s="11">
        <f>L2*11%</f>
        <v>19800</v>
      </c>
      <c r="N2" s="11">
        <f>L2+M2</f>
        <v>199800</v>
      </c>
      <c r="O2" s="2" t="s">
        <v>535</v>
      </c>
      <c r="P2" s="2" t="s">
        <v>570</v>
      </c>
    </row>
    <row r="3" spans="1:16" ht="20.399999999999999" x14ac:dyDescent="0.3">
      <c r="A3" s="2" t="s">
        <v>1</v>
      </c>
      <c r="B3" s="3">
        <v>46055.381898148102</v>
      </c>
      <c r="C3" s="2" t="s">
        <v>30</v>
      </c>
      <c r="D3" s="2" t="s">
        <v>92</v>
      </c>
      <c r="E3" s="4">
        <v>1</v>
      </c>
      <c r="F3" s="5" t="s">
        <v>171</v>
      </c>
      <c r="G3" s="2" t="s">
        <v>344</v>
      </c>
      <c r="H3" s="7">
        <v>1000</v>
      </c>
      <c r="I3" s="5" t="s">
        <v>518</v>
      </c>
      <c r="J3" s="6">
        <v>450</v>
      </c>
      <c r="K3" s="4">
        <v>0</v>
      </c>
      <c r="L3" s="7">
        <v>450000</v>
      </c>
      <c r="M3" s="11">
        <f t="shared" ref="M3:M19" si="0">L3*11%</f>
        <v>49500</v>
      </c>
      <c r="N3" s="11">
        <f t="shared" ref="N3:N66" si="1">L3+M3</f>
        <v>499500</v>
      </c>
      <c r="O3" s="2" t="s">
        <v>536</v>
      </c>
      <c r="P3" s="2" t="s">
        <v>571</v>
      </c>
    </row>
    <row r="4" spans="1:16" x14ac:dyDescent="0.3">
      <c r="A4" s="2" t="s">
        <v>1</v>
      </c>
      <c r="B4" s="3">
        <v>46055.381898148102</v>
      </c>
      <c r="C4" s="2" t="s">
        <v>30</v>
      </c>
      <c r="D4" s="2" t="s">
        <v>92</v>
      </c>
      <c r="E4" s="4">
        <v>2</v>
      </c>
      <c r="F4" s="5" t="s">
        <v>172</v>
      </c>
      <c r="G4" s="2" t="s">
        <v>345</v>
      </c>
      <c r="H4" s="6">
        <v>200</v>
      </c>
      <c r="I4" s="5" t="s">
        <v>518</v>
      </c>
      <c r="J4" s="6">
        <v>400</v>
      </c>
      <c r="K4" s="4">
        <v>0</v>
      </c>
      <c r="L4" s="7">
        <v>80000</v>
      </c>
      <c r="M4" s="11">
        <f t="shared" si="0"/>
        <v>8800</v>
      </c>
      <c r="N4" s="11">
        <f t="shared" si="1"/>
        <v>88800</v>
      </c>
      <c r="O4" s="2" t="s">
        <v>536</v>
      </c>
      <c r="P4" s="2" t="s">
        <v>571</v>
      </c>
    </row>
    <row r="5" spans="1:16" x14ac:dyDescent="0.3">
      <c r="A5" s="2" t="s">
        <v>1</v>
      </c>
      <c r="B5" s="3">
        <v>46055.381898148102</v>
      </c>
      <c r="C5" s="2" t="s">
        <v>30</v>
      </c>
      <c r="D5" s="2" t="s">
        <v>92</v>
      </c>
      <c r="E5" s="4">
        <v>3</v>
      </c>
      <c r="F5" s="5" t="s">
        <v>173</v>
      </c>
      <c r="G5" s="2" t="s">
        <v>346</v>
      </c>
      <c r="H5" s="6">
        <v>10</v>
      </c>
      <c r="I5" s="5" t="s">
        <v>518</v>
      </c>
      <c r="J5" s="7">
        <v>214600</v>
      </c>
      <c r="K5" s="4">
        <v>0</v>
      </c>
      <c r="L5" s="7">
        <v>2146000</v>
      </c>
      <c r="M5" s="11">
        <f t="shared" si="0"/>
        <v>236060</v>
      </c>
      <c r="N5" s="11">
        <f t="shared" si="1"/>
        <v>2382060</v>
      </c>
      <c r="O5" s="2" t="s">
        <v>536</v>
      </c>
      <c r="P5" s="2" t="s">
        <v>571</v>
      </c>
    </row>
    <row r="6" spans="1:16" ht="20.399999999999999" x14ac:dyDescent="0.3">
      <c r="A6" s="2" t="s">
        <v>1</v>
      </c>
      <c r="B6" s="3">
        <v>46055.383506944403</v>
      </c>
      <c r="C6" s="2" t="s">
        <v>31</v>
      </c>
      <c r="D6" s="2" t="s">
        <v>93</v>
      </c>
      <c r="E6" s="4">
        <v>1</v>
      </c>
      <c r="F6" s="5" t="s">
        <v>174</v>
      </c>
      <c r="G6" s="2" t="s">
        <v>347</v>
      </c>
      <c r="H6" s="6">
        <v>50</v>
      </c>
      <c r="I6" s="5" t="s">
        <v>518</v>
      </c>
      <c r="J6" s="7">
        <v>12416</v>
      </c>
      <c r="K6" s="4">
        <v>0</v>
      </c>
      <c r="L6" s="7">
        <v>620800</v>
      </c>
      <c r="M6" s="11">
        <f t="shared" si="0"/>
        <v>68288</v>
      </c>
      <c r="N6" s="11">
        <f t="shared" si="1"/>
        <v>689088</v>
      </c>
      <c r="O6" s="2" t="s">
        <v>537</v>
      </c>
      <c r="P6" s="2" t="s">
        <v>572</v>
      </c>
    </row>
    <row r="7" spans="1:16" ht="20.399999999999999" x14ac:dyDescent="0.3">
      <c r="A7" s="2" t="s">
        <v>1</v>
      </c>
      <c r="B7" s="3">
        <v>46055.3844328704</v>
      </c>
      <c r="C7" s="2" t="s">
        <v>32</v>
      </c>
      <c r="D7" s="2" t="s">
        <v>94</v>
      </c>
      <c r="E7" s="4">
        <v>1</v>
      </c>
      <c r="F7" s="5" t="s">
        <v>175</v>
      </c>
      <c r="G7" s="2" t="s">
        <v>348</v>
      </c>
      <c r="H7" s="6">
        <v>7</v>
      </c>
      <c r="I7" s="5" t="s">
        <v>518</v>
      </c>
      <c r="J7" s="7">
        <v>900000</v>
      </c>
      <c r="K7" s="4">
        <v>0</v>
      </c>
      <c r="L7" s="7">
        <v>6300000</v>
      </c>
      <c r="M7" s="11">
        <f t="shared" si="0"/>
        <v>693000</v>
      </c>
      <c r="N7" s="11">
        <f t="shared" si="1"/>
        <v>6993000</v>
      </c>
      <c r="O7" s="2" t="s">
        <v>538</v>
      </c>
      <c r="P7" s="2" t="s">
        <v>573</v>
      </c>
    </row>
    <row r="8" spans="1:16" ht="20.399999999999999" x14ac:dyDescent="0.3">
      <c r="A8" s="2" t="s">
        <v>2</v>
      </c>
      <c r="B8" s="3">
        <v>46055.388865740701</v>
      </c>
      <c r="C8" s="2" t="s">
        <v>33</v>
      </c>
      <c r="D8" s="2" t="s">
        <v>95</v>
      </c>
      <c r="E8" s="4">
        <v>1</v>
      </c>
      <c r="F8" s="5" t="s">
        <v>176</v>
      </c>
      <c r="G8" s="2" t="s">
        <v>349</v>
      </c>
      <c r="H8" s="6">
        <v>500</v>
      </c>
      <c r="I8" s="5" t="s">
        <v>518</v>
      </c>
      <c r="J8" s="6">
        <v>1765</v>
      </c>
      <c r="K8" s="4">
        <v>0</v>
      </c>
      <c r="L8" s="7">
        <v>882500</v>
      </c>
      <c r="M8" s="11">
        <f t="shared" si="0"/>
        <v>97075</v>
      </c>
      <c r="N8" s="11">
        <f t="shared" si="1"/>
        <v>979575</v>
      </c>
      <c r="O8" s="2" t="s">
        <v>539</v>
      </c>
      <c r="P8" s="2" t="s">
        <v>574</v>
      </c>
    </row>
    <row r="9" spans="1:16" x14ac:dyDescent="0.3">
      <c r="A9" s="2" t="s">
        <v>1</v>
      </c>
      <c r="B9" s="3">
        <v>46055.389386574097</v>
      </c>
      <c r="C9" s="2" t="s">
        <v>34</v>
      </c>
      <c r="D9" s="2" t="s">
        <v>96</v>
      </c>
      <c r="E9" s="4">
        <v>1</v>
      </c>
      <c r="F9" s="5" t="s">
        <v>177</v>
      </c>
      <c r="G9" s="2" t="s">
        <v>350</v>
      </c>
      <c r="H9" s="6">
        <v>4</v>
      </c>
      <c r="I9" s="5" t="s">
        <v>519</v>
      </c>
      <c r="J9" s="7">
        <v>156245</v>
      </c>
      <c r="K9" s="4">
        <v>0</v>
      </c>
      <c r="L9" s="7">
        <v>624980</v>
      </c>
      <c r="M9" s="11">
        <f t="shared" si="0"/>
        <v>68747.8</v>
      </c>
      <c r="N9" s="11">
        <f t="shared" si="1"/>
        <v>693727.8</v>
      </c>
      <c r="O9" s="2" t="s">
        <v>540</v>
      </c>
      <c r="P9" s="2" t="s">
        <v>575</v>
      </c>
    </row>
    <row r="10" spans="1:16" x14ac:dyDescent="0.3">
      <c r="A10" s="2" t="s">
        <v>1</v>
      </c>
      <c r="B10" s="3">
        <v>46055.389386574097</v>
      </c>
      <c r="C10" s="2" t="s">
        <v>34</v>
      </c>
      <c r="D10" s="2" t="s">
        <v>96</v>
      </c>
      <c r="E10" s="4">
        <v>2</v>
      </c>
      <c r="F10" s="5" t="s">
        <v>178</v>
      </c>
      <c r="G10" s="2" t="s">
        <v>351</v>
      </c>
      <c r="H10" s="6">
        <v>15</v>
      </c>
      <c r="I10" s="5" t="s">
        <v>520</v>
      </c>
      <c r="J10" s="7">
        <v>150000</v>
      </c>
      <c r="K10" s="4">
        <v>0</v>
      </c>
      <c r="L10" s="7">
        <v>2250000</v>
      </c>
      <c r="M10" s="11">
        <f t="shared" si="0"/>
        <v>247500</v>
      </c>
      <c r="N10" s="11">
        <f t="shared" si="1"/>
        <v>2497500</v>
      </c>
      <c r="O10" s="2" t="s">
        <v>540</v>
      </c>
      <c r="P10" s="2" t="s">
        <v>575</v>
      </c>
    </row>
    <row r="11" spans="1:16" x14ac:dyDescent="0.3">
      <c r="A11" s="2" t="s">
        <v>1</v>
      </c>
      <c r="B11" s="3">
        <v>46055.389386574097</v>
      </c>
      <c r="C11" s="2" t="s">
        <v>34</v>
      </c>
      <c r="D11" s="2" t="s">
        <v>96</v>
      </c>
      <c r="E11" s="4">
        <v>3</v>
      </c>
      <c r="F11" s="5" t="s">
        <v>179</v>
      </c>
      <c r="G11" s="2" t="s">
        <v>352</v>
      </c>
      <c r="H11" s="6">
        <v>18</v>
      </c>
      <c r="I11" s="5" t="s">
        <v>519</v>
      </c>
      <c r="J11" s="7">
        <v>351450</v>
      </c>
      <c r="K11" s="4">
        <v>0</v>
      </c>
      <c r="L11" s="7">
        <v>6326100</v>
      </c>
      <c r="M11" s="11">
        <f t="shared" si="0"/>
        <v>695871</v>
      </c>
      <c r="N11" s="11">
        <f t="shared" si="1"/>
        <v>7021971</v>
      </c>
      <c r="O11" s="2" t="s">
        <v>540</v>
      </c>
      <c r="P11" s="2" t="s">
        <v>575</v>
      </c>
    </row>
    <row r="12" spans="1:16" x14ac:dyDescent="0.3">
      <c r="A12" s="2" t="s">
        <v>1</v>
      </c>
      <c r="B12" s="3">
        <v>46055.389386574097</v>
      </c>
      <c r="C12" s="2" t="s">
        <v>34</v>
      </c>
      <c r="D12" s="2" t="s">
        <v>96</v>
      </c>
      <c r="E12" s="4">
        <v>4</v>
      </c>
      <c r="F12" s="5" t="s">
        <v>180</v>
      </c>
      <c r="G12" s="2" t="s">
        <v>353</v>
      </c>
      <c r="H12" s="6">
        <v>2</v>
      </c>
      <c r="I12" s="5" t="s">
        <v>519</v>
      </c>
      <c r="J12" s="7">
        <v>80000</v>
      </c>
      <c r="K12" s="4">
        <v>0</v>
      </c>
      <c r="L12" s="7">
        <v>160000</v>
      </c>
      <c r="M12" s="11">
        <f t="shared" si="0"/>
        <v>17600</v>
      </c>
      <c r="N12" s="11">
        <f t="shared" si="1"/>
        <v>177600</v>
      </c>
      <c r="O12" s="2" t="s">
        <v>540</v>
      </c>
      <c r="P12" s="2" t="s">
        <v>575</v>
      </c>
    </row>
    <row r="13" spans="1:16" x14ac:dyDescent="0.3">
      <c r="A13" s="2" t="s">
        <v>1</v>
      </c>
      <c r="B13" s="3">
        <v>46055.389386574097</v>
      </c>
      <c r="C13" s="2" t="s">
        <v>34</v>
      </c>
      <c r="D13" s="2" t="s">
        <v>96</v>
      </c>
      <c r="E13" s="4">
        <v>5</v>
      </c>
      <c r="F13" s="5" t="s">
        <v>181</v>
      </c>
      <c r="G13" s="2" t="s">
        <v>354</v>
      </c>
      <c r="H13" s="6">
        <v>5</v>
      </c>
      <c r="I13" s="5" t="s">
        <v>521</v>
      </c>
      <c r="J13" s="7">
        <v>25000</v>
      </c>
      <c r="K13" s="4">
        <v>0</v>
      </c>
      <c r="L13" s="7">
        <v>125000</v>
      </c>
      <c r="M13" s="11">
        <f t="shared" si="0"/>
        <v>13750</v>
      </c>
      <c r="N13" s="11">
        <f t="shared" si="1"/>
        <v>138750</v>
      </c>
      <c r="O13" s="2" t="s">
        <v>540</v>
      </c>
      <c r="P13" s="2" t="s">
        <v>575</v>
      </c>
    </row>
    <row r="14" spans="1:16" x14ac:dyDescent="0.3">
      <c r="A14" s="2" t="s">
        <v>1</v>
      </c>
      <c r="B14" s="3">
        <v>46055.389386574097</v>
      </c>
      <c r="C14" s="2" t="s">
        <v>34</v>
      </c>
      <c r="D14" s="2" t="s">
        <v>96</v>
      </c>
      <c r="E14" s="4">
        <v>6</v>
      </c>
      <c r="F14" s="5" t="s">
        <v>182</v>
      </c>
      <c r="G14" s="2" t="s">
        <v>355</v>
      </c>
      <c r="H14" s="6">
        <v>250</v>
      </c>
      <c r="I14" s="5" t="s">
        <v>522</v>
      </c>
      <c r="J14" s="7">
        <v>15456</v>
      </c>
      <c r="K14" s="4">
        <v>0</v>
      </c>
      <c r="L14" s="7">
        <v>3864000</v>
      </c>
      <c r="M14" s="11">
        <f t="shared" si="0"/>
        <v>425040</v>
      </c>
      <c r="N14" s="11">
        <f t="shared" si="1"/>
        <v>4289040</v>
      </c>
      <c r="O14" s="2" t="s">
        <v>540</v>
      </c>
      <c r="P14" s="2" t="s">
        <v>575</v>
      </c>
    </row>
    <row r="15" spans="1:16" ht="20.399999999999999" x14ac:dyDescent="0.3">
      <c r="A15" s="2" t="s">
        <v>3</v>
      </c>
      <c r="B15" s="3">
        <v>46055.409652777802</v>
      </c>
      <c r="C15" s="2" t="s">
        <v>35</v>
      </c>
      <c r="D15" s="2" t="s">
        <v>97</v>
      </c>
      <c r="E15" s="4">
        <v>1</v>
      </c>
      <c r="F15" s="5" t="s">
        <v>183</v>
      </c>
      <c r="G15" s="2" t="s">
        <v>356</v>
      </c>
      <c r="H15" s="6">
        <v>1</v>
      </c>
      <c r="I15" s="5" t="s">
        <v>518</v>
      </c>
      <c r="J15" s="7">
        <v>120000</v>
      </c>
      <c r="K15" s="4">
        <v>0</v>
      </c>
      <c r="L15" s="7">
        <v>120000</v>
      </c>
      <c r="M15" s="11">
        <f t="shared" si="0"/>
        <v>13200</v>
      </c>
      <c r="N15" s="11">
        <f t="shared" si="1"/>
        <v>133200</v>
      </c>
      <c r="O15" s="2" t="s">
        <v>541</v>
      </c>
      <c r="P15" s="2" t="s">
        <v>576</v>
      </c>
    </row>
    <row r="16" spans="1:16" ht="20.399999999999999" x14ac:dyDescent="0.3">
      <c r="A16" s="2" t="s">
        <v>4</v>
      </c>
      <c r="B16" s="3">
        <v>46055.462141203701</v>
      </c>
      <c r="C16" s="5" t="s">
        <v>36</v>
      </c>
      <c r="D16" s="2" t="s">
        <v>98</v>
      </c>
      <c r="E16" s="4">
        <v>1</v>
      </c>
      <c r="F16" s="5" t="s">
        <v>184</v>
      </c>
      <c r="G16" s="2" t="s">
        <v>357</v>
      </c>
      <c r="H16" s="7">
        <v>39000</v>
      </c>
      <c r="I16" s="5" t="s">
        <v>518</v>
      </c>
      <c r="J16" s="6">
        <v>760</v>
      </c>
      <c r="K16" s="4">
        <v>0</v>
      </c>
      <c r="L16" s="7">
        <v>29640000</v>
      </c>
      <c r="M16" s="11">
        <f t="shared" si="0"/>
        <v>3260400</v>
      </c>
      <c r="N16" s="11">
        <f t="shared" si="1"/>
        <v>32900400</v>
      </c>
      <c r="O16" s="2" t="s">
        <v>542</v>
      </c>
      <c r="P16" s="2" t="s">
        <v>577</v>
      </c>
    </row>
    <row r="17" spans="1:16" ht="20.399999999999999" x14ac:dyDescent="0.3">
      <c r="A17" s="2" t="s">
        <v>5</v>
      </c>
      <c r="B17" s="3">
        <v>46055.465925925899</v>
      </c>
      <c r="C17" s="2" t="s">
        <v>37</v>
      </c>
      <c r="D17" s="2" t="s">
        <v>99</v>
      </c>
      <c r="E17" s="4">
        <v>1</v>
      </c>
      <c r="F17" s="5" t="s">
        <v>185</v>
      </c>
      <c r="G17" s="2" t="s">
        <v>358</v>
      </c>
      <c r="H17" s="7">
        <v>1000</v>
      </c>
      <c r="I17" s="5" t="s">
        <v>523</v>
      </c>
      <c r="J17" s="6">
        <v>6300</v>
      </c>
      <c r="K17" s="4">
        <v>0</v>
      </c>
      <c r="L17" s="7">
        <v>6300000</v>
      </c>
      <c r="M17" s="11">
        <f t="shared" si="0"/>
        <v>693000</v>
      </c>
      <c r="N17" s="11">
        <f t="shared" si="1"/>
        <v>6993000</v>
      </c>
      <c r="O17" s="2" t="s">
        <v>543</v>
      </c>
      <c r="P17" s="2" t="s">
        <v>578</v>
      </c>
    </row>
    <row r="18" spans="1:16" ht="20.399999999999999" x14ac:dyDescent="0.3">
      <c r="A18" s="2" t="s">
        <v>5</v>
      </c>
      <c r="B18" s="3">
        <v>46055.465925925899</v>
      </c>
      <c r="C18" s="2" t="s">
        <v>37</v>
      </c>
      <c r="D18" s="2" t="s">
        <v>99</v>
      </c>
      <c r="E18" s="4">
        <v>2</v>
      </c>
      <c r="F18" s="5" t="s">
        <v>186</v>
      </c>
      <c r="G18" s="2" t="s">
        <v>359</v>
      </c>
      <c r="H18" s="6">
        <v>50</v>
      </c>
      <c r="I18" s="5" t="s">
        <v>523</v>
      </c>
      <c r="J18" s="6">
        <v>3290</v>
      </c>
      <c r="K18" s="4">
        <v>0</v>
      </c>
      <c r="L18" s="7">
        <v>164500</v>
      </c>
      <c r="M18" s="11">
        <f t="shared" si="0"/>
        <v>18095</v>
      </c>
      <c r="N18" s="11">
        <f t="shared" si="1"/>
        <v>182595</v>
      </c>
      <c r="O18" s="2" t="s">
        <v>543</v>
      </c>
      <c r="P18" s="2" t="s">
        <v>578</v>
      </c>
    </row>
    <row r="19" spans="1:16" ht="20.399999999999999" x14ac:dyDescent="0.3">
      <c r="A19" s="2" t="s">
        <v>6</v>
      </c>
      <c r="B19" s="3">
        <v>46055.576388888898</v>
      </c>
      <c r="C19" s="2" t="s">
        <v>38</v>
      </c>
      <c r="D19" s="2" t="s">
        <v>100</v>
      </c>
      <c r="E19" s="4">
        <v>1</v>
      </c>
      <c r="F19" s="5" t="s">
        <v>187</v>
      </c>
      <c r="G19" s="2" t="s">
        <v>360</v>
      </c>
      <c r="H19" s="6">
        <v>65</v>
      </c>
      <c r="I19" s="5" t="s">
        <v>524</v>
      </c>
      <c r="J19" s="7">
        <v>205000</v>
      </c>
      <c r="K19" s="4">
        <v>0</v>
      </c>
      <c r="L19" s="7">
        <v>13325000</v>
      </c>
      <c r="M19" s="11">
        <f t="shared" si="0"/>
        <v>1465750</v>
      </c>
      <c r="N19" s="11">
        <f t="shared" si="1"/>
        <v>14790750</v>
      </c>
      <c r="O19" s="2" t="s">
        <v>544</v>
      </c>
      <c r="P19" s="2" t="s">
        <v>579</v>
      </c>
    </row>
    <row r="20" spans="1:16" ht="30.6" x14ac:dyDescent="0.3">
      <c r="A20" s="2" t="s">
        <v>7</v>
      </c>
      <c r="B20" s="3">
        <v>46055.5870138889</v>
      </c>
      <c r="C20" s="2" t="s">
        <v>39</v>
      </c>
      <c r="D20" s="2" t="s">
        <v>101</v>
      </c>
      <c r="E20" s="4">
        <v>1</v>
      </c>
      <c r="F20" s="5" t="s">
        <v>188</v>
      </c>
      <c r="G20" s="2" t="s">
        <v>361</v>
      </c>
      <c r="H20" s="6">
        <v>50</v>
      </c>
      <c r="I20" s="5" t="s">
        <v>518</v>
      </c>
      <c r="J20" s="6">
        <v>7236</v>
      </c>
      <c r="K20" s="4">
        <v>0</v>
      </c>
      <c r="L20" s="7">
        <v>361800</v>
      </c>
      <c r="M20" s="12">
        <v>0</v>
      </c>
      <c r="N20" s="11">
        <f t="shared" si="1"/>
        <v>361800</v>
      </c>
      <c r="O20" s="5"/>
      <c r="P20" s="2" t="s">
        <v>580</v>
      </c>
    </row>
    <row r="21" spans="1:16" ht="30.6" x14ac:dyDescent="0.3">
      <c r="A21" s="2" t="s">
        <v>7</v>
      </c>
      <c r="B21" s="3">
        <v>46055.5870138889</v>
      </c>
      <c r="C21" s="2" t="s">
        <v>39</v>
      </c>
      <c r="D21" s="2" t="s">
        <v>101</v>
      </c>
      <c r="E21" s="4">
        <v>2</v>
      </c>
      <c r="F21" s="5" t="s">
        <v>189</v>
      </c>
      <c r="G21" s="2" t="s">
        <v>362</v>
      </c>
      <c r="H21" s="6">
        <v>400</v>
      </c>
      <c r="I21" s="5" t="s">
        <v>518</v>
      </c>
      <c r="J21" s="6">
        <v>6543</v>
      </c>
      <c r="K21" s="4">
        <v>0</v>
      </c>
      <c r="L21" s="7">
        <v>2617200</v>
      </c>
      <c r="M21" s="12">
        <v>0</v>
      </c>
      <c r="N21" s="11">
        <f t="shared" si="1"/>
        <v>2617200</v>
      </c>
      <c r="O21" s="5"/>
      <c r="P21" s="2" t="s">
        <v>580</v>
      </c>
    </row>
    <row r="22" spans="1:16" ht="30.6" x14ac:dyDescent="0.3">
      <c r="A22" s="2" t="s">
        <v>7</v>
      </c>
      <c r="B22" s="3">
        <v>46055.5870138889</v>
      </c>
      <c r="C22" s="2" t="s">
        <v>39</v>
      </c>
      <c r="D22" s="2" t="s">
        <v>101</v>
      </c>
      <c r="E22" s="4">
        <v>3</v>
      </c>
      <c r="F22" s="5" t="s">
        <v>190</v>
      </c>
      <c r="G22" s="2" t="s">
        <v>363</v>
      </c>
      <c r="H22" s="7">
        <v>1000</v>
      </c>
      <c r="I22" s="5" t="s">
        <v>518</v>
      </c>
      <c r="J22" s="6">
        <v>1294</v>
      </c>
      <c r="K22" s="4">
        <v>0</v>
      </c>
      <c r="L22" s="7">
        <v>1294000</v>
      </c>
      <c r="M22" s="12">
        <v>0</v>
      </c>
      <c r="N22" s="11">
        <f t="shared" si="1"/>
        <v>1294000</v>
      </c>
      <c r="O22" s="5"/>
      <c r="P22" s="2" t="s">
        <v>580</v>
      </c>
    </row>
    <row r="23" spans="1:16" ht="30.6" x14ac:dyDescent="0.3">
      <c r="A23" s="2" t="s">
        <v>7</v>
      </c>
      <c r="B23" s="3">
        <v>46055.5870138889</v>
      </c>
      <c r="C23" s="2" t="s">
        <v>39</v>
      </c>
      <c r="D23" s="2" t="s">
        <v>101</v>
      </c>
      <c r="E23" s="4">
        <v>4</v>
      </c>
      <c r="F23" s="5" t="s">
        <v>191</v>
      </c>
      <c r="G23" s="2" t="s">
        <v>364</v>
      </c>
      <c r="H23" s="6">
        <v>300</v>
      </c>
      <c r="I23" s="5" t="s">
        <v>518</v>
      </c>
      <c r="J23" s="6">
        <v>3870</v>
      </c>
      <c r="K23" s="4">
        <v>0</v>
      </c>
      <c r="L23" s="7">
        <v>1161000</v>
      </c>
      <c r="M23" s="12">
        <v>0</v>
      </c>
      <c r="N23" s="11">
        <f t="shared" si="1"/>
        <v>1161000</v>
      </c>
      <c r="O23" s="5"/>
      <c r="P23" s="2" t="s">
        <v>580</v>
      </c>
    </row>
    <row r="24" spans="1:16" ht="30.6" x14ac:dyDescent="0.3">
      <c r="A24" s="2" t="s">
        <v>7</v>
      </c>
      <c r="B24" s="3">
        <v>46055.5870138889</v>
      </c>
      <c r="C24" s="2" t="s">
        <v>39</v>
      </c>
      <c r="D24" s="2" t="s">
        <v>101</v>
      </c>
      <c r="E24" s="4">
        <v>5</v>
      </c>
      <c r="F24" s="5" t="s">
        <v>192</v>
      </c>
      <c r="G24" s="2" t="s">
        <v>365</v>
      </c>
      <c r="H24" s="6">
        <v>550</v>
      </c>
      <c r="I24" s="5" t="s">
        <v>518</v>
      </c>
      <c r="J24" s="6">
        <v>3973</v>
      </c>
      <c r="K24" s="4">
        <v>0</v>
      </c>
      <c r="L24" s="7">
        <v>2185150</v>
      </c>
      <c r="M24" s="12">
        <v>0</v>
      </c>
      <c r="N24" s="11">
        <f t="shared" si="1"/>
        <v>2185150</v>
      </c>
      <c r="O24" s="5"/>
      <c r="P24" s="2" t="s">
        <v>580</v>
      </c>
    </row>
    <row r="25" spans="1:16" ht="30.6" x14ac:dyDescent="0.3">
      <c r="A25" s="2" t="s">
        <v>7</v>
      </c>
      <c r="B25" s="3">
        <v>46055.5870138889</v>
      </c>
      <c r="C25" s="2" t="s">
        <v>39</v>
      </c>
      <c r="D25" s="2" t="s">
        <v>101</v>
      </c>
      <c r="E25" s="4">
        <v>6</v>
      </c>
      <c r="F25" s="5" t="s">
        <v>193</v>
      </c>
      <c r="G25" s="2" t="s">
        <v>366</v>
      </c>
      <c r="H25" s="6">
        <v>500</v>
      </c>
      <c r="I25" s="5" t="s">
        <v>518</v>
      </c>
      <c r="J25" s="6">
        <v>2955</v>
      </c>
      <c r="K25" s="4">
        <v>0</v>
      </c>
      <c r="L25" s="7">
        <v>1477500</v>
      </c>
      <c r="M25" s="12">
        <v>0</v>
      </c>
      <c r="N25" s="11">
        <f t="shared" si="1"/>
        <v>1477500</v>
      </c>
      <c r="O25" s="5"/>
      <c r="P25" s="2" t="s">
        <v>580</v>
      </c>
    </row>
    <row r="26" spans="1:16" ht="30.6" x14ac:dyDescent="0.3">
      <c r="A26" s="2" t="s">
        <v>7</v>
      </c>
      <c r="B26" s="3">
        <v>46055.5870138889</v>
      </c>
      <c r="C26" s="2" t="s">
        <v>39</v>
      </c>
      <c r="D26" s="2" t="s">
        <v>101</v>
      </c>
      <c r="E26" s="4">
        <v>7</v>
      </c>
      <c r="F26" s="5" t="s">
        <v>194</v>
      </c>
      <c r="G26" s="2" t="s">
        <v>367</v>
      </c>
      <c r="H26" s="6">
        <v>500</v>
      </c>
      <c r="I26" s="5" t="s">
        <v>518</v>
      </c>
      <c r="J26" s="6">
        <v>3567</v>
      </c>
      <c r="K26" s="4">
        <v>0</v>
      </c>
      <c r="L26" s="7">
        <v>1783500</v>
      </c>
      <c r="M26" s="12">
        <v>0</v>
      </c>
      <c r="N26" s="11">
        <f t="shared" si="1"/>
        <v>1783500</v>
      </c>
      <c r="O26" s="5"/>
      <c r="P26" s="2" t="s">
        <v>580</v>
      </c>
    </row>
    <row r="27" spans="1:16" ht="30.6" x14ac:dyDescent="0.3">
      <c r="A27" s="2" t="s">
        <v>7</v>
      </c>
      <c r="B27" s="3">
        <v>46055.5870138889</v>
      </c>
      <c r="C27" s="2" t="s">
        <v>39</v>
      </c>
      <c r="D27" s="2" t="s">
        <v>101</v>
      </c>
      <c r="E27" s="4">
        <v>8</v>
      </c>
      <c r="F27" s="5" t="s">
        <v>195</v>
      </c>
      <c r="G27" s="2" t="s">
        <v>368</v>
      </c>
      <c r="H27" s="6">
        <v>500</v>
      </c>
      <c r="I27" s="5" t="s">
        <v>518</v>
      </c>
      <c r="J27" s="6">
        <v>5351</v>
      </c>
      <c r="K27" s="4">
        <v>0</v>
      </c>
      <c r="L27" s="7">
        <v>2675500</v>
      </c>
      <c r="M27" s="12">
        <v>0</v>
      </c>
      <c r="N27" s="11">
        <f t="shared" si="1"/>
        <v>2675500</v>
      </c>
      <c r="O27" s="5"/>
      <c r="P27" s="2" t="s">
        <v>580</v>
      </c>
    </row>
    <row r="28" spans="1:16" ht="30.6" x14ac:dyDescent="0.3">
      <c r="A28" s="2" t="s">
        <v>7</v>
      </c>
      <c r="B28" s="3">
        <v>46055.5870138889</v>
      </c>
      <c r="C28" s="2" t="s">
        <v>39</v>
      </c>
      <c r="D28" s="2" t="s">
        <v>101</v>
      </c>
      <c r="E28" s="4">
        <v>9</v>
      </c>
      <c r="F28" s="5" t="s">
        <v>196</v>
      </c>
      <c r="G28" s="2" t="s">
        <v>369</v>
      </c>
      <c r="H28" s="6">
        <v>600</v>
      </c>
      <c r="I28" s="5" t="s">
        <v>518</v>
      </c>
      <c r="J28" s="6">
        <v>2636</v>
      </c>
      <c r="K28" s="4">
        <v>0</v>
      </c>
      <c r="L28" s="7">
        <v>1581600</v>
      </c>
      <c r="M28" s="12">
        <v>0</v>
      </c>
      <c r="N28" s="11">
        <f t="shared" si="1"/>
        <v>1581600</v>
      </c>
      <c r="O28" s="5"/>
      <c r="P28" s="2" t="s">
        <v>580</v>
      </c>
    </row>
    <row r="29" spans="1:16" ht="30.6" x14ac:dyDescent="0.3">
      <c r="A29" s="2" t="s">
        <v>7</v>
      </c>
      <c r="B29" s="3">
        <v>46055.5870138889</v>
      </c>
      <c r="C29" s="2" t="s">
        <v>39</v>
      </c>
      <c r="D29" s="2" t="s">
        <v>101</v>
      </c>
      <c r="E29" s="4">
        <v>10</v>
      </c>
      <c r="F29" s="5" t="s">
        <v>197</v>
      </c>
      <c r="G29" s="2" t="s">
        <v>370</v>
      </c>
      <c r="H29" s="6">
        <v>100</v>
      </c>
      <c r="I29" s="5" t="s">
        <v>518</v>
      </c>
      <c r="J29" s="6">
        <v>3977</v>
      </c>
      <c r="K29" s="4">
        <v>0</v>
      </c>
      <c r="L29" s="7">
        <v>397700</v>
      </c>
      <c r="M29" s="12">
        <v>0</v>
      </c>
      <c r="N29" s="11">
        <f t="shared" si="1"/>
        <v>397700</v>
      </c>
      <c r="O29" s="5"/>
      <c r="P29" s="2" t="s">
        <v>580</v>
      </c>
    </row>
    <row r="30" spans="1:16" ht="51" x14ac:dyDescent="0.3">
      <c r="A30" s="2" t="s">
        <v>8</v>
      </c>
      <c r="B30" s="3">
        <v>46055.587905092601</v>
      </c>
      <c r="C30" s="2" t="s">
        <v>40</v>
      </c>
      <c r="D30" s="2" t="s">
        <v>102</v>
      </c>
      <c r="E30" s="4">
        <v>1</v>
      </c>
      <c r="F30" s="5" t="s">
        <v>198</v>
      </c>
      <c r="G30" s="2" t="s">
        <v>371</v>
      </c>
      <c r="H30" s="7">
        <v>3040</v>
      </c>
      <c r="I30" s="5" t="s">
        <v>518</v>
      </c>
      <c r="J30" s="7">
        <v>17500</v>
      </c>
      <c r="K30" s="4">
        <v>0</v>
      </c>
      <c r="L30" s="7">
        <v>53200000</v>
      </c>
      <c r="M30" s="11">
        <f t="shared" ref="M30:M67" si="2">L30*11%</f>
        <v>5852000</v>
      </c>
      <c r="N30" s="11">
        <f t="shared" si="1"/>
        <v>59052000</v>
      </c>
      <c r="O30" s="2" t="s">
        <v>545</v>
      </c>
      <c r="P30" s="2" t="s">
        <v>581</v>
      </c>
    </row>
    <row r="31" spans="1:16" ht="51" x14ac:dyDescent="0.3">
      <c r="A31" s="2" t="s">
        <v>8</v>
      </c>
      <c r="B31" s="3">
        <v>46055.587905092601</v>
      </c>
      <c r="C31" s="2" t="s">
        <v>40</v>
      </c>
      <c r="D31" s="2" t="s">
        <v>102</v>
      </c>
      <c r="E31" s="4">
        <v>2</v>
      </c>
      <c r="F31" s="5" t="s">
        <v>199</v>
      </c>
      <c r="G31" s="2" t="s">
        <v>372</v>
      </c>
      <c r="H31" s="6">
        <v>800</v>
      </c>
      <c r="I31" s="5" t="s">
        <v>518</v>
      </c>
      <c r="J31" s="7">
        <v>18600</v>
      </c>
      <c r="K31" s="4">
        <v>0</v>
      </c>
      <c r="L31" s="7">
        <v>14880000</v>
      </c>
      <c r="M31" s="11">
        <f t="shared" si="2"/>
        <v>1636800</v>
      </c>
      <c r="N31" s="11">
        <f t="shared" si="1"/>
        <v>16516800</v>
      </c>
      <c r="O31" s="2" t="s">
        <v>545</v>
      </c>
      <c r="P31" s="2" t="s">
        <v>581</v>
      </c>
    </row>
    <row r="32" spans="1:16" ht="51" x14ac:dyDescent="0.3">
      <c r="A32" s="2" t="s">
        <v>8</v>
      </c>
      <c r="B32" s="3">
        <v>46055.587905092601</v>
      </c>
      <c r="C32" s="2" t="s">
        <v>40</v>
      </c>
      <c r="D32" s="2" t="s">
        <v>102</v>
      </c>
      <c r="E32" s="4">
        <v>3</v>
      </c>
      <c r="F32" s="5" t="s">
        <v>200</v>
      </c>
      <c r="G32" s="2" t="s">
        <v>373</v>
      </c>
      <c r="H32" s="7">
        <v>12000</v>
      </c>
      <c r="I32" s="5" t="s">
        <v>518</v>
      </c>
      <c r="J32" s="6">
        <v>900</v>
      </c>
      <c r="K32" s="4">
        <v>0</v>
      </c>
      <c r="L32" s="7">
        <v>10800000</v>
      </c>
      <c r="M32" s="11">
        <f t="shared" si="2"/>
        <v>1188000</v>
      </c>
      <c r="N32" s="11">
        <f t="shared" si="1"/>
        <v>11988000</v>
      </c>
      <c r="O32" s="2" t="s">
        <v>545</v>
      </c>
      <c r="P32" s="2" t="s">
        <v>581</v>
      </c>
    </row>
    <row r="33" spans="1:16" ht="51" x14ac:dyDescent="0.3">
      <c r="A33" s="2" t="s">
        <v>8</v>
      </c>
      <c r="B33" s="3">
        <v>46055.587905092601</v>
      </c>
      <c r="C33" s="2" t="s">
        <v>40</v>
      </c>
      <c r="D33" s="2" t="s">
        <v>102</v>
      </c>
      <c r="E33" s="4">
        <v>4</v>
      </c>
      <c r="F33" s="5" t="s">
        <v>201</v>
      </c>
      <c r="G33" s="2" t="s">
        <v>374</v>
      </c>
      <c r="H33" s="7">
        <v>2300</v>
      </c>
      <c r="I33" s="5" t="s">
        <v>518</v>
      </c>
      <c r="J33" s="6">
        <v>2650</v>
      </c>
      <c r="K33" s="4">
        <v>0</v>
      </c>
      <c r="L33" s="7">
        <v>6095000</v>
      </c>
      <c r="M33" s="11">
        <f t="shared" si="2"/>
        <v>670450</v>
      </c>
      <c r="N33" s="11">
        <f t="shared" si="1"/>
        <v>6765450</v>
      </c>
      <c r="O33" s="2" t="s">
        <v>545</v>
      </c>
      <c r="P33" s="2" t="s">
        <v>581</v>
      </c>
    </row>
    <row r="34" spans="1:16" ht="51" x14ac:dyDescent="0.3">
      <c r="A34" s="2" t="s">
        <v>8</v>
      </c>
      <c r="B34" s="3">
        <v>46055.587905092601</v>
      </c>
      <c r="C34" s="2" t="s">
        <v>40</v>
      </c>
      <c r="D34" s="2" t="s">
        <v>102</v>
      </c>
      <c r="E34" s="4">
        <v>5</v>
      </c>
      <c r="F34" s="5" t="s">
        <v>202</v>
      </c>
      <c r="G34" s="2" t="s">
        <v>375</v>
      </c>
      <c r="H34" s="6">
        <v>130</v>
      </c>
      <c r="I34" s="5" t="s">
        <v>518</v>
      </c>
      <c r="J34" s="7">
        <v>18960</v>
      </c>
      <c r="K34" s="4">
        <v>0</v>
      </c>
      <c r="L34" s="7">
        <v>2464800</v>
      </c>
      <c r="M34" s="11">
        <f t="shared" si="2"/>
        <v>271128</v>
      </c>
      <c r="N34" s="11">
        <f t="shared" si="1"/>
        <v>2735928</v>
      </c>
      <c r="O34" s="2" t="s">
        <v>545</v>
      </c>
      <c r="P34" s="2" t="s">
        <v>581</v>
      </c>
    </row>
    <row r="35" spans="1:16" ht="30.6" x14ac:dyDescent="0.3">
      <c r="A35" s="2" t="s">
        <v>8</v>
      </c>
      <c r="B35" s="3">
        <v>46055.589027777802</v>
      </c>
      <c r="C35" s="2" t="s">
        <v>41</v>
      </c>
      <c r="D35" s="2" t="s">
        <v>103</v>
      </c>
      <c r="E35" s="4">
        <v>1</v>
      </c>
      <c r="F35" s="5" t="s">
        <v>198</v>
      </c>
      <c r="G35" s="2" t="s">
        <v>371</v>
      </c>
      <c r="H35" s="6">
        <v>800</v>
      </c>
      <c r="I35" s="5" t="s">
        <v>518</v>
      </c>
      <c r="J35" s="7">
        <v>17500</v>
      </c>
      <c r="K35" s="4">
        <v>0</v>
      </c>
      <c r="L35" s="7">
        <v>14000000</v>
      </c>
      <c r="M35" s="11">
        <f t="shared" si="2"/>
        <v>1540000</v>
      </c>
      <c r="N35" s="11">
        <f t="shared" si="1"/>
        <v>15540000</v>
      </c>
      <c r="O35" s="2" t="s">
        <v>546</v>
      </c>
      <c r="P35" s="2" t="s">
        <v>582</v>
      </c>
    </row>
    <row r="36" spans="1:16" ht="30.6" x14ac:dyDescent="0.3">
      <c r="A36" s="2" t="s">
        <v>9</v>
      </c>
      <c r="B36" s="3">
        <v>46055.8204513889</v>
      </c>
      <c r="C36" s="2" t="s">
        <v>42</v>
      </c>
      <c r="D36" s="2" t="s">
        <v>104</v>
      </c>
      <c r="E36" s="4">
        <v>1</v>
      </c>
      <c r="F36" s="5" t="s">
        <v>203</v>
      </c>
      <c r="G36" s="2" t="s">
        <v>376</v>
      </c>
      <c r="H36" s="6">
        <v>60</v>
      </c>
      <c r="I36" s="5" t="s">
        <v>518</v>
      </c>
      <c r="J36" s="6">
        <v>4900</v>
      </c>
      <c r="K36" s="4">
        <v>0</v>
      </c>
      <c r="L36" s="7">
        <v>294000</v>
      </c>
      <c r="M36" s="11">
        <f t="shared" si="2"/>
        <v>32340</v>
      </c>
      <c r="N36" s="11">
        <f t="shared" si="1"/>
        <v>326340</v>
      </c>
      <c r="O36" s="5"/>
      <c r="P36" s="2" t="s">
        <v>583</v>
      </c>
    </row>
    <row r="37" spans="1:16" ht="30.6" x14ac:dyDescent="0.3">
      <c r="A37" s="2" t="s">
        <v>9</v>
      </c>
      <c r="B37" s="3">
        <v>46055.8204513889</v>
      </c>
      <c r="C37" s="2" t="s">
        <v>42</v>
      </c>
      <c r="D37" s="2" t="s">
        <v>104</v>
      </c>
      <c r="E37" s="4">
        <v>2</v>
      </c>
      <c r="F37" s="5" t="s">
        <v>204</v>
      </c>
      <c r="G37" s="2" t="s">
        <v>377</v>
      </c>
      <c r="H37" s="6">
        <v>100</v>
      </c>
      <c r="I37" s="5" t="s">
        <v>518</v>
      </c>
      <c r="J37" s="6">
        <v>7600</v>
      </c>
      <c r="K37" s="4">
        <v>0</v>
      </c>
      <c r="L37" s="7">
        <v>760000</v>
      </c>
      <c r="M37" s="11">
        <f t="shared" si="2"/>
        <v>83600</v>
      </c>
      <c r="N37" s="11">
        <f t="shared" si="1"/>
        <v>843600</v>
      </c>
      <c r="O37" s="5"/>
      <c r="P37" s="2" t="s">
        <v>583</v>
      </c>
    </row>
    <row r="38" spans="1:16" ht="30.6" x14ac:dyDescent="0.3">
      <c r="A38" s="2" t="s">
        <v>9</v>
      </c>
      <c r="B38" s="3">
        <v>46055.8204513889</v>
      </c>
      <c r="C38" s="2" t="s">
        <v>42</v>
      </c>
      <c r="D38" s="2" t="s">
        <v>104</v>
      </c>
      <c r="E38" s="4">
        <v>3</v>
      </c>
      <c r="F38" s="5" t="s">
        <v>205</v>
      </c>
      <c r="G38" s="2" t="s">
        <v>378</v>
      </c>
      <c r="H38" s="6">
        <v>500</v>
      </c>
      <c r="I38" s="5" t="s">
        <v>518</v>
      </c>
      <c r="J38" s="6">
        <v>800</v>
      </c>
      <c r="K38" s="4">
        <v>0</v>
      </c>
      <c r="L38" s="7">
        <v>400000</v>
      </c>
      <c r="M38" s="11">
        <f t="shared" si="2"/>
        <v>44000</v>
      </c>
      <c r="N38" s="11">
        <f t="shared" si="1"/>
        <v>444000</v>
      </c>
      <c r="O38" s="5"/>
      <c r="P38" s="2" t="s">
        <v>583</v>
      </c>
    </row>
    <row r="39" spans="1:16" ht="20.399999999999999" x14ac:dyDescent="0.3">
      <c r="A39" s="2" t="s">
        <v>10</v>
      </c>
      <c r="B39" s="3">
        <v>46055.870196759301</v>
      </c>
      <c r="C39" s="2" t="s">
        <v>43</v>
      </c>
      <c r="D39" s="2" t="s">
        <v>105</v>
      </c>
      <c r="E39" s="4">
        <v>1</v>
      </c>
      <c r="F39" s="5" t="s">
        <v>206</v>
      </c>
      <c r="G39" s="2" t="s">
        <v>379</v>
      </c>
      <c r="H39" s="6">
        <v>100</v>
      </c>
      <c r="I39" s="5" t="s">
        <v>525</v>
      </c>
      <c r="J39" s="6">
        <v>9900</v>
      </c>
      <c r="K39" s="4">
        <v>0</v>
      </c>
      <c r="L39" s="7">
        <v>990000</v>
      </c>
      <c r="M39" s="11">
        <f t="shared" si="2"/>
        <v>108900</v>
      </c>
      <c r="N39" s="11">
        <f t="shared" si="1"/>
        <v>1098900</v>
      </c>
      <c r="O39" s="5"/>
      <c r="P39" s="2" t="s">
        <v>584</v>
      </c>
    </row>
    <row r="40" spans="1:16" ht="20.399999999999999" x14ac:dyDescent="0.3">
      <c r="A40" s="2" t="s">
        <v>11</v>
      </c>
      <c r="B40" s="3">
        <v>46055.8747337963</v>
      </c>
      <c r="C40" s="2" t="s">
        <v>44</v>
      </c>
      <c r="D40" s="2" t="s">
        <v>106</v>
      </c>
      <c r="E40" s="4">
        <v>1</v>
      </c>
      <c r="F40" s="5" t="s">
        <v>207</v>
      </c>
      <c r="G40" s="2" t="s">
        <v>380</v>
      </c>
      <c r="H40" s="6">
        <v>250</v>
      </c>
      <c r="I40" s="5" t="s">
        <v>520</v>
      </c>
      <c r="J40" s="7">
        <v>15125</v>
      </c>
      <c r="K40" s="4">
        <v>0</v>
      </c>
      <c r="L40" s="7">
        <v>3781250</v>
      </c>
      <c r="M40" s="11">
        <f t="shared" si="2"/>
        <v>415937.5</v>
      </c>
      <c r="N40" s="11">
        <f t="shared" si="1"/>
        <v>4197187.5</v>
      </c>
      <c r="O40" s="5"/>
      <c r="P40" s="2" t="s">
        <v>585</v>
      </c>
    </row>
    <row r="41" spans="1:16" ht="20.399999999999999" x14ac:dyDescent="0.3">
      <c r="A41" s="2" t="s">
        <v>12</v>
      </c>
      <c r="B41" s="3">
        <v>46055.8996527778</v>
      </c>
      <c r="C41" s="2" t="s">
        <v>45</v>
      </c>
      <c r="D41" s="2" t="s">
        <v>107</v>
      </c>
      <c r="E41" s="4">
        <v>1</v>
      </c>
      <c r="F41" s="5" t="s">
        <v>208</v>
      </c>
      <c r="G41" s="2" t="s">
        <v>381</v>
      </c>
      <c r="H41" s="6">
        <v>220</v>
      </c>
      <c r="I41" s="5" t="s">
        <v>518</v>
      </c>
      <c r="J41" s="6">
        <v>6559</v>
      </c>
      <c r="K41" s="4">
        <v>0</v>
      </c>
      <c r="L41" s="7">
        <v>1442980</v>
      </c>
      <c r="M41" s="11">
        <f t="shared" si="2"/>
        <v>158727.79999999999</v>
      </c>
      <c r="N41" s="11">
        <f t="shared" si="1"/>
        <v>1601707.8</v>
      </c>
      <c r="O41" s="5"/>
      <c r="P41" s="2" t="s">
        <v>586</v>
      </c>
    </row>
    <row r="42" spans="1:16" ht="20.399999999999999" x14ac:dyDescent="0.3">
      <c r="A42" s="2" t="s">
        <v>1</v>
      </c>
      <c r="B42" s="3">
        <v>46056.387164351901</v>
      </c>
      <c r="C42" s="2" t="s">
        <v>34</v>
      </c>
      <c r="D42" s="2" t="s">
        <v>108</v>
      </c>
      <c r="E42" s="4">
        <v>1</v>
      </c>
      <c r="F42" s="5" t="s">
        <v>209</v>
      </c>
      <c r="G42" s="2" t="s">
        <v>382</v>
      </c>
      <c r="H42" s="6">
        <v>2</v>
      </c>
      <c r="I42" s="5" t="s">
        <v>519</v>
      </c>
      <c r="J42" s="7">
        <v>641520</v>
      </c>
      <c r="K42" s="4">
        <v>0</v>
      </c>
      <c r="L42" s="7">
        <v>1283040</v>
      </c>
      <c r="M42" s="11">
        <f t="shared" si="2"/>
        <v>141134.39999999999</v>
      </c>
      <c r="N42" s="11">
        <f t="shared" si="1"/>
        <v>1424174.4</v>
      </c>
      <c r="O42" s="2" t="s">
        <v>547</v>
      </c>
      <c r="P42" s="2" t="s">
        <v>587</v>
      </c>
    </row>
    <row r="43" spans="1:16" ht="20.399999999999999" x14ac:dyDescent="0.3">
      <c r="A43" s="2" t="s">
        <v>13</v>
      </c>
      <c r="B43" s="3">
        <v>46056.418171296304</v>
      </c>
      <c r="C43" s="2" t="s">
        <v>46</v>
      </c>
      <c r="D43" s="2" t="s">
        <v>109</v>
      </c>
      <c r="E43" s="4">
        <v>1</v>
      </c>
      <c r="F43" s="5" t="s">
        <v>210</v>
      </c>
      <c r="G43" s="2" t="s">
        <v>383</v>
      </c>
      <c r="H43" s="6">
        <v>45</v>
      </c>
      <c r="I43" s="5" t="s">
        <v>526</v>
      </c>
      <c r="J43" s="6">
        <v>4450</v>
      </c>
      <c r="K43" s="4">
        <v>0</v>
      </c>
      <c r="L43" s="7">
        <v>200250</v>
      </c>
      <c r="M43" s="11">
        <f t="shared" si="2"/>
        <v>22027.5</v>
      </c>
      <c r="N43" s="11">
        <f t="shared" si="1"/>
        <v>222277.5</v>
      </c>
      <c r="O43" s="2" t="s">
        <v>548</v>
      </c>
      <c r="P43" s="2" t="s">
        <v>588</v>
      </c>
    </row>
    <row r="44" spans="1:16" ht="20.399999999999999" x14ac:dyDescent="0.3">
      <c r="A44" s="2" t="s">
        <v>13</v>
      </c>
      <c r="B44" s="3">
        <v>46056.424594907403</v>
      </c>
      <c r="C44" s="2" t="s">
        <v>47</v>
      </c>
      <c r="D44" s="2" t="s">
        <v>110</v>
      </c>
      <c r="E44" s="4">
        <v>1</v>
      </c>
      <c r="F44" s="5" t="s">
        <v>211</v>
      </c>
      <c r="G44" s="2" t="s">
        <v>384</v>
      </c>
      <c r="H44" s="6">
        <v>20</v>
      </c>
      <c r="I44" s="5" t="s">
        <v>526</v>
      </c>
      <c r="J44" s="7">
        <v>16000</v>
      </c>
      <c r="K44" s="4">
        <v>0</v>
      </c>
      <c r="L44" s="7">
        <v>320000</v>
      </c>
      <c r="M44" s="11">
        <f t="shared" si="2"/>
        <v>35200</v>
      </c>
      <c r="N44" s="11">
        <f t="shared" si="1"/>
        <v>355200</v>
      </c>
      <c r="O44" s="2" t="s">
        <v>549</v>
      </c>
      <c r="P44" s="2" t="s">
        <v>589</v>
      </c>
    </row>
    <row r="45" spans="1:16" ht="20.399999999999999" x14ac:dyDescent="0.3">
      <c r="A45" s="2" t="s">
        <v>13</v>
      </c>
      <c r="B45" s="3">
        <v>46056.424594907403</v>
      </c>
      <c r="C45" s="2" t="s">
        <v>47</v>
      </c>
      <c r="D45" s="2" t="s">
        <v>110</v>
      </c>
      <c r="E45" s="4">
        <v>2</v>
      </c>
      <c r="F45" s="5" t="s">
        <v>212</v>
      </c>
      <c r="G45" s="2" t="s">
        <v>385</v>
      </c>
      <c r="H45" s="6">
        <v>50</v>
      </c>
      <c r="I45" s="5" t="s">
        <v>526</v>
      </c>
      <c r="J45" s="7">
        <v>15500</v>
      </c>
      <c r="K45" s="4">
        <v>0</v>
      </c>
      <c r="L45" s="7">
        <v>775000</v>
      </c>
      <c r="M45" s="11">
        <f t="shared" si="2"/>
        <v>85250</v>
      </c>
      <c r="N45" s="11">
        <f t="shared" si="1"/>
        <v>860250</v>
      </c>
      <c r="O45" s="2" t="s">
        <v>549</v>
      </c>
      <c r="P45" s="2" t="s">
        <v>589</v>
      </c>
    </row>
    <row r="46" spans="1:16" ht="20.399999999999999" x14ac:dyDescent="0.3">
      <c r="A46" s="2" t="s">
        <v>13</v>
      </c>
      <c r="B46" s="3">
        <v>46056.424594907403</v>
      </c>
      <c r="C46" s="2" t="s">
        <v>47</v>
      </c>
      <c r="D46" s="2" t="s">
        <v>110</v>
      </c>
      <c r="E46" s="4">
        <v>3</v>
      </c>
      <c r="F46" s="5" t="s">
        <v>213</v>
      </c>
      <c r="G46" s="2" t="s">
        <v>386</v>
      </c>
      <c r="H46" s="6">
        <v>35</v>
      </c>
      <c r="I46" s="5" t="s">
        <v>518</v>
      </c>
      <c r="J46" s="7">
        <v>15700</v>
      </c>
      <c r="K46" s="4">
        <v>0</v>
      </c>
      <c r="L46" s="7">
        <v>549500</v>
      </c>
      <c r="M46" s="11">
        <f t="shared" si="2"/>
        <v>60445</v>
      </c>
      <c r="N46" s="11">
        <f t="shared" si="1"/>
        <v>609945</v>
      </c>
      <c r="O46" s="2" t="s">
        <v>549</v>
      </c>
      <c r="P46" s="2" t="s">
        <v>589</v>
      </c>
    </row>
    <row r="47" spans="1:16" ht="20.399999999999999" x14ac:dyDescent="0.3">
      <c r="A47" s="2" t="s">
        <v>13</v>
      </c>
      <c r="B47" s="3">
        <v>46056.427118055602</v>
      </c>
      <c r="C47" s="2" t="s">
        <v>48</v>
      </c>
      <c r="D47" s="2" t="s">
        <v>111</v>
      </c>
      <c r="E47" s="4">
        <v>1</v>
      </c>
      <c r="F47" s="5" t="s">
        <v>214</v>
      </c>
      <c r="G47" s="2" t="s">
        <v>387</v>
      </c>
      <c r="H47" s="6">
        <v>100</v>
      </c>
      <c r="I47" s="5" t="s">
        <v>526</v>
      </c>
      <c r="J47" s="7">
        <v>22700</v>
      </c>
      <c r="K47" s="4">
        <v>0</v>
      </c>
      <c r="L47" s="7">
        <v>2270000</v>
      </c>
      <c r="M47" s="11">
        <f t="shared" si="2"/>
        <v>249700</v>
      </c>
      <c r="N47" s="11">
        <f t="shared" si="1"/>
        <v>2519700</v>
      </c>
      <c r="O47" s="2" t="s">
        <v>550</v>
      </c>
      <c r="P47" s="2" t="s">
        <v>590</v>
      </c>
    </row>
    <row r="48" spans="1:16" ht="20.399999999999999" x14ac:dyDescent="0.3">
      <c r="A48" s="2" t="s">
        <v>13</v>
      </c>
      <c r="B48" s="3">
        <v>46056.429699074099</v>
      </c>
      <c r="C48" s="2" t="s">
        <v>49</v>
      </c>
      <c r="D48" s="2" t="s">
        <v>112</v>
      </c>
      <c r="E48" s="4">
        <v>1</v>
      </c>
      <c r="F48" s="5" t="s">
        <v>215</v>
      </c>
      <c r="G48" s="2" t="s">
        <v>388</v>
      </c>
      <c r="H48" s="6">
        <v>85</v>
      </c>
      <c r="I48" s="5" t="s">
        <v>526</v>
      </c>
      <c r="J48" s="7">
        <v>21480</v>
      </c>
      <c r="K48" s="4">
        <v>0</v>
      </c>
      <c r="L48" s="7">
        <v>1825800</v>
      </c>
      <c r="M48" s="11">
        <f t="shared" si="2"/>
        <v>200838</v>
      </c>
      <c r="N48" s="11">
        <f t="shared" si="1"/>
        <v>2026638</v>
      </c>
      <c r="O48" s="2" t="s">
        <v>551</v>
      </c>
      <c r="P48" s="2" t="s">
        <v>591</v>
      </c>
    </row>
    <row r="49" spans="1:16" ht="20.399999999999999" x14ac:dyDescent="0.3">
      <c r="A49" s="2" t="s">
        <v>13</v>
      </c>
      <c r="B49" s="3">
        <v>46056.432719907403</v>
      </c>
      <c r="C49" s="2" t="s">
        <v>50</v>
      </c>
      <c r="D49" s="2" t="s">
        <v>113</v>
      </c>
      <c r="E49" s="4">
        <v>1</v>
      </c>
      <c r="F49" s="5" t="s">
        <v>210</v>
      </c>
      <c r="G49" s="2" t="s">
        <v>383</v>
      </c>
      <c r="H49" s="6">
        <v>100</v>
      </c>
      <c r="I49" s="5" t="s">
        <v>526</v>
      </c>
      <c r="J49" s="6">
        <v>4450</v>
      </c>
      <c r="K49" s="4">
        <v>0</v>
      </c>
      <c r="L49" s="7">
        <v>445000</v>
      </c>
      <c r="M49" s="11">
        <f t="shared" si="2"/>
        <v>48950</v>
      </c>
      <c r="N49" s="11">
        <f t="shared" si="1"/>
        <v>493950</v>
      </c>
      <c r="O49" s="2" t="s">
        <v>552</v>
      </c>
      <c r="P49" s="2" t="s">
        <v>592</v>
      </c>
    </row>
    <row r="50" spans="1:16" ht="20.399999999999999" x14ac:dyDescent="0.3">
      <c r="A50" s="2" t="s">
        <v>13</v>
      </c>
      <c r="B50" s="3">
        <v>46056.432719907403</v>
      </c>
      <c r="C50" s="2" t="s">
        <v>50</v>
      </c>
      <c r="D50" s="2" t="s">
        <v>113</v>
      </c>
      <c r="E50" s="4">
        <v>2</v>
      </c>
      <c r="F50" s="5" t="s">
        <v>216</v>
      </c>
      <c r="G50" s="2" t="s">
        <v>389</v>
      </c>
      <c r="H50" s="6">
        <v>300</v>
      </c>
      <c r="I50" s="5" t="s">
        <v>518</v>
      </c>
      <c r="J50" s="7">
        <v>12800</v>
      </c>
      <c r="K50" s="4">
        <v>0</v>
      </c>
      <c r="L50" s="7">
        <v>3840000</v>
      </c>
      <c r="M50" s="11">
        <f t="shared" si="2"/>
        <v>422400</v>
      </c>
      <c r="N50" s="11">
        <f t="shared" si="1"/>
        <v>4262400</v>
      </c>
      <c r="O50" s="2" t="s">
        <v>552</v>
      </c>
      <c r="P50" s="2" t="s">
        <v>592</v>
      </c>
    </row>
    <row r="51" spans="1:16" ht="20.399999999999999" x14ac:dyDescent="0.3">
      <c r="A51" s="2" t="s">
        <v>5</v>
      </c>
      <c r="B51" s="3">
        <v>46056.639386574097</v>
      </c>
      <c r="C51" s="2" t="s">
        <v>51</v>
      </c>
      <c r="D51" s="2" t="s">
        <v>114</v>
      </c>
      <c r="E51" s="4">
        <v>1</v>
      </c>
      <c r="F51" s="5" t="s">
        <v>217</v>
      </c>
      <c r="G51" s="2" t="s">
        <v>390</v>
      </c>
      <c r="H51" s="6">
        <v>70</v>
      </c>
      <c r="I51" s="5" t="s">
        <v>518</v>
      </c>
      <c r="J51" s="6">
        <v>6300</v>
      </c>
      <c r="K51" s="4">
        <v>0</v>
      </c>
      <c r="L51" s="7">
        <v>441000</v>
      </c>
      <c r="M51" s="11">
        <f t="shared" si="2"/>
        <v>48510</v>
      </c>
      <c r="N51" s="11">
        <f t="shared" si="1"/>
        <v>489510</v>
      </c>
      <c r="O51" s="2" t="s">
        <v>553</v>
      </c>
      <c r="P51" s="2" t="s">
        <v>593</v>
      </c>
    </row>
    <row r="52" spans="1:16" ht="30.6" x14ac:dyDescent="0.3">
      <c r="A52" s="2" t="s">
        <v>9</v>
      </c>
      <c r="B52" s="3">
        <v>46056.824398148201</v>
      </c>
      <c r="C52" s="2" t="s">
        <v>52</v>
      </c>
      <c r="D52" s="2" t="s">
        <v>115</v>
      </c>
      <c r="E52" s="4">
        <v>1</v>
      </c>
      <c r="F52" s="5" t="s">
        <v>218</v>
      </c>
      <c r="G52" s="2" t="s">
        <v>391</v>
      </c>
      <c r="H52" s="6">
        <v>600</v>
      </c>
      <c r="I52" s="5" t="s">
        <v>518</v>
      </c>
      <c r="J52" s="6">
        <v>900</v>
      </c>
      <c r="K52" s="4">
        <v>0</v>
      </c>
      <c r="L52" s="7">
        <v>540000</v>
      </c>
      <c r="M52" s="11">
        <f t="shared" si="2"/>
        <v>59400</v>
      </c>
      <c r="N52" s="11">
        <f t="shared" si="1"/>
        <v>599400</v>
      </c>
      <c r="O52" s="5"/>
      <c r="P52" s="2" t="s">
        <v>594</v>
      </c>
    </row>
    <row r="53" spans="1:16" ht="30.6" x14ac:dyDescent="0.3">
      <c r="A53" s="2" t="s">
        <v>9</v>
      </c>
      <c r="B53" s="3">
        <v>46056.824398148201</v>
      </c>
      <c r="C53" s="2" t="s">
        <v>52</v>
      </c>
      <c r="D53" s="2" t="s">
        <v>115</v>
      </c>
      <c r="E53" s="4">
        <v>2</v>
      </c>
      <c r="F53" s="5" t="s">
        <v>219</v>
      </c>
      <c r="G53" s="2" t="s">
        <v>392</v>
      </c>
      <c r="H53" s="6">
        <v>300</v>
      </c>
      <c r="I53" s="5" t="s">
        <v>518</v>
      </c>
      <c r="J53" s="6">
        <v>3400</v>
      </c>
      <c r="K53" s="4">
        <v>0</v>
      </c>
      <c r="L53" s="7">
        <v>1020000</v>
      </c>
      <c r="M53" s="11">
        <f t="shared" si="2"/>
        <v>112200</v>
      </c>
      <c r="N53" s="11">
        <f t="shared" si="1"/>
        <v>1132200</v>
      </c>
      <c r="O53" s="5"/>
      <c r="P53" s="2" t="s">
        <v>594</v>
      </c>
    </row>
    <row r="54" spans="1:16" ht="30.6" x14ac:dyDescent="0.3">
      <c r="A54" s="2" t="s">
        <v>9</v>
      </c>
      <c r="B54" s="3">
        <v>46056.839201388902</v>
      </c>
      <c r="C54" s="2" t="s">
        <v>53</v>
      </c>
      <c r="D54" s="2" t="s">
        <v>116</v>
      </c>
      <c r="E54" s="4">
        <v>1</v>
      </c>
      <c r="F54" s="5" t="s">
        <v>220</v>
      </c>
      <c r="G54" s="2" t="s">
        <v>393</v>
      </c>
      <c r="H54" s="6">
        <v>20</v>
      </c>
      <c r="I54" s="5" t="s">
        <v>518</v>
      </c>
      <c r="J54" s="7">
        <v>14900</v>
      </c>
      <c r="K54" s="4">
        <v>0</v>
      </c>
      <c r="L54" s="7">
        <v>298000</v>
      </c>
      <c r="M54" s="11">
        <f t="shared" si="2"/>
        <v>32780</v>
      </c>
      <c r="N54" s="11">
        <f t="shared" si="1"/>
        <v>330780</v>
      </c>
      <c r="O54" s="5"/>
      <c r="P54" s="2" t="s">
        <v>595</v>
      </c>
    </row>
    <row r="55" spans="1:16" ht="30.6" x14ac:dyDescent="0.3">
      <c r="A55" s="2" t="s">
        <v>9</v>
      </c>
      <c r="B55" s="3">
        <v>46056.840138888903</v>
      </c>
      <c r="C55" s="2" t="s">
        <v>54</v>
      </c>
      <c r="D55" s="2" t="s">
        <v>117</v>
      </c>
      <c r="E55" s="4">
        <v>1</v>
      </c>
      <c r="F55" s="5" t="s">
        <v>221</v>
      </c>
      <c r="G55" s="2" t="s">
        <v>394</v>
      </c>
      <c r="H55" s="6">
        <v>300</v>
      </c>
      <c r="I55" s="5" t="s">
        <v>518</v>
      </c>
      <c r="J55" s="6">
        <v>2000</v>
      </c>
      <c r="K55" s="4">
        <v>0</v>
      </c>
      <c r="L55" s="7">
        <v>600000</v>
      </c>
      <c r="M55" s="11">
        <f t="shared" si="2"/>
        <v>66000</v>
      </c>
      <c r="N55" s="11">
        <f t="shared" si="1"/>
        <v>666000</v>
      </c>
      <c r="O55" s="5"/>
      <c r="P55" s="2" t="s">
        <v>596</v>
      </c>
    </row>
    <row r="56" spans="1:16" ht="30.6" x14ac:dyDescent="0.3">
      <c r="A56" s="2" t="s">
        <v>9</v>
      </c>
      <c r="B56" s="3">
        <v>46056.841076388897</v>
      </c>
      <c r="C56" s="2" t="s">
        <v>55</v>
      </c>
      <c r="D56" s="2" t="s">
        <v>118</v>
      </c>
      <c r="E56" s="4">
        <v>1</v>
      </c>
      <c r="F56" s="5" t="s">
        <v>222</v>
      </c>
      <c r="G56" s="2" t="s">
        <v>395</v>
      </c>
      <c r="H56" s="7">
        <v>1000</v>
      </c>
      <c r="I56" s="5" t="s">
        <v>518</v>
      </c>
      <c r="J56" s="6">
        <v>800</v>
      </c>
      <c r="K56" s="4">
        <v>0</v>
      </c>
      <c r="L56" s="7">
        <v>800000</v>
      </c>
      <c r="M56" s="11">
        <f t="shared" si="2"/>
        <v>88000</v>
      </c>
      <c r="N56" s="11">
        <f t="shared" si="1"/>
        <v>888000</v>
      </c>
      <c r="O56" s="5"/>
      <c r="P56" s="2" t="s">
        <v>597</v>
      </c>
    </row>
    <row r="57" spans="1:16" ht="30.6" x14ac:dyDescent="0.3">
      <c r="A57" s="2" t="s">
        <v>10</v>
      </c>
      <c r="B57" s="3">
        <v>46056.865856481498</v>
      </c>
      <c r="C57" s="2" t="s">
        <v>56</v>
      </c>
      <c r="D57" s="2" t="s">
        <v>119</v>
      </c>
      <c r="E57" s="4">
        <v>1</v>
      </c>
      <c r="F57" s="5" t="s">
        <v>223</v>
      </c>
      <c r="G57" s="2" t="s">
        <v>396</v>
      </c>
      <c r="H57" s="6">
        <v>400</v>
      </c>
      <c r="I57" s="5" t="s">
        <v>525</v>
      </c>
      <c r="J57" s="6">
        <v>5800</v>
      </c>
      <c r="K57" s="4">
        <v>0</v>
      </c>
      <c r="L57" s="7">
        <v>2320000</v>
      </c>
      <c r="M57" s="11">
        <f t="shared" si="2"/>
        <v>255200</v>
      </c>
      <c r="N57" s="11">
        <f t="shared" si="1"/>
        <v>2575200</v>
      </c>
      <c r="O57" s="5"/>
      <c r="P57" s="2" t="s">
        <v>598</v>
      </c>
    </row>
    <row r="58" spans="1:16" ht="30.6" x14ac:dyDescent="0.3">
      <c r="A58" s="2" t="s">
        <v>10</v>
      </c>
      <c r="B58" s="3">
        <v>46056.865856481498</v>
      </c>
      <c r="C58" s="2" t="s">
        <v>56</v>
      </c>
      <c r="D58" s="2" t="s">
        <v>119</v>
      </c>
      <c r="E58" s="4">
        <v>2</v>
      </c>
      <c r="F58" s="5" t="s">
        <v>224</v>
      </c>
      <c r="G58" s="2" t="s">
        <v>397</v>
      </c>
      <c r="H58" s="6">
        <v>10</v>
      </c>
      <c r="I58" s="5" t="s">
        <v>518</v>
      </c>
      <c r="J58" s="7">
        <v>12300</v>
      </c>
      <c r="K58" s="4">
        <v>0</v>
      </c>
      <c r="L58" s="7">
        <v>123000</v>
      </c>
      <c r="M58" s="11">
        <f t="shared" si="2"/>
        <v>13530</v>
      </c>
      <c r="N58" s="11">
        <f t="shared" si="1"/>
        <v>136530</v>
      </c>
      <c r="O58" s="5"/>
      <c r="P58" s="2" t="s">
        <v>598</v>
      </c>
    </row>
    <row r="59" spans="1:16" ht="30.6" x14ac:dyDescent="0.3">
      <c r="A59" s="2" t="s">
        <v>10</v>
      </c>
      <c r="B59" s="3">
        <v>46056.865856481498</v>
      </c>
      <c r="C59" s="2" t="s">
        <v>56</v>
      </c>
      <c r="D59" s="2" t="s">
        <v>119</v>
      </c>
      <c r="E59" s="4">
        <v>3</v>
      </c>
      <c r="F59" s="5" t="s">
        <v>225</v>
      </c>
      <c r="G59" s="2" t="s">
        <v>398</v>
      </c>
      <c r="H59" s="6">
        <v>200</v>
      </c>
      <c r="I59" s="5" t="s">
        <v>518</v>
      </c>
      <c r="J59" s="6">
        <v>1900</v>
      </c>
      <c r="K59" s="4">
        <v>0</v>
      </c>
      <c r="L59" s="7">
        <v>380000</v>
      </c>
      <c r="M59" s="11">
        <f t="shared" si="2"/>
        <v>41800</v>
      </c>
      <c r="N59" s="11">
        <f t="shared" si="1"/>
        <v>421800</v>
      </c>
      <c r="O59" s="5"/>
      <c r="P59" s="2" t="s">
        <v>598</v>
      </c>
    </row>
    <row r="60" spans="1:16" ht="30.6" x14ac:dyDescent="0.3">
      <c r="A60" s="2" t="s">
        <v>10</v>
      </c>
      <c r="B60" s="3">
        <v>46056.865856481498</v>
      </c>
      <c r="C60" s="2" t="s">
        <v>56</v>
      </c>
      <c r="D60" s="2" t="s">
        <v>119</v>
      </c>
      <c r="E60" s="4">
        <v>4</v>
      </c>
      <c r="F60" s="5" t="s">
        <v>226</v>
      </c>
      <c r="G60" s="2" t="s">
        <v>399</v>
      </c>
      <c r="H60" s="6">
        <v>50</v>
      </c>
      <c r="I60" s="5" t="s">
        <v>518</v>
      </c>
      <c r="J60" s="6">
        <v>7100</v>
      </c>
      <c r="K60" s="4">
        <v>0</v>
      </c>
      <c r="L60" s="7">
        <v>355000</v>
      </c>
      <c r="M60" s="11">
        <f t="shared" si="2"/>
        <v>39050</v>
      </c>
      <c r="N60" s="11">
        <f t="shared" si="1"/>
        <v>394050</v>
      </c>
      <c r="O60" s="5"/>
      <c r="P60" s="2" t="s">
        <v>598</v>
      </c>
    </row>
    <row r="61" spans="1:16" ht="30.6" x14ac:dyDescent="0.3">
      <c r="A61" s="2" t="s">
        <v>10</v>
      </c>
      <c r="B61" s="3">
        <v>46056.865856481498</v>
      </c>
      <c r="C61" s="2" t="s">
        <v>56</v>
      </c>
      <c r="D61" s="2" t="s">
        <v>119</v>
      </c>
      <c r="E61" s="4">
        <v>5</v>
      </c>
      <c r="F61" s="5" t="s">
        <v>227</v>
      </c>
      <c r="G61" s="2" t="s">
        <v>400</v>
      </c>
      <c r="H61" s="6">
        <v>150</v>
      </c>
      <c r="I61" s="5" t="s">
        <v>523</v>
      </c>
      <c r="J61" s="7">
        <v>13063</v>
      </c>
      <c r="K61" s="4">
        <v>0</v>
      </c>
      <c r="L61" s="7">
        <v>1959450</v>
      </c>
      <c r="M61" s="11">
        <f t="shared" si="2"/>
        <v>215539.5</v>
      </c>
      <c r="N61" s="11">
        <f t="shared" si="1"/>
        <v>2174989.5</v>
      </c>
      <c r="O61" s="5"/>
      <c r="P61" s="2" t="s">
        <v>598</v>
      </c>
    </row>
    <row r="62" spans="1:16" ht="30.6" x14ac:dyDescent="0.3">
      <c r="A62" s="2" t="s">
        <v>10</v>
      </c>
      <c r="B62" s="3">
        <v>46056.865856481498</v>
      </c>
      <c r="C62" s="2" t="s">
        <v>56</v>
      </c>
      <c r="D62" s="2" t="s">
        <v>119</v>
      </c>
      <c r="E62" s="4">
        <v>6</v>
      </c>
      <c r="F62" s="5" t="s">
        <v>228</v>
      </c>
      <c r="G62" s="2" t="s">
        <v>401</v>
      </c>
      <c r="H62" s="6">
        <v>100</v>
      </c>
      <c r="I62" s="5" t="s">
        <v>523</v>
      </c>
      <c r="J62" s="6">
        <v>9000</v>
      </c>
      <c r="K62" s="4">
        <v>0</v>
      </c>
      <c r="L62" s="7">
        <v>900000</v>
      </c>
      <c r="M62" s="11">
        <f t="shared" si="2"/>
        <v>99000</v>
      </c>
      <c r="N62" s="11">
        <f t="shared" si="1"/>
        <v>999000</v>
      </c>
      <c r="O62" s="5"/>
      <c r="P62" s="2" t="s">
        <v>598</v>
      </c>
    </row>
    <row r="63" spans="1:16" ht="30.6" x14ac:dyDescent="0.3">
      <c r="A63" s="2" t="s">
        <v>10</v>
      </c>
      <c r="B63" s="3">
        <v>46056.865856481498</v>
      </c>
      <c r="C63" s="2" t="s">
        <v>56</v>
      </c>
      <c r="D63" s="2" t="s">
        <v>119</v>
      </c>
      <c r="E63" s="4">
        <v>7</v>
      </c>
      <c r="F63" s="5" t="s">
        <v>229</v>
      </c>
      <c r="G63" s="2" t="s">
        <v>402</v>
      </c>
      <c r="H63" s="6">
        <v>150</v>
      </c>
      <c r="I63" s="5" t="s">
        <v>523</v>
      </c>
      <c r="J63" s="7">
        <v>10000</v>
      </c>
      <c r="K63" s="4">
        <v>0</v>
      </c>
      <c r="L63" s="7">
        <v>1500000</v>
      </c>
      <c r="M63" s="11">
        <f t="shared" si="2"/>
        <v>165000</v>
      </c>
      <c r="N63" s="11">
        <f t="shared" si="1"/>
        <v>1665000</v>
      </c>
      <c r="O63" s="5"/>
      <c r="P63" s="2" t="s">
        <v>598</v>
      </c>
    </row>
    <row r="64" spans="1:16" ht="30.6" x14ac:dyDescent="0.3">
      <c r="A64" s="2" t="s">
        <v>10</v>
      </c>
      <c r="B64" s="3">
        <v>46056.865856481498</v>
      </c>
      <c r="C64" s="2" t="s">
        <v>56</v>
      </c>
      <c r="D64" s="2" t="s">
        <v>119</v>
      </c>
      <c r="E64" s="4">
        <v>8</v>
      </c>
      <c r="F64" s="5" t="s">
        <v>230</v>
      </c>
      <c r="G64" s="2" t="s">
        <v>403</v>
      </c>
      <c r="H64" s="6">
        <v>130</v>
      </c>
      <c r="I64" s="5" t="s">
        <v>518</v>
      </c>
      <c r="J64" s="6">
        <v>7300</v>
      </c>
      <c r="K64" s="4">
        <v>0</v>
      </c>
      <c r="L64" s="7">
        <v>949000</v>
      </c>
      <c r="M64" s="11">
        <f t="shared" si="2"/>
        <v>104390</v>
      </c>
      <c r="N64" s="11">
        <f t="shared" si="1"/>
        <v>1053390</v>
      </c>
      <c r="O64" s="5"/>
      <c r="P64" s="2" t="s">
        <v>598</v>
      </c>
    </row>
    <row r="65" spans="1:16" ht="20.399999999999999" x14ac:dyDescent="0.3">
      <c r="A65" s="2" t="s">
        <v>10</v>
      </c>
      <c r="B65" s="3">
        <v>46056.8684953704</v>
      </c>
      <c r="C65" s="2" t="s">
        <v>57</v>
      </c>
      <c r="D65" s="2" t="s">
        <v>120</v>
      </c>
      <c r="E65" s="4">
        <v>1</v>
      </c>
      <c r="F65" s="5" t="s">
        <v>231</v>
      </c>
      <c r="G65" s="2" t="s">
        <v>404</v>
      </c>
      <c r="H65" s="6">
        <v>400</v>
      </c>
      <c r="I65" s="5" t="s">
        <v>525</v>
      </c>
      <c r="J65" s="6">
        <v>1500</v>
      </c>
      <c r="K65" s="4">
        <v>0</v>
      </c>
      <c r="L65" s="7">
        <v>600000</v>
      </c>
      <c r="M65" s="11">
        <f t="shared" si="2"/>
        <v>66000</v>
      </c>
      <c r="N65" s="11">
        <f t="shared" si="1"/>
        <v>666000</v>
      </c>
      <c r="O65" s="5"/>
      <c r="P65" s="2" t="s">
        <v>599</v>
      </c>
    </row>
    <row r="66" spans="1:16" ht="20.399999999999999" x14ac:dyDescent="0.3">
      <c r="A66" s="2" t="s">
        <v>10</v>
      </c>
      <c r="B66" s="3">
        <v>46056.8684953704</v>
      </c>
      <c r="C66" s="2" t="s">
        <v>57</v>
      </c>
      <c r="D66" s="2" t="s">
        <v>120</v>
      </c>
      <c r="E66" s="4">
        <v>2</v>
      </c>
      <c r="F66" s="5" t="s">
        <v>232</v>
      </c>
      <c r="G66" s="2" t="s">
        <v>405</v>
      </c>
      <c r="H66" s="6">
        <v>400</v>
      </c>
      <c r="I66" s="5" t="s">
        <v>518</v>
      </c>
      <c r="J66" s="6">
        <v>1550</v>
      </c>
      <c r="K66" s="4">
        <v>0</v>
      </c>
      <c r="L66" s="7">
        <v>620000</v>
      </c>
      <c r="M66" s="11">
        <f t="shared" si="2"/>
        <v>68200</v>
      </c>
      <c r="N66" s="11">
        <f t="shared" si="1"/>
        <v>688200</v>
      </c>
      <c r="O66" s="5"/>
      <c r="P66" s="2" t="s">
        <v>599</v>
      </c>
    </row>
    <row r="67" spans="1:16" ht="20.399999999999999" x14ac:dyDescent="0.3">
      <c r="A67" s="2" t="s">
        <v>10</v>
      </c>
      <c r="B67" s="3">
        <v>46056.8684953704</v>
      </c>
      <c r="C67" s="2" t="s">
        <v>57</v>
      </c>
      <c r="D67" s="2" t="s">
        <v>120</v>
      </c>
      <c r="E67" s="4">
        <v>3</v>
      </c>
      <c r="F67" s="5" t="s">
        <v>233</v>
      </c>
      <c r="G67" s="2" t="s">
        <v>406</v>
      </c>
      <c r="H67" s="6">
        <v>400</v>
      </c>
      <c r="I67" s="5" t="s">
        <v>518</v>
      </c>
      <c r="J67" s="6">
        <v>1400</v>
      </c>
      <c r="K67" s="4">
        <v>0</v>
      </c>
      <c r="L67" s="7">
        <v>560000</v>
      </c>
      <c r="M67" s="11">
        <f t="shared" si="2"/>
        <v>61600</v>
      </c>
      <c r="N67" s="11">
        <f t="shared" ref="N67:N130" si="3">L67+M67</f>
        <v>621600</v>
      </c>
      <c r="O67" s="5"/>
      <c r="P67" s="2" t="s">
        <v>599</v>
      </c>
    </row>
    <row r="68" spans="1:16" ht="20.399999999999999" x14ac:dyDescent="0.3">
      <c r="A68" s="2" t="s">
        <v>14</v>
      </c>
      <c r="B68" s="3">
        <v>46057.3586111111</v>
      </c>
      <c r="C68" s="2" t="s">
        <v>58</v>
      </c>
      <c r="D68" s="2" t="s">
        <v>121</v>
      </c>
      <c r="E68" s="4">
        <v>1</v>
      </c>
      <c r="F68" s="5" t="s">
        <v>234</v>
      </c>
      <c r="G68" s="2" t="s">
        <v>407</v>
      </c>
      <c r="H68" s="6">
        <v>500</v>
      </c>
      <c r="I68" s="5" t="s">
        <v>518</v>
      </c>
      <c r="J68" s="7">
        <v>18695</v>
      </c>
      <c r="K68" s="4">
        <v>0</v>
      </c>
      <c r="L68" s="7">
        <v>9347500</v>
      </c>
      <c r="M68" s="12">
        <v>0</v>
      </c>
      <c r="N68" s="11">
        <f t="shared" si="3"/>
        <v>9347500</v>
      </c>
      <c r="O68" s="5"/>
      <c r="P68" s="2" t="s">
        <v>600</v>
      </c>
    </row>
    <row r="69" spans="1:16" ht="20.399999999999999" x14ac:dyDescent="0.3">
      <c r="A69" s="2" t="s">
        <v>7</v>
      </c>
      <c r="B69" s="3">
        <v>46057.3898611111</v>
      </c>
      <c r="C69" s="2" t="s">
        <v>39</v>
      </c>
      <c r="D69" s="2" t="s">
        <v>122</v>
      </c>
      <c r="E69" s="4">
        <v>1</v>
      </c>
      <c r="F69" s="5" t="s">
        <v>192</v>
      </c>
      <c r="G69" s="2" t="s">
        <v>365</v>
      </c>
      <c r="H69" s="7">
        <v>1450</v>
      </c>
      <c r="I69" s="5" t="s">
        <v>518</v>
      </c>
      <c r="J69" s="6">
        <v>3973</v>
      </c>
      <c r="K69" s="4">
        <v>0</v>
      </c>
      <c r="L69" s="7">
        <v>5760850</v>
      </c>
      <c r="M69" s="12">
        <v>0</v>
      </c>
      <c r="N69" s="11">
        <f t="shared" si="3"/>
        <v>5760850</v>
      </c>
      <c r="O69" s="5"/>
      <c r="P69" s="2" t="s">
        <v>601</v>
      </c>
    </row>
    <row r="70" spans="1:16" ht="20.399999999999999" x14ac:dyDescent="0.3">
      <c r="A70" s="2" t="s">
        <v>7</v>
      </c>
      <c r="B70" s="3">
        <v>46057.3898611111</v>
      </c>
      <c r="C70" s="2" t="s">
        <v>39</v>
      </c>
      <c r="D70" s="2" t="s">
        <v>122</v>
      </c>
      <c r="E70" s="4">
        <v>2</v>
      </c>
      <c r="F70" s="5" t="s">
        <v>194</v>
      </c>
      <c r="G70" s="2" t="s">
        <v>367</v>
      </c>
      <c r="H70" s="7">
        <v>1000</v>
      </c>
      <c r="I70" s="5" t="s">
        <v>518</v>
      </c>
      <c r="J70" s="6">
        <v>3567</v>
      </c>
      <c r="K70" s="4">
        <v>0</v>
      </c>
      <c r="L70" s="7">
        <v>3567000</v>
      </c>
      <c r="M70" s="12">
        <v>0</v>
      </c>
      <c r="N70" s="11">
        <f t="shared" si="3"/>
        <v>3567000</v>
      </c>
      <c r="O70" s="5"/>
      <c r="P70" s="2" t="s">
        <v>601</v>
      </c>
    </row>
    <row r="71" spans="1:16" ht="20.399999999999999" x14ac:dyDescent="0.3">
      <c r="A71" s="2" t="s">
        <v>7</v>
      </c>
      <c r="B71" s="3">
        <v>46057.3898611111</v>
      </c>
      <c r="C71" s="2" t="s">
        <v>39</v>
      </c>
      <c r="D71" s="2" t="s">
        <v>122</v>
      </c>
      <c r="E71" s="4">
        <v>3</v>
      </c>
      <c r="F71" s="5" t="s">
        <v>197</v>
      </c>
      <c r="G71" s="2" t="s">
        <v>370</v>
      </c>
      <c r="H71" s="7">
        <v>1000</v>
      </c>
      <c r="I71" s="5" t="s">
        <v>518</v>
      </c>
      <c r="J71" s="6">
        <v>3977</v>
      </c>
      <c r="K71" s="4">
        <v>0</v>
      </c>
      <c r="L71" s="7">
        <v>3977000</v>
      </c>
      <c r="M71" s="12">
        <v>0</v>
      </c>
      <c r="N71" s="11">
        <f t="shared" si="3"/>
        <v>3977000</v>
      </c>
      <c r="O71" s="5"/>
      <c r="P71" s="2" t="s">
        <v>601</v>
      </c>
    </row>
    <row r="72" spans="1:16" ht="20.399999999999999" x14ac:dyDescent="0.3">
      <c r="A72" s="2" t="s">
        <v>1</v>
      </c>
      <c r="B72" s="3">
        <v>46057.391006944403</v>
      </c>
      <c r="C72" s="2" t="s">
        <v>59</v>
      </c>
      <c r="D72" s="2" t="s">
        <v>123</v>
      </c>
      <c r="E72" s="4">
        <v>1</v>
      </c>
      <c r="F72" s="5" t="s">
        <v>235</v>
      </c>
      <c r="G72" s="2" t="s">
        <v>408</v>
      </c>
      <c r="H72" s="6">
        <v>3</v>
      </c>
      <c r="I72" s="5" t="s">
        <v>518</v>
      </c>
      <c r="J72" s="7">
        <v>420000</v>
      </c>
      <c r="K72" s="4">
        <v>0</v>
      </c>
      <c r="L72" s="7">
        <v>1260000</v>
      </c>
      <c r="M72" s="11">
        <f t="shared" ref="M72:M109" si="4">L72*11%</f>
        <v>138600</v>
      </c>
      <c r="N72" s="11">
        <f t="shared" si="3"/>
        <v>1398600</v>
      </c>
      <c r="O72" s="2" t="s">
        <v>554</v>
      </c>
      <c r="P72" s="2" t="s">
        <v>602</v>
      </c>
    </row>
    <row r="73" spans="1:16" ht="20.399999999999999" x14ac:dyDescent="0.3">
      <c r="A73" s="2" t="s">
        <v>1</v>
      </c>
      <c r="B73" s="3">
        <v>46057.396851851903</v>
      </c>
      <c r="C73" s="2" t="s">
        <v>60</v>
      </c>
      <c r="D73" s="2" t="s">
        <v>124</v>
      </c>
      <c r="E73" s="4">
        <v>1</v>
      </c>
      <c r="F73" s="5" t="s">
        <v>236</v>
      </c>
      <c r="G73" s="2" t="s">
        <v>409</v>
      </c>
      <c r="H73" s="6">
        <v>10</v>
      </c>
      <c r="I73" s="5" t="s">
        <v>522</v>
      </c>
      <c r="J73" s="6">
        <v>6100</v>
      </c>
      <c r="K73" s="4">
        <v>0</v>
      </c>
      <c r="L73" s="7">
        <v>61000</v>
      </c>
      <c r="M73" s="11">
        <f t="shared" si="4"/>
        <v>6710</v>
      </c>
      <c r="N73" s="11">
        <f t="shared" si="3"/>
        <v>67710</v>
      </c>
      <c r="O73" s="2" t="s">
        <v>555</v>
      </c>
      <c r="P73" s="2" t="s">
        <v>603</v>
      </c>
    </row>
    <row r="74" spans="1:16" ht="20.399999999999999" x14ac:dyDescent="0.3">
      <c r="A74" s="2" t="s">
        <v>1</v>
      </c>
      <c r="B74" s="3">
        <v>46057.396851851903</v>
      </c>
      <c r="C74" s="2" t="s">
        <v>60</v>
      </c>
      <c r="D74" s="2" t="s">
        <v>124</v>
      </c>
      <c r="E74" s="4">
        <v>2</v>
      </c>
      <c r="F74" s="5" t="s">
        <v>177</v>
      </c>
      <c r="G74" s="2" t="s">
        <v>350</v>
      </c>
      <c r="H74" s="6">
        <v>3</v>
      </c>
      <c r="I74" s="5" t="s">
        <v>519</v>
      </c>
      <c r="J74" s="7">
        <v>156245</v>
      </c>
      <c r="K74" s="4">
        <v>0</v>
      </c>
      <c r="L74" s="7">
        <v>468735</v>
      </c>
      <c r="M74" s="11">
        <f t="shared" si="4"/>
        <v>51560.85</v>
      </c>
      <c r="N74" s="11">
        <f t="shared" si="3"/>
        <v>520295.85</v>
      </c>
      <c r="O74" s="2" t="s">
        <v>555</v>
      </c>
      <c r="P74" s="2" t="s">
        <v>603</v>
      </c>
    </row>
    <row r="75" spans="1:16" ht="20.399999999999999" x14ac:dyDescent="0.3">
      <c r="A75" s="2" t="s">
        <v>1</v>
      </c>
      <c r="B75" s="3">
        <v>46057.397858796299</v>
      </c>
      <c r="C75" s="2" t="s">
        <v>61</v>
      </c>
      <c r="D75" s="2" t="s">
        <v>125</v>
      </c>
      <c r="E75" s="4">
        <v>1</v>
      </c>
      <c r="F75" s="5" t="s">
        <v>237</v>
      </c>
      <c r="G75" s="2" t="s">
        <v>410</v>
      </c>
      <c r="H75" s="6">
        <v>1</v>
      </c>
      <c r="I75" s="5" t="s">
        <v>523</v>
      </c>
      <c r="J75" s="7">
        <v>136000</v>
      </c>
      <c r="K75" s="4">
        <v>0</v>
      </c>
      <c r="L75" s="7">
        <v>136000</v>
      </c>
      <c r="M75" s="11">
        <f t="shared" si="4"/>
        <v>14960</v>
      </c>
      <c r="N75" s="11">
        <f t="shared" si="3"/>
        <v>150960</v>
      </c>
      <c r="O75" s="2" t="s">
        <v>556</v>
      </c>
      <c r="P75" s="2" t="s">
        <v>604</v>
      </c>
    </row>
    <row r="76" spans="1:16" ht="20.399999999999999" x14ac:dyDescent="0.3">
      <c r="A76" s="2" t="s">
        <v>1</v>
      </c>
      <c r="B76" s="3">
        <v>46057.401469907403</v>
      </c>
      <c r="C76" s="2" t="s">
        <v>62</v>
      </c>
      <c r="D76" s="2" t="s">
        <v>126</v>
      </c>
      <c r="E76" s="4">
        <v>1</v>
      </c>
      <c r="F76" s="5" t="s">
        <v>238</v>
      </c>
      <c r="G76" s="2" t="s">
        <v>411</v>
      </c>
      <c r="H76" s="7">
        <v>1000</v>
      </c>
      <c r="I76" s="5" t="s">
        <v>518</v>
      </c>
      <c r="J76" s="6">
        <v>44</v>
      </c>
      <c r="K76" s="4">
        <v>0</v>
      </c>
      <c r="L76" s="7">
        <v>44000</v>
      </c>
      <c r="M76" s="11">
        <f t="shared" si="4"/>
        <v>4840</v>
      </c>
      <c r="N76" s="11">
        <f t="shared" si="3"/>
        <v>48840</v>
      </c>
      <c r="O76" s="2" t="s">
        <v>557</v>
      </c>
      <c r="P76" s="2" t="s">
        <v>605</v>
      </c>
    </row>
    <row r="77" spans="1:16" ht="20.399999999999999" x14ac:dyDescent="0.3">
      <c r="A77" s="2" t="s">
        <v>1</v>
      </c>
      <c r="B77" s="3">
        <v>46057.401469907403</v>
      </c>
      <c r="C77" s="2" t="s">
        <v>62</v>
      </c>
      <c r="D77" s="2" t="s">
        <v>126</v>
      </c>
      <c r="E77" s="4">
        <v>2</v>
      </c>
      <c r="F77" s="5" t="s">
        <v>239</v>
      </c>
      <c r="G77" s="2" t="s">
        <v>412</v>
      </c>
      <c r="H77" s="7">
        <v>2000</v>
      </c>
      <c r="I77" s="5" t="s">
        <v>518</v>
      </c>
      <c r="J77" s="6">
        <v>48</v>
      </c>
      <c r="K77" s="4">
        <v>0</v>
      </c>
      <c r="L77" s="7">
        <v>96000</v>
      </c>
      <c r="M77" s="11">
        <f t="shared" si="4"/>
        <v>10560</v>
      </c>
      <c r="N77" s="11">
        <f t="shared" si="3"/>
        <v>106560</v>
      </c>
      <c r="O77" s="2" t="s">
        <v>557</v>
      </c>
      <c r="P77" s="2" t="s">
        <v>605</v>
      </c>
    </row>
    <row r="78" spans="1:16" ht="20.399999999999999" x14ac:dyDescent="0.3">
      <c r="A78" s="2" t="s">
        <v>1</v>
      </c>
      <c r="B78" s="3">
        <v>46057.401469907403</v>
      </c>
      <c r="C78" s="2" t="s">
        <v>62</v>
      </c>
      <c r="D78" s="2" t="s">
        <v>126</v>
      </c>
      <c r="E78" s="4">
        <v>3</v>
      </c>
      <c r="F78" s="5" t="s">
        <v>240</v>
      </c>
      <c r="G78" s="2" t="s">
        <v>413</v>
      </c>
      <c r="H78" s="7">
        <v>1000</v>
      </c>
      <c r="I78" s="5" t="s">
        <v>518</v>
      </c>
      <c r="J78" s="6">
        <v>48</v>
      </c>
      <c r="K78" s="4">
        <v>0</v>
      </c>
      <c r="L78" s="7">
        <v>48000</v>
      </c>
      <c r="M78" s="11">
        <f t="shared" si="4"/>
        <v>5280</v>
      </c>
      <c r="N78" s="11">
        <f t="shared" si="3"/>
        <v>53280</v>
      </c>
      <c r="O78" s="2" t="s">
        <v>557</v>
      </c>
      <c r="P78" s="2" t="s">
        <v>605</v>
      </c>
    </row>
    <row r="79" spans="1:16" ht="20.399999999999999" x14ac:dyDescent="0.3">
      <c r="A79" s="2" t="s">
        <v>1</v>
      </c>
      <c r="B79" s="3">
        <v>46057.401469907403</v>
      </c>
      <c r="C79" s="2" t="s">
        <v>62</v>
      </c>
      <c r="D79" s="2" t="s">
        <v>126</v>
      </c>
      <c r="E79" s="4">
        <v>4</v>
      </c>
      <c r="F79" s="5" t="s">
        <v>241</v>
      </c>
      <c r="G79" s="2" t="s">
        <v>414</v>
      </c>
      <c r="H79" s="6">
        <v>500</v>
      </c>
      <c r="I79" s="5" t="s">
        <v>518</v>
      </c>
      <c r="J79" s="6">
        <v>190</v>
      </c>
      <c r="K79" s="4">
        <v>0</v>
      </c>
      <c r="L79" s="7">
        <v>95000</v>
      </c>
      <c r="M79" s="11">
        <f t="shared" si="4"/>
        <v>10450</v>
      </c>
      <c r="N79" s="11">
        <f t="shared" si="3"/>
        <v>105450</v>
      </c>
      <c r="O79" s="2" t="s">
        <v>557</v>
      </c>
      <c r="P79" s="2" t="s">
        <v>605</v>
      </c>
    </row>
    <row r="80" spans="1:16" ht="20.399999999999999" x14ac:dyDescent="0.3">
      <c r="A80" s="2" t="s">
        <v>1</v>
      </c>
      <c r="B80" s="3">
        <v>46057.401469907403</v>
      </c>
      <c r="C80" s="2" t="s">
        <v>62</v>
      </c>
      <c r="D80" s="2" t="s">
        <v>126</v>
      </c>
      <c r="E80" s="4">
        <v>5</v>
      </c>
      <c r="F80" s="5" t="s">
        <v>242</v>
      </c>
      <c r="G80" s="2" t="s">
        <v>415</v>
      </c>
      <c r="H80" s="7">
        <v>2000</v>
      </c>
      <c r="I80" s="5" t="s">
        <v>518</v>
      </c>
      <c r="J80" s="6">
        <v>34</v>
      </c>
      <c r="K80" s="4">
        <v>0</v>
      </c>
      <c r="L80" s="7">
        <v>68000</v>
      </c>
      <c r="M80" s="11">
        <f t="shared" si="4"/>
        <v>7480</v>
      </c>
      <c r="N80" s="11">
        <f t="shared" si="3"/>
        <v>75480</v>
      </c>
      <c r="O80" s="2" t="s">
        <v>557</v>
      </c>
      <c r="P80" s="2" t="s">
        <v>605</v>
      </c>
    </row>
    <row r="81" spans="1:16" ht="20.399999999999999" x14ac:dyDescent="0.3">
      <c r="A81" s="2" t="s">
        <v>1</v>
      </c>
      <c r="B81" s="3">
        <v>46057.401469907403</v>
      </c>
      <c r="C81" s="2" t="s">
        <v>62</v>
      </c>
      <c r="D81" s="2" t="s">
        <v>126</v>
      </c>
      <c r="E81" s="4">
        <v>6</v>
      </c>
      <c r="F81" s="5" t="s">
        <v>243</v>
      </c>
      <c r="G81" s="2" t="s">
        <v>416</v>
      </c>
      <c r="H81" s="6">
        <v>300</v>
      </c>
      <c r="I81" s="5" t="s">
        <v>518</v>
      </c>
      <c r="J81" s="6">
        <v>346</v>
      </c>
      <c r="K81" s="4">
        <v>0</v>
      </c>
      <c r="L81" s="7">
        <v>103800</v>
      </c>
      <c r="M81" s="11">
        <f t="shared" si="4"/>
        <v>11418</v>
      </c>
      <c r="N81" s="11">
        <f t="shared" si="3"/>
        <v>115218</v>
      </c>
      <c r="O81" s="2" t="s">
        <v>557</v>
      </c>
      <c r="P81" s="2" t="s">
        <v>605</v>
      </c>
    </row>
    <row r="82" spans="1:16" ht="20.399999999999999" x14ac:dyDescent="0.3">
      <c r="A82" s="2" t="s">
        <v>1</v>
      </c>
      <c r="B82" s="3">
        <v>46057.401469907403</v>
      </c>
      <c r="C82" s="2" t="s">
        <v>62</v>
      </c>
      <c r="D82" s="2" t="s">
        <v>126</v>
      </c>
      <c r="E82" s="4">
        <v>7</v>
      </c>
      <c r="F82" s="5" t="s">
        <v>244</v>
      </c>
      <c r="G82" s="2" t="s">
        <v>417</v>
      </c>
      <c r="H82" s="6">
        <v>500</v>
      </c>
      <c r="I82" s="5" t="s">
        <v>518</v>
      </c>
      <c r="J82" s="6">
        <v>60</v>
      </c>
      <c r="K82" s="4">
        <v>0</v>
      </c>
      <c r="L82" s="7">
        <v>30000</v>
      </c>
      <c r="M82" s="11">
        <f t="shared" si="4"/>
        <v>3300</v>
      </c>
      <c r="N82" s="11">
        <f t="shared" si="3"/>
        <v>33300</v>
      </c>
      <c r="O82" s="2" t="s">
        <v>557</v>
      </c>
      <c r="P82" s="2" t="s">
        <v>605</v>
      </c>
    </row>
    <row r="83" spans="1:16" ht="20.399999999999999" x14ac:dyDescent="0.3">
      <c r="A83" s="2" t="s">
        <v>1</v>
      </c>
      <c r="B83" s="3">
        <v>46057.401469907403</v>
      </c>
      <c r="C83" s="2" t="s">
        <v>62</v>
      </c>
      <c r="D83" s="2" t="s">
        <v>126</v>
      </c>
      <c r="E83" s="4">
        <v>8</v>
      </c>
      <c r="F83" s="5" t="s">
        <v>245</v>
      </c>
      <c r="G83" s="2" t="s">
        <v>418</v>
      </c>
      <c r="H83" s="6">
        <v>300</v>
      </c>
      <c r="I83" s="5" t="s">
        <v>518</v>
      </c>
      <c r="J83" s="6">
        <v>6500</v>
      </c>
      <c r="K83" s="4">
        <v>0</v>
      </c>
      <c r="L83" s="7">
        <v>1950000</v>
      </c>
      <c r="M83" s="11">
        <f t="shared" si="4"/>
        <v>214500</v>
      </c>
      <c r="N83" s="11">
        <f t="shared" si="3"/>
        <v>2164500</v>
      </c>
      <c r="O83" s="2" t="s">
        <v>557</v>
      </c>
      <c r="P83" s="2" t="s">
        <v>605</v>
      </c>
    </row>
    <row r="84" spans="1:16" ht="20.399999999999999" x14ac:dyDescent="0.3">
      <c r="A84" s="2" t="s">
        <v>1</v>
      </c>
      <c r="B84" s="3">
        <v>46057.401469907403</v>
      </c>
      <c r="C84" s="2" t="s">
        <v>62</v>
      </c>
      <c r="D84" s="2" t="s">
        <v>126</v>
      </c>
      <c r="E84" s="4">
        <v>9</v>
      </c>
      <c r="F84" s="5" t="s">
        <v>246</v>
      </c>
      <c r="G84" s="2" t="s">
        <v>419</v>
      </c>
      <c r="H84" s="6">
        <v>500</v>
      </c>
      <c r="I84" s="5" t="s">
        <v>518</v>
      </c>
      <c r="J84" s="6">
        <v>6412</v>
      </c>
      <c r="K84" s="4">
        <v>0</v>
      </c>
      <c r="L84" s="7">
        <v>3206000</v>
      </c>
      <c r="M84" s="11">
        <f t="shared" si="4"/>
        <v>352660</v>
      </c>
      <c r="N84" s="11">
        <f t="shared" si="3"/>
        <v>3558660</v>
      </c>
      <c r="O84" s="2" t="s">
        <v>557</v>
      </c>
      <c r="P84" s="2" t="s">
        <v>605</v>
      </c>
    </row>
    <row r="85" spans="1:16" ht="20.399999999999999" x14ac:dyDescent="0.3">
      <c r="A85" s="2" t="s">
        <v>1</v>
      </c>
      <c r="B85" s="3">
        <v>46057.401469907403</v>
      </c>
      <c r="C85" s="2" t="s">
        <v>62</v>
      </c>
      <c r="D85" s="2" t="s">
        <v>126</v>
      </c>
      <c r="E85" s="4">
        <v>10</v>
      </c>
      <c r="F85" s="5" t="s">
        <v>247</v>
      </c>
      <c r="G85" s="2" t="s">
        <v>420</v>
      </c>
      <c r="H85" s="6">
        <v>500</v>
      </c>
      <c r="I85" s="5" t="s">
        <v>518</v>
      </c>
      <c r="J85" s="6">
        <v>384</v>
      </c>
      <c r="K85" s="4">
        <v>0</v>
      </c>
      <c r="L85" s="7">
        <v>192000</v>
      </c>
      <c r="M85" s="11">
        <f t="shared" si="4"/>
        <v>21120</v>
      </c>
      <c r="N85" s="11">
        <f t="shared" si="3"/>
        <v>213120</v>
      </c>
      <c r="O85" s="2" t="s">
        <v>557</v>
      </c>
      <c r="P85" s="2" t="s">
        <v>605</v>
      </c>
    </row>
    <row r="86" spans="1:16" ht="20.399999999999999" x14ac:dyDescent="0.3">
      <c r="A86" s="2" t="s">
        <v>1</v>
      </c>
      <c r="B86" s="3">
        <v>46057.401469907403</v>
      </c>
      <c r="C86" s="2" t="s">
        <v>62</v>
      </c>
      <c r="D86" s="2" t="s">
        <v>126</v>
      </c>
      <c r="E86" s="4">
        <v>11</v>
      </c>
      <c r="F86" s="5" t="s">
        <v>248</v>
      </c>
      <c r="G86" s="2" t="s">
        <v>421</v>
      </c>
      <c r="H86" s="6">
        <v>500</v>
      </c>
      <c r="I86" s="5" t="s">
        <v>518</v>
      </c>
      <c r="J86" s="6">
        <v>891</v>
      </c>
      <c r="K86" s="4">
        <v>0</v>
      </c>
      <c r="L86" s="7">
        <v>445500</v>
      </c>
      <c r="M86" s="11">
        <f t="shared" si="4"/>
        <v>49005</v>
      </c>
      <c r="N86" s="11">
        <f t="shared" si="3"/>
        <v>494505</v>
      </c>
      <c r="O86" s="2" t="s">
        <v>557</v>
      </c>
      <c r="P86" s="2" t="s">
        <v>605</v>
      </c>
    </row>
    <row r="87" spans="1:16" ht="20.399999999999999" x14ac:dyDescent="0.3">
      <c r="A87" s="2" t="s">
        <v>1</v>
      </c>
      <c r="B87" s="3">
        <v>46057.401469907403</v>
      </c>
      <c r="C87" s="2" t="s">
        <v>62</v>
      </c>
      <c r="D87" s="2" t="s">
        <v>126</v>
      </c>
      <c r="E87" s="4">
        <v>12</v>
      </c>
      <c r="F87" s="5" t="s">
        <v>249</v>
      </c>
      <c r="G87" s="2" t="s">
        <v>422</v>
      </c>
      <c r="H87" s="6">
        <v>500</v>
      </c>
      <c r="I87" s="5" t="s">
        <v>518</v>
      </c>
      <c r="J87" s="6">
        <v>500</v>
      </c>
      <c r="K87" s="4">
        <v>0</v>
      </c>
      <c r="L87" s="7">
        <v>250000</v>
      </c>
      <c r="M87" s="11">
        <f t="shared" si="4"/>
        <v>27500</v>
      </c>
      <c r="N87" s="11">
        <f t="shared" si="3"/>
        <v>277500</v>
      </c>
      <c r="O87" s="2" t="s">
        <v>557</v>
      </c>
      <c r="P87" s="2" t="s">
        <v>605</v>
      </c>
    </row>
    <row r="88" spans="1:16" ht="20.399999999999999" x14ac:dyDescent="0.3">
      <c r="A88" s="2" t="s">
        <v>1</v>
      </c>
      <c r="B88" s="3">
        <v>46057.401469907403</v>
      </c>
      <c r="C88" s="2" t="s">
        <v>62</v>
      </c>
      <c r="D88" s="2" t="s">
        <v>126</v>
      </c>
      <c r="E88" s="4">
        <v>13</v>
      </c>
      <c r="F88" s="5" t="s">
        <v>250</v>
      </c>
      <c r="G88" s="2" t="s">
        <v>423</v>
      </c>
      <c r="H88" s="6">
        <v>500</v>
      </c>
      <c r="I88" s="5" t="s">
        <v>518</v>
      </c>
      <c r="J88" s="6">
        <v>1650</v>
      </c>
      <c r="K88" s="4">
        <v>0</v>
      </c>
      <c r="L88" s="7">
        <v>825000</v>
      </c>
      <c r="M88" s="11">
        <f t="shared" si="4"/>
        <v>90750</v>
      </c>
      <c r="N88" s="11">
        <f t="shared" si="3"/>
        <v>915750</v>
      </c>
      <c r="O88" s="2" t="s">
        <v>557</v>
      </c>
      <c r="P88" s="2" t="s">
        <v>605</v>
      </c>
    </row>
    <row r="89" spans="1:16" ht="20.399999999999999" x14ac:dyDescent="0.3">
      <c r="A89" s="2" t="s">
        <v>1</v>
      </c>
      <c r="B89" s="3">
        <v>46057.403414351902</v>
      </c>
      <c r="C89" s="2" t="s">
        <v>63</v>
      </c>
      <c r="D89" s="2" t="s">
        <v>127</v>
      </c>
      <c r="E89" s="4">
        <v>1</v>
      </c>
      <c r="F89" s="5" t="s">
        <v>251</v>
      </c>
      <c r="G89" s="2" t="s">
        <v>424</v>
      </c>
      <c r="H89" s="6">
        <v>3</v>
      </c>
      <c r="I89" s="5" t="s">
        <v>527</v>
      </c>
      <c r="J89" s="7">
        <v>103230</v>
      </c>
      <c r="K89" s="4">
        <v>0</v>
      </c>
      <c r="L89" s="7">
        <v>309690</v>
      </c>
      <c r="M89" s="11">
        <f t="shared" si="4"/>
        <v>34065.9</v>
      </c>
      <c r="N89" s="11">
        <f t="shared" si="3"/>
        <v>343755.9</v>
      </c>
      <c r="O89" s="2" t="s">
        <v>558</v>
      </c>
      <c r="P89" s="2" t="s">
        <v>606</v>
      </c>
    </row>
    <row r="90" spans="1:16" ht="30.6" x14ac:dyDescent="0.3">
      <c r="A90" s="2" t="s">
        <v>15</v>
      </c>
      <c r="B90" s="3">
        <v>46057.8508912037</v>
      </c>
      <c r="C90" s="2" t="s">
        <v>64</v>
      </c>
      <c r="D90" s="2" t="s">
        <v>128</v>
      </c>
      <c r="E90" s="4">
        <v>1</v>
      </c>
      <c r="F90" s="5" t="s">
        <v>252</v>
      </c>
      <c r="G90" s="2" t="s">
        <v>425</v>
      </c>
      <c r="H90" s="7">
        <v>1500</v>
      </c>
      <c r="I90" s="5" t="s">
        <v>518</v>
      </c>
      <c r="J90" s="6">
        <v>1000</v>
      </c>
      <c r="K90" s="4">
        <v>0</v>
      </c>
      <c r="L90" s="7">
        <v>1500000</v>
      </c>
      <c r="M90" s="11">
        <f t="shared" si="4"/>
        <v>165000</v>
      </c>
      <c r="N90" s="11">
        <f t="shared" si="3"/>
        <v>1665000</v>
      </c>
      <c r="O90" s="5"/>
      <c r="P90" s="2" t="s">
        <v>607</v>
      </c>
    </row>
    <row r="91" spans="1:16" ht="30.6" x14ac:dyDescent="0.3">
      <c r="A91" s="2" t="s">
        <v>15</v>
      </c>
      <c r="B91" s="3">
        <v>46057.8508912037</v>
      </c>
      <c r="C91" s="2" t="s">
        <v>64</v>
      </c>
      <c r="D91" s="2" t="s">
        <v>128</v>
      </c>
      <c r="E91" s="4">
        <v>2</v>
      </c>
      <c r="F91" s="5" t="s">
        <v>253</v>
      </c>
      <c r="G91" s="2" t="s">
        <v>426</v>
      </c>
      <c r="H91" s="6">
        <v>500</v>
      </c>
      <c r="I91" s="5" t="s">
        <v>518</v>
      </c>
      <c r="J91" s="6">
        <v>1150</v>
      </c>
      <c r="K91" s="4">
        <v>0</v>
      </c>
      <c r="L91" s="7">
        <v>575000</v>
      </c>
      <c r="M91" s="11">
        <f t="shared" si="4"/>
        <v>63250</v>
      </c>
      <c r="N91" s="11">
        <f t="shared" si="3"/>
        <v>638250</v>
      </c>
      <c r="O91" s="5"/>
      <c r="P91" s="2" t="s">
        <v>607</v>
      </c>
    </row>
    <row r="92" spans="1:16" ht="30.6" x14ac:dyDescent="0.3">
      <c r="A92" s="2" t="s">
        <v>15</v>
      </c>
      <c r="B92" s="3">
        <v>46057.8508912037</v>
      </c>
      <c r="C92" s="2" t="s">
        <v>64</v>
      </c>
      <c r="D92" s="2" t="s">
        <v>128</v>
      </c>
      <c r="E92" s="4">
        <v>3</v>
      </c>
      <c r="F92" s="5" t="s">
        <v>254</v>
      </c>
      <c r="G92" s="2" t="s">
        <v>427</v>
      </c>
      <c r="H92" s="7">
        <v>1000</v>
      </c>
      <c r="I92" s="5" t="s">
        <v>518</v>
      </c>
      <c r="J92" s="6">
        <v>1260</v>
      </c>
      <c r="K92" s="4">
        <v>0</v>
      </c>
      <c r="L92" s="7">
        <v>1260000</v>
      </c>
      <c r="M92" s="11">
        <f t="shared" si="4"/>
        <v>138600</v>
      </c>
      <c r="N92" s="11">
        <f t="shared" si="3"/>
        <v>1398600</v>
      </c>
      <c r="O92" s="5"/>
      <c r="P92" s="2" t="s">
        <v>607</v>
      </c>
    </row>
    <row r="93" spans="1:16" ht="30.6" x14ac:dyDescent="0.3">
      <c r="A93" s="2" t="s">
        <v>15</v>
      </c>
      <c r="B93" s="3">
        <v>46057.8508912037</v>
      </c>
      <c r="C93" s="2" t="s">
        <v>64</v>
      </c>
      <c r="D93" s="2" t="s">
        <v>128</v>
      </c>
      <c r="E93" s="4">
        <v>4</v>
      </c>
      <c r="F93" s="5" t="s">
        <v>255</v>
      </c>
      <c r="G93" s="2" t="s">
        <v>428</v>
      </c>
      <c r="H93" s="7">
        <v>2000</v>
      </c>
      <c r="I93" s="5" t="s">
        <v>518</v>
      </c>
      <c r="J93" s="6">
        <v>1350</v>
      </c>
      <c r="K93" s="4">
        <v>0</v>
      </c>
      <c r="L93" s="7">
        <v>2700000</v>
      </c>
      <c r="M93" s="11">
        <f t="shared" si="4"/>
        <v>297000</v>
      </c>
      <c r="N93" s="11">
        <f t="shared" si="3"/>
        <v>2997000</v>
      </c>
      <c r="O93" s="5"/>
      <c r="P93" s="2" t="s">
        <v>607</v>
      </c>
    </row>
    <row r="94" spans="1:16" ht="20.399999999999999" x14ac:dyDescent="0.3">
      <c r="A94" s="2" t="s">
        <v>16</v>
      </c>
      <c r="B94" s="3">
        <v>46057.876203703701</v>
      </c>
      <c r="C94" s="2" t="s">
        <v>65</v>
      </c>
      <c r="D94" s="2" t="s">
        <v>129</v>
      </c>
      <c r="E94" s="4">
        <v>1</v>
      </c>
      <c r="F94" s="5" t="s">
        <v>256</v>
      </c>
      <c r="G94" s="2" t="s">
        <v>429</v>
      </c>
      <c r="H94" s="7">
        <v>3500</v>
      </c>
      <c r="I94" s="5" t="s">
        <v>518</v>
      </c>
      <c r="J94" s="6">
        <v>900</v>
      </c>
      <c r="K94" s="4">
        <v>0</v>
      </c>
      <c r="L94" s="7">
        <v>3150000</v>
      </c>
      <c r="M94" s="11">
        <f t="shared" si="4"/>
        <v>346500</v>
      </c>
      <c r="N94" s="11">
        <f t="shared" si="3"/>
        <v>3496500</v>
      </c>
      <c r="O94" s="5"/>
      <c r="P94" s="2" t="s">
        <v>608</v>
      </c>
    </row>
    <row r="95" spans="1:16" ht="20.399999999999999" x14ac:dyDescent="0.3">
      <c r="A95" s="2" t="s">
        <v>17</v>
      </c>
      <c r="B95" s="3">
        <v>46057.876967592601</v>
      </c>
      <c r="C95" s="2" t="s">
        <v>66</v>
      </c>
      <c r="D95" s="2" t="s">
        <v>130</v>
      </c>
      <c r="E95" s="4">
        <v>1</v>
      </c>
      <c r="F95" s="5" t="s">
        <v>257</v>
      </c>
      <c r="G95" s="2" t="s">
        <v>430</v>
      </c>
      <c r="H95" s="6">
        <v>740</v>
      </c>
      <c r="I95" s="5" t="s">
        <v>518</v>
      </c>
      <c r="J95" s="6">
        <v>5600</v>
      </c>
      <c r="K95" s="4">
        <v>0</v>
      </c>
      <c r="L95" s="7">
        <v>4144000</v>
      </c>
      <c r="M95" s="11">
        <f t="shared" si="4"/>
        <v>455840</v>
      </c>
      <c r="N95" s="11">
        <f t="shared" si="3"/>
        <v>4599840</v>
      </c>
      <c r="O95" s="5"/>
      <c r="P95" s="2" t="s">
        <v>609</v>
      </c>
    </row>
    <row r="96" spans="1:16" ht="20.399999999999999" x14ac:dyDescent="0.3">
      <c r="A96" s="2" t="s">
        <v>18</v>
      </c>
      <c r="B96" s="3">
        <v>46057.880868055603</v>
      </c>
      <c r="C96" s="2" t="s">
        <v>67</v>
      </c>
      <c r="D96" s="2" t="s">
        <v>131</v>
      </c>
      <c r="E96" s="4">
        <v>1</v>
      </c>
      <c r="F96" s="5" t="s">
        <v>258</v>
      </c>
      <c r="G96" s="2" t="s">
        <v>431</v>
      </c>
      <c r="H96" s="6">
        <v>100</v>
      </c>
      <c r="I96" s="5" t="s">
        <v>518</v>
      </c>
      <c r="J96" s="7">
        <v>15766</v>
      </c>
      <c r="K96" s="4">
        <v>0</v>
      </c>
      <c r="L96" s="7">
        <v>1576600</v>
      </c>
      <c r="M96" s="11">
        <f t="shared" si="4"/>
        <v>173426</v>
      </c>
      <c r="N96" s="11">
        <f t="shared" si="3"/>
        <v>1750026</v>
      </c>
      <c r="O96" s="5"/>
      <c r="P96" s="2" t="s">
        <v>610</v>
      </c>
    </row>
    <row r="97" spans="1:16" ht="20.399999999999999" x14ac:dyDescent="0.3">
      <c r="A97" s="2" t="s">
        <v>18</v>
      </c>
      <c r="B97" s="3">
        <v>46057.880868055603</v>
      </c>
      <c r="C97" s="2" t="s">
        <v>67</v>
      </c>
      <c r="D97" s="2" t="s">
        <v>131</v>
      </c>
      <c r="E97" s="4">
        <v>2</v>
      </c>
      <c r="F97" s="5" t="s">
        <v>259</v>
      </c>
      <c r="G97" s="2" t="s">
        <v>432</v>
      </c>
      <c r="H97" s="6">
        <v>100</v>
      </c>
      <c r="I97" s="5" t="s">
        <v>518</v>
      </c>
      <c r="J97" s="7">
        <v>34900</v>
      </c>
      <c r="K97" s="4">
        <v>0</v>
      </c>
      <c r="L97" s="7">
        <v>3490000</v>
      </c>
      <c r="M97" s="11">
        <f t="shared" si="4"/>
        <v>383900</v>
      </c>
      <c r="N97" s="11">
        <f t="shared" si="3"/>
        <v>3873900</v>
      </c>
      <c r="O97" s="5"/>
      <c r="P97" s="2" t="s">
        <v>610</v>
      </c>
    </row>
    <row r="98" spans="1:16" ht="20.399999999999999" x14ac:dyDescent="0.3">
      <c r="A98" s="2" t="s">
        <v>18</v>
      </c>
      <c r="B98" s="3">
        <v>46057.880868055603</v>
      </c>
      <c r="C98" s="2" t="s">
        <v>67</v>
      </c>
      <c r="D98" s="2" t="s">
        <v>131</v>
      </c>
      <c r="E98" s="4">
        <v>3</v>
      </c>
      <c r="F98" s="5" t="s">
        <v>260</v>
      </c>
      <c r="G98" s="2" t="s">
        <v>433</v>
      </c>
      <c r="H98" s="6">
        <v>75</v>
      </c>
      <c r="I98" s="5" t="s">
        <v>518</v>
      </c>
      <c r="J98" s="7">
        <v>27160</v>
      </c>
      <c r="K98" s="4">
        <v>0</v>
      </c>
      <c r="L98" s="7">
        <v>2037000</v>
      </c>
      <c r="M98" s="11">
        <f t="shared" si="4"/>
        <v>224070</v>
      </c>
      <c r="N98" s="11">
        <f t="shared" si="3"/>
        <v>2261070</v>
      </c>
      <c r="O98" s="5"/>
      <c r="P98" s="2" t="s">
        <v>610</v>
      </c>
    </row>
    <row r="99" spans="1:16" ht="20.399999999999999" x14ac:dyDescent="0.3">
      <c r="A99" s="2" t="s">
        <v>19</v>
      </c>
      <c r="B99" s="3">
        <v>46057.885983796303</v>
      </c>
      <c r="C99" s="2" t="s">
        <v>68</v>
      </c>
      <c r="D99" s="2" t="s">
        <v>132</v>
      </c>
      <c r="E99" s="4">
        <v>1</v>
      </c>
      <c r="F99" s="5" t="s">
        <v>261</v>
      </c>
      <c r="G99" s="2" t="s">
        <v>434</v>
      </c>
      <c r="H99" s="6">
        <v>100</v>
      </c>
      <c r="I99" s="5" t="s">
        <v>518</v>
      </c>
      <c r="J99" s="7">
        <v>15996</v>
      </c>
      <c r="K99" s="4">
        <v>0</v>
      </c>
      <c r="L99" s="7">
        <v>1599600</v>
      </c>
      <c r="M99" s="11">
        <f t="shared" si="4"/>
        <v>175956</v>
      </c>
      <c r="N99" s="11">
        <f t="shared" si="3"/>
        <v>1775556</v>
      </c>
      <c r="O99" s="5"/>
      <c r="P99" s="2" t="s">
        <v>611</v>
      </c>
    </row>
    <row r="100" spans="1:16" ht="20.399999999999999" x14ac:dyDescent="0.3">
      <c r="A100" s="2" t="s">
        <v>19</v>
      </c>
      <c r="B100" s="3">
        <v>46057.885983796303</v>
      </c>
      <c r="C100" s="2" t="s">
        <v>68</v>
      </c>
      <c r="D100" s="2" t="s">
        <v>132</v>
      </c>
      <c r="E100" s="4">
        <v>2</v>
      </c>
      <c r="F100" s="5" t="s">
        <v>262</v>
      </c>
      <c r="G100" s="2" t="s">
        <v>435</v>
      </c>
      <c r="H100" s="6">
        <v>50</v>
      </c>
      <c r="I100" s="5" t="s">
        <v>518</v>
      </c>
      <c r="J100" s="7">
        <v>16926</v>
      </c>
      <c r="K100" s="4">
        <v>0</v>
      </c>
      <c r="L100" s="7">
        <v>846300</v>
      </c>
      <c r="M100" s="11">
        <f t="shared" si="4"/>
        <v>93093</v>
      </c>
      <c r="N100" s="11">
        <f t="shared" si="3"/>
        <v>939393</v>
      </c>
      <c r="O100" s="5"/>
      <c r="P100" s="2" t="s">
        <v>611</v>
      </c>
    </row>
    <row r="101" spans="1:16" ht="20.399999999999999" x14ac:dyDescent="0.3">
      <c r="A101" s="2" t="s">
        <v>19</v>
      </c>
      <c r="B101" s="3">
        <v>46057.885983796303</v>
      </c>
      <c r="C101" s="2" t="s">
        <v>68</v>
      </c>
      <c r="D101" s="2" t="s">
        <v>132</v>
      </c>
      <c r="E101" s="4">
        <v>3</v>
      </c>
      <c r="F101" s="5" t="s">
        <v>263</v>
      </c>
      <c r="G101" s="2" t="s">
        <v>436</v>
      </c>
      <c r="H101" s="6">
        <v>50</v>
      </c>
      <c r="I101" s="5" t="s">
        <v>518</v>
      </c>
      <c r="J101" s="7">
        <v>14415</v>
      </c>
      <c r="K101" s="4">
        <v>0</v>
      </c>
      <c r="L101" s="7">
        <v>720750</v>
      </c>
      <c r="M101" s="11">
        <f t="shared" si="4"/>
        <v>79282.5</v>
      </c>
      <c r="N101" s="11">
        <f t="shared" si="3"/>
        <v>800032.5</v>
      </c>
      <c r="O101" s="5"/>
      <c r="P101" s="2" t="s">
        <v>611</v>
      </c>
    </row>
    <row r="102" spans="1:16" ht="20.399999999999999" x14ac:dyDescent="0.3">
      <c r="A102" s="2" t="s">
        <v>19</v>
      </c>
      <c r="B102" s="3">
        <v>46057.885983796303</v>
      </c>
      <c r="C102" s="2" t="s">
        <v>68</v>
      </c>
      <c r="D102" s="2" t="s">
        <v>132</v>
      </c>
      <c r="E102" s="4">
        <v>4</v>
      </c>
      <c r="F102" s="5" t="s">
        <v>264</v>
      </c>
      <c r="G102" s="2" t="s">
        <v>437</v>
      </c>
      <c r="H102" s="6">
        <v>100</v>
      </c>
      <c r="I102" s="5" t="s">
        <v>518</v>
      </c>
      <c r="J102" s="7">
        <v>13485</v>
      </c>
      <c r="K102" s="4">
        <v>0</v>
      </c>
      <c r="L102" s="7">
        <v>1348500</v>
      </c>
      <c r="M102" s="11">
        <f t="shared" si="4"/>
        <v>148335</v>
      </c>
      <c r="N102" s="11">
        <f t="shared" si="3"/>
        <v>1496835</v>
      </c>
      <c r="O102" s="5"/>
      <c r="P102" s="2" t="s">
        <v>611</v>
      </c>
    </row>
    <row r="103" spans="1:16" ht="20.399999999999999" x14ac:dyDescent="0.3">
      <c r="A103" s="2" t="s">
        <v>1</v>
      </c>
      <c r="B103" s="3">
        <v>46058.374421296299</v>
      </c>
      <c r="C103" s="2" t="s">
        <v>62</v>
      </c>
      <c r="D103" s="2" t="s">
        <v>133</v>
      </c>
      <c r="E103" s="4">
        <v>1</v>
      </c>
      <c r="F103" s="5" t="s">
        <v>245</v>
      </c>
      <c r="G103" s="2" t="s">
        <v>418</v>
      </c>
      <c r="H103" s="6">
        <v>200</v>
      </c>
      <c r="I103" s="5" t="s">
        <v>518</v>
      </c>
      <c r="J103" s="6">
        <v>6500</v>
      </c>
      <c r="K103" s="4">
        <v>0</v>
      </c>
      <c r="L103" s="7">
        <v>1300000</v>
      </c>
      <c r="M103" s="11">
        <f t="shared" si="4"/>
        <v>143000</v>
      </c>
      <c r="N103" s="11">
        <f t="shared" si="3"/>
        <v>1443000</v>
      </c>
      <c r="O103" s="2" t="s">
        <v>559</v>
      </c>
      <c r="P103" s="2" t="s">
        <v>612</v>
      </c>
    </row>
    <row r="104" spans="1:16" ht="20.399999999999999" x14ac:dyDescent="0.3">
      <c r="A104" s="2" t="s">
        <v>3</v>
      </c>
      <c r="B104" s="3">
        <v>46058.382604166698</v>
      </c>
      <c r="C104" s="2" t="s">
        <v>69</v>
      </c>
      <c r="D104" s="2" t="s">
        <v>134</v>
      </c>
      <c r="E104" s="4">
        <v>1</v>
      </c>
      <c r="F104" s="5" t="s">
        <v>265</v>
      </c>
      <c r="G104" s="2" t="s">
        <v>438</v>
      </c>
      <c r="H104" s="6">
        <v>8</v>
      </c>
      <c r="I104" s="5" t="s">
        <v>518</v>
      </c>
      <c r="J104" s="7">
        <v>217500</v>
      </c>
      <c r="K104" s="4">
        <v>0</v>
      </c>
      <c r="L104" s="7">
        <v>1740000</v>
      </c>
      <c r="M104" s="11">
        <f t="shared" si="4"/>
        <v>191400</v>
      </c>
      <c r="N104" s="11">
        <f t="shared" si="3"/>
        <v>1931400</v>
      </c>
      <c r="O104" s="2" t="s">
        <v>560</v>
      </c>
      <c r="P104" s="2" t="s">
        <v>613</v>
      </c>
    </row>
    <row r="105" spans="1:16" ht="30.6" x14ac:dyDescent="0.3">
      <c r="A105" s="2" t="s">
        <v>1</v>
      </c>
      <c r="B105" s="3">
        <v>46058.411122685196</v>
      </c>
      <c r="C105" s="2" t="s">
        <v>30</v>
      </c>
      <c r="D105" s="2" t="s">
        <v>135</v>
      </c>
      <c r="E105" s="4">
        <v>1</v>
      </c>
      <c r="F105" s="5" t="s">
        <v>266</v>
      </c>
      <c r="G105" s="2" t="s">
        <v>439</v>
      </c>
      <c r="H105" s="7">
        <v>1000</v>
      </c>
      <c r="I105" s="5" t="s">
        <v>517</v>
      </c>
      <c r="J105" s="6">
        <v>1465</v>
      </c>
      <c r="K105" s="4">
        <v>0</v>
      </c>
      <c r="L105" s="7">
        <v>1465000</v>
      </c>
      <c r="M105" s="11">
        <f t="shared" si="4"/>
        <v>161150</v>
      </c>
      <c r="N105" s="11">
        <f t="shared" si="3"/>
        <v>1626150</v>
      </c>
      <c r="O105" s="2" t="s">
        <v>561</v>
      </c>
      <c r="P105" s="2" t="s">
        <v>614</v>
      </c>
    </row>
    <row r="106" spans="1:16" ht="30.6" x14ac:dyDescent="0.3">
      <c r="A106" s="2" t="s">
        <v>1</v>
      </c>
      <c r="B106" s="3">
        <v>46058.411122685196</v>
      </c>
      <c r="C106" s="2" t="s">
        <v>30</v>
      </c>
      <c r="D106" s="2" t="s">
        <v>135</v>
      </c>
      <c r="E106" s="4">
        <v>2</v>
      </c>
      <c r="F106" s="5" t="s">
        <v>267</v>
      </c>
      <c r="G106" s="2" t="s">
        <v>440</v>
      </c>
      <c r="H106" s="7">
        <v>1000</v>
      </c>
      <c r="I106" s="5" t="s">
        <v>517</v>
      </c>
      <c r="J106" s="6">
        <v>1465</v>
      </c>
      <c r="K106" s="4">
        <v>0</v>
      </c>
      <c r="L106" s="7">
        <v>1465000</v>
      </c>
      <c r="M106" s="11">
        <f t="shared" si="4"/>
        <v>161150</v>
      </c>
      <c r="N106" s="11">
        <f t="shared" si="3"/>
        <v>1626150</v>
      </c>
      <c r="O106" s="2" t="s">
        <v>561</v>
      </c>
      <c r="P106" s="2" t="s">
        <v>614</v>
      </c>
    </row>
    <row r="107" spans="1:16" ht="30.6" x14ac:dyDescent="0.3">
      <c r="A107" s="2" t="s">
        <v>1</v>
      </c>
      <c r="B107" s="3">
        <v>46058.411122685196</v>
      </c>
      <c r="C107" s="2" t="s">
        <v>30</v>
      </c>
      <c r="D107" s="2" t="s">
        <v>135</v>
      </c>
      <c r="E107" s="4">
        <v>3</v>
      </c>
      <c r="F107" s="5" t="s">
        <v>268</v>
      </c>
      <c r="G107" s="2" t="s">
        <v>441</v>
      </c>
      <c r="H107" s="6">
        <v>100</v>
      </c>
      <c r="I107" s="5" t="s">
        <v>517</v>
      </c>
      <c r="J107" s="7">
        <v>14260</v>
      </c>
      <c r="K107" s="4">
        <v>0</v>
      </c>
      <c r="L107" s="7">
        <v>1426000</v>
      </c>
      <c r="M107" s="11">
        <f t="shared" si="4"/>
        <v>156860</v>
      </c>
      <c r="N107" s="11">
        <f t="shared" si="3"/>
        <v>1582860</v>
      </c>
      <c r="O107" s="2" t="s">
        <v>561</v>
      </c>
      <c r="P107" s="2" t="s">
        <v>614</v>
      </c>
    </row>
    <row r="108" spans="1:16" ht="30.6" x14ac:dyDescent="0.3">
      <c r="A108" s="2" t="s">
        <v>1</v>
      </c>
      <c r="B108" s="3">
        <v>46058.411122685196</v>
      </c>
      <c r="C108" s="2" t="s">
        <v>30</v>
      </c>
      <c r="D108" s="2" t="s">
        <v>135</v>
      </c>
      <c r="E108" s="4">
        <v>4</v>
      </c>
      <c r="F108" s="5" t="s">
        <v>173</v>
      </c>
      <c r="G108" s="2" t="s">
        <v>346</v>
      </c>
      <c r="H108" s="6">
        <v>35</v>
      </c>
      <c r="I108" s="5" t="s">
        <v>518</v>
      </c>
      <c r="J108" s="7">
        <v>214600</v>
      </c>
      <c r="K108" s="4">
        <v>0</v>
      </c>
      <c r="L108" s="7">
        <v>7511000</v>
      </c>
      <c r="M108" s="11">
        <f t="shared" si="4"/>
        <v>826210</v>
      </c>
      <c r="N108" s="11">
        <f t="shared" si="3"/>
        <v>8337210</v>
      </c>
      <c r="O108" s="2" t="s">
        <v>561</v>
      </c>
      <c r="P108" s="2" t="s">
        <v>614</v>
      </c>
    </row>
    <row r="109" spans="1:16" ht="20.399999999999999" x14ac:dyDescent="0.3">
      <c r="A109" s="2" t="s">
        <v>20</v>
      </c>
      <c r="B109" s="3">
        <v>46058.42</v>
      </c>
      <c r="C109" s="2" t="s">
        <v>70</v>
      </c>
      <c r="D109" s="2" t="s">
        <v>136</v>
      </c>
      <c r="E109" s="4">
        <v>1</v>
      </c>
      <c r="F109" s="5" t="s">
        <v>269</v>
      </c>
      <c r="G109" s="2" t="s">
        <v>442</v>
      </c>
      <c r="H109" s="6">
        <v>750</v>
      </c>
      <c r="I109" s="5" t="s">
        <v>523</v>
      </c>
      <c r="J109" s="6">
        <v>5900</v>
      </c>
      <c r="K109" s="4">
        <v>0</v>
      </c>
      <c r="L109" s="7">
        <v>4425000</v>
      </c>
      <c r="M109" s="11">
        <f t="shared" si="4"/>
        <v>486750</v>
      </c>
      <c r="N109" s="11">
        <f t="shared" si="3"/>
        <v>4911750</v>
      </c>
      <c r="O109" s="2" t="s">
        <v>562</v>
      </c>
      <c r="P109" s="2" t="s">
        <v>615</v>
      </c>
    </row>
    <row r="110" spans="1:16" ht="30.6" x14ac:dyDescent="0.3">
      <c r="A110" s="2" t="s">
        <v>7</v>
      </c>
      <c r="B110" s="3">
        <v>46058.494664351798</v>
      </c>
      <c r="C110" s="2" t="s">
        <v>39</v>
      </c>
      <c r="D110" s="2" t="s">
        <v>137</v>
      </c>
      <c r="E110" s="4">
        <v>1</v>
      </c>
      <c r="F110" s="5" t="s">
        <v>188</v>
      </c>
      <c r="G110" s="2" t="s">
        <v>361</v>
      </c>
      <c r="H110" s="6">
        <v>50</v>
      </c>
      <c r="I110" s="5" t="s">
        <v>518</v>
      </c>
      <c r="J110" s="6">
        <v>7236</v>
      </c>
      <c r="K110" s="4">
        <v>0</v>
      </c>
      <c r="L110" s="7">
        <v>361800</v>
      </c>
      <c r="M110" s="12">
        <v>0</v>
      </c>
      <c r="N110" s="11">
        <f t="shared" si="3"/>
        <v>361800</v>
      </c>
      <c r="O110" s="5"/>
      <c r="P110" s="2" t="s">
        <v>616</v>
      </c>
    </row>
    <row r="111" spans="1:16" ht="30.6" x14ac:dyDescent="0.3">
      <c r="A111" s="2" t="s">
        <v>7</v>
      </c>
      <c r="B111" s="3">
        <v>46058.494664351798</v>
      </c>
      <c r="C111" s="2" t="s">
        <v>39</v>
      </c>
      <c r="D111" s="2" t="s">
        <v>137</v>
      </c>
      <c r="E111" s="4">
        <v>2</v>
      </c>
      <c r="F111" s="5" t="s">
        <v>190</v>
      </c>
      <c r="G111" s="2" t="s">
        <v>363</v>
      </c>
      <c r="H111" s="7">
        <v>1500</v>
      </c>
      <c r="I111" s="5" t="s">
        <v>518</v>
      </c>
      <c r="J111" s="6">
        <v>1294</v>
      </c>
      <c r="K111" s="4">
        <v>0</v>
      </c>
      <c r="L111" s="7">
        <v>1941000</v>
      </c>
      <c r="M111" s="12">
        <v>0</v>
      </c>
      <c r="N111" s="11">
        <f t="shared" si="3"/>
        <v>1941000</v>
      </c>
      <c r="O111" s="5"/>
      <c r="P111" s="2" t="s">
        <v>616</v>
      </c>
    </row>
    <row r="112" spans="1:16" ht="30.6" x14ac:dyDescent="0.3">
      <c r="A112" s="2" t="s">
        <v>7</v>
      </c>
      <c r="B112" s="3">
        <v>46058.494664351798</v>
      </c>
      <c r="C112" s="2" t="s">
        <v>39</v>
      </c>
      <c r="D112" s="2" t="s">
        <v>137</v>
      </c>
      <c r="E112" s="4">
        <v>3</v>
      </c>
      <c r="F112" s="5" t="s">
        <v>270</v>
      </c>
      <c r="G112" s="2" t="s">
        <v>443</v>
      </c>
      <c r="H112" s="7">
        <v>1000</v>
      </c>
      <c r="I112" s="5" t="s">
        <v>518</v>
      </c>
      <c r="J112" s="6">
        <v>2279</v>
      </c>
      <c r="K112" s="4">
        <v>0</v>
      </c>
      <c r="L112" s="7">
        <v>2279000</v>
      </c>
      <c r="M112" s="12">
        <v>0</v>
      </c>
      <c r="N112" s="11">
        <f t="shared" si="3"/>
        <v>2279000</v>
      </c>
      <c r="O112" s="5"/>
      <c r="P112" s="2" t="s">
        <v>616</v>
      </c>
    </row>
    <row r="113" spans="1:16" ht="30.6" x14ac:dyDescent="0.3">
      <c r="A113" s="2" t="s">
        <v>7</v>
      </c>
      <c r="B113" s="3">
        <v>46058.494664351798</v>
      </c>
      <c r="C113" s="2" t="s">
        <v>39</v>
      </c>
      <c r="D113" s="2" t="s">
        <v>137</v>
      </c>
      <c r="E113" s="4">
        <v>4</v>
      </c>
      <c r="F113" s="5" t="s">
        <v>197</v>
      </c>
      <c r="G113" s="2" t="s">
        <v>370</v>
      </c>
      <c r="H113" s="6">
        <v>400</v>
      </c>
      <c r="I113" s="5" t="s">
        <v>518</v>
      </c>
      <c r="J113" s="6">
        <v>3977</v>
      </c>
      <c r="K113" s="4">
        <v>0</v>
      </c>
      <c r="L113" s="7">
        <v>1590800</v>
      </c>
      <c r="M113" s="12">
        <v>0</v>
      </c>
      <c r="N113" s="11">
        <f t="shared" si="3"/>
        <v>1590800</v>
      </c>
      <c r="O113" s="5"/>
      <c r="P113" s="2" t="s">
        <v>616</v>
      </c>
    </row>
    <row r="114" spans="1:16" ht="30.6" x14ac:dyDescent="0.3">
      <c r="A114" s="2" t="s">
        <v>7</v>
      </c>
      <c r="B114" s="3">
        <v>46058.586180555598</v>
      </c>
      <c r="C114" s="2" t="s">
        <v>39</v>
      </c>
      <c r="D114" s="2" t="s">
        <v>138</v>
      </c>
      <c r="E114" s="4">
        <v>1</v>
      </c>
      <c r="F114" s="5" t="s">
        <v>271</v>
      </c>
      <c r="G114" s="2" t="s">
        <v>444</v>
      </c>
      <c r="H114" s="6">
        <v>200</v>
      </c>
      <c r="I114" s="5" t="s">
        <v>518</v>
      </c>
      <c r="J114" s="6">
        <v>4932</v>
      </c>
      <c r="K114" s="4">
        <v>0</v>
      </c>
      <c r="L114" s="7">
        <v>986400</v>
      </c>
      <c r="M114" s="12">
        <v>0</v>
      </c>
      <c r="N114" s="11">
        <f t="shared" si="3"/>
        <v>986400</v>
      </c>
      <c r="O114" s="5"/>
      <c r="P114" s="2" t="s">
        <v>617</v>
      </c>
    </row>
    <row r="115" spans="1:16" ht="30.6" x14ac:dyDescent="0.3">
      <c r="A115" s="2" t="s">
        <v>7</v>
      </c>
      <c r="B115" s="3">
        <v>46058.586180555598</v>
      </c>
      <c r="C115" s="2" t="s">
        <v>39</v>
      </c>
      <c r="D115" s="2" t="s">
        <v>138</v>
      </c>
      <c r="E115" s="4">
        <v>2</v>
      </c>
      <c r="F115" s="5" t="s">
        <v>272</v>
      </c>
      <c r="G115" s="2" t="s">
        <v>445</v>
      </c>
      <c r="H115" s="6">
        <v>23</v>
      </c>
      <c r="I115" s="5" t="s">
        <v>523</v>
      </c>
      <c r="J115" s="7">
        <v>199000</v>
      </c>
      <c r="K115" s="4">
        <v>0</v>
      </c>
      <c r="L115" s="7">
        <v>4577000</v>
      </c>
      <c r="M115" s="12">
        <v>0</v>
      </c>
      <c r="N115" s="11">
        <f t="shared" si="3"/>
        <v>4577000</v>
      </c>
      <c r="O115" s="5"/>
      <c r="P115" s="2" t="s">
        <v>617</v>
      </c>
    </row>
    <row r="116" spans="1:16" ht="30.6" x14ac:dyDescent="0.3">
      <c r="A116" s="2" t="s">
        <v>7</v>
      </c>
      <c r="B116" s="3">
        <v>46058.586180555598</v>
      </c>
      <c r="C116" s="2" t="s">
        <v>39</v>
      </c>
      <c r="D116" s="2" t="s">
        <v>138</v>
      </c>
      <c r="E116" s="4">
        <v>3</v>
      </c>
      <c r="F116" s="5" t="s">
        <v>273</v>
      </c>
      <c r="G116" s="2" t="s">
        <v>446</v>
      </c>
      <c r="H116" s="7">
        <v>1000</v>
      </c>
      <c r="I116" s="5" t="s">
        <v>518</v>
      </c>
      <c r="J116" s="6">
        <v>2264</v>
      </c>
      <c r="K116" s="4">
        <v>0</v>
      </c>
      <c r="L116" s="7">
        <v>2264000</v>
      </c>
      <c r="M116" s="12">
        <v>0</v>
      </c>
      <c r="N116" s="11">
        <f t="shared" si="3"/>
        <v>2264000</v>
      </c>
      <c r="O116" s="5"/>
      <c r="P116" s="2" t="s">
        <v>617</v>
      </c>
    </row>
    <row r="117" spans="1:16" ht="30.6" x14ac:dyDescent="0.3">
      <c r="A117" s="2" t="s">
        <v>7</v>
      </c>
      <c r="B117" s="3">
        <v>46058.586180555598</v>
      </c>
      <c r="C117" s="2" t="s">
        <v>39</v>
      </c>
      <c r="D117" s="2" t="s">
        <v>138</v>
      </c>
      <c r="E117" s="4">
        <v>4</v>
      </c>
      <c r="F117" s="5" t="s">
        <v>274</v>
      </c>
      <c r="G117" s="2" t="s">
        <v>447</v>
      </c>
      <c r="H117" s="6">
        <v>300</v>
      </c>
      <c r="I117" s="5" t="s">
        <v>518</v>
      </c>
      <c r="J117" s="6">
        <v>3185</v>
      </c>
      <c r="K117" s="4">
        <v>0</v>
      </c>
      <c r="L117" s="7">
        <v>955500</v>
      </c>
      <c r="M117" s="12">
        <v>0</v>
      </c>
      <c r="N117" s="11">
        <f t="shared" si="3"/>
        <v>955500</v>
      </c>
      <c r="O117" s="5"/>
      <c r="P117" s="2" t="s">
        <v>617</v>
      </c>
    </row>
    <row r="118" spans="1:16" ht="30.6" x14ac:dyDescent="0.3">
      <c r="A118" s="2" t="s">
        <v>7</v>
      </c>
      <c r="B118" s="3">
        <v>46058.586180555598</v>
      </c>
      <c r="C118" s="2" t="s">
        <v>39</v>
      </c>
      <c r="D118" s="2" t="s">
        <v>138</v>
      </c>
      <c r="E118" s="4">
        <v>5</v>
      </c>
      <c r="F118" s="5" t="s">
        <v>196</v>
      </c>
      <c r="G118" s="2" t="s">
        <v>369</v>
      </c>
      <c r="H118" s="7">
        <v>1050</v>
      </c>
      <c r="I118" s="5" t="s">
        <v>518</v>
      </c>
      <c r="J118" s="6">
        <v>2636</v>
      </c>
      <c r="K118" s="4">
        <v>0</v>
      </c>
      <c r="L118" s="7">
        <v>2767800</v>
      </c>
      <c r="M118" s="12">
        <v>0</v>
      </c>
      <c r="N118" s="11">
        <f t="shared" si="3"/>
        <v>2767800</v>
      </c>
      <c r="O118" s="5"/>
      <c r="P118" s="2" t="s">
        <v>617</v>
      </c>
    </row>
    <row r="119" spans="1:16" ht="30.6" x14ac:dyDescent="0.3">
      <c r="A119" s="2" t="s">
        <v>7</v>
      </c>
      <c r="B119" s="3">
        <v>46058.586180555598</v>
      </c>
      <c r="C119" s="2" t="s">
        <v>39</v>
      </c>
      <c r="D119" s="2" t="s">
        <v>138</v>
      </c>
      <c r="E119" s="4">
        <v>6</v>
      </c>
      <c r="F119" s="5" t="s">
        <v>275</v>
      </c>
      <c r="G119" s="2" t="s">
        <v>448</v>
      </c>
      <c r="H119" s="6">
        <v>500</v>
      </c>
      <c r="I119" s="5" t="s">
        <v>518</v>
      </c>
      <c r="J119" s="6">
        <v>5723</v>
      </c>
      <c r="K119" s="4">
        <v>0</v>
      </c>
      <c r="L119" s="7">
        <v>2861500</v>
      </c>
      <c r="M119" s="12">
        <v>0</v>
      </c>
      <c r="N119" s="11">
        <f t="shared" si="3"/>
        <v>2861500</v>
      </c>
      <c r="O119" s="5"/>
      <c r="P119" s="2" t="s">
        <v>617</v>
      </c>
    </row>
    <row r="120" spans="1:16" ht="30.6" x14ac:dyDescent="0.3">
      <c r="A120" s="2" t="s">
        <v>7</v>
      </c>
      <c r="B120" s="3">
        <v>46058.586180555598</v>
      </c>
      <c r="C120" s="2" t="s">
        <v>39</v>
      </c>
      <c r="D120" s="2" t="s">
        <v>138</v>
      </c>
      <c r="E120" s="4">
        <v>7</v>
      </c>
      <c r="F120" s="5" t="s">
        <v>276</v>
      </c>
      <c r="G120" s="2" t="s">
        <v>449</v>
      </c>
      <c r="H120" s="6">
        <v>460</v>
      </c>
      <c r="I120" s="5" t="s">
        <v>518</v>
      </c>
      <c r="J120" s="6">
        <v>950</v>
      </c>
      <c r="K120" s="4">
        <v>0</v>
      </c>
      <c r="L120" s="7">
        <v>437000</v>
      </c>
      <c r="M120" s="12">
        <v>0</v>
      </c>
      <c r="N120" s="11">
        <f t="shared" si="3"/>
        <v>437000</v>
      </c>
      <c r="O120" s="5"/>
      <c r="P120" s="2" t="s">
        <v>617</v>
      </c>
    </row>
    <row r="121" spans="1:16" ht="20.399999999999999" x14ac:dyDescent="0.3">
      <c r="A121" s="2" t="s">
        <v>13</v>
      </c>
      <c r="B121" s="3">
        <v>46058.602453703701</v>
      </c>
      <c r="C121" s="2" t="s">
        <v>46</v>
      </c>
      <c r="D121" s="2" t="s">
        <v>139</v>
      </c>
      <c r="E121" s="4">
        <v>1</v>
      </c>
      <c r="F121" s="5" t="s">
        <v>277</v>
      </c>
      <c r="G121" s="2" t="s">
        <v>450</v>
      </c>
      <c r="H121" s="6">
        <v>100</v>
      </c>
      <c r="I121" s="5" t="s">
        <v>526</v>
      </c>
      <c r="J121" s="6">
        <v>9400</v>
      </c>
      <c r="K121" s="4">
        <v>0</v>
      </c>
      <c r="L121" s="7">
        <v>940000</v>
      </c>
      <c r="M121" s="11">
        <f t="shared" ref="M121:M167" si="5">L121*11%</f>
        <v>103400</v>
      </c>
      <c r="N121" s="11">
        <f t="shared" si="3"/>
        <v>1043400</v>
      </c>
      <c r="O121" s="5"/>
      <c r="P121" s="2" t="s">
        <v>618</v>
      </c>
    </row>
    <row r="122" spans="1:16" ht="20.399999999999999" x14ac:dyDescent="0.3">
      <c r="A122" s="2" t="s">
        <v>13</v>
      </c>
      <c r="B122" s="3">
        <v>46058.607233796298</v>
      </c>
      <c r="C122" s="2" t="s">
        <v>50</v>
      </c>
      <c r="D122" s="2" t="s">
        <v>140</v>
      </c>
      <c r="E122" s="4">
        <v>1</v>
      </c>
      <c r="F122" s="5" t="s">
        <v>278</v>
      </c>
      <c r="G122" s="2" t="s">
        <v>451</v>
      </c>
      <c r="H122" s="6">
        <v>200</v>
      </c>
      <c r="I122" s="5" t="s">
        <v>526</v>
      </c>
      <c r="J122" s="6">
        <v>7980</v>
      </c>
      <c r="K122" s="4">
        <v>0</v>
      </c>
      <c r="L122" s="7">
        <v>1596000</v>
      </c>
      <c r="M122" s="11">
        <f t="shared" si="5"/>
        <v>175560</v>
      </c>
      <c r="N122" s="11">
        <f t="shared" si="3"/>
        <v>1771560</v>
      </c>
      <c r="O122" s="5"/>
      <c r="P122" s="2" t="s">
        <v>619</v>
      </c>
    </row>
    <row r="123" spans="1:16" ht="20.399999999999999" x14ac:dyDescent="0.3">
      <c r="A123" s="2" t="s">
        <v>13</v>
      </c>
      <c r="B123" s="3">
        <v>46058.608680555597</v>
      </c>
      <c r="C123" s="2" t="s">
        <v>71</v>
      </c>
      <c r="D123" s="2" t="s">
        <v>141</v>
      </c>
      <c r="E123" s="4">
        <v>1</v>
      </c>
      <c r="F123" s="5" t="s">
        <v>279</v>
      </c>
      <c r="G123" s="2" t="s">
        <v>452</v>
      </c>
      <c r="H123" s="6">
        <v>100</v>
      </c>
      <c r="I123" s="5" t="s">
        <v>526</v>
      </c>
      <c r="J123" s="6">
        <v>5320</v>
      </c>
      <c r="K123" s="4">
        <v>0</v>
      </c>
      <c r="L123" s="7">
        <v>532000</v>
      </c>
      <c r="M123" s="11">
        <f t="shared" si="5"/>
        <v>58520</v>
      </c>
      <c r="N123" s="11">
        <f t="shared" si="3"/>
        <v>590520</v>
      </c>
      <c r="O123" s="5"/>
      <c r="P123" s="2" t="s">
        <v>620</v>
      </c>
    </row>
    <row r="124" spans="1:16" ht="20.399999999999999" x14ac:dyDescent="0.3">
      <c r="A124" s="2" t="s">
        <v>21</v>
      </c>
      <c r="B124" s="3">
        <v>46058.847430555601</v>
      </c>
      <c r="C124" s="2" t="s">
        <v>72</v>
      </c>
      <c r="D124" s="2" t="s">
        <v>142</v>
      </c>
      <c r="E124" s="4">
        <v>1</v>
      </c>
      <c r="F124" s="5" t="s">
        <v>280</v>
      </c>
      <c r="G124" s="2" t="s">
        <v>453</v>
      </c>
      <c r="H124" s="6">
        <v>5</v>
      </c>
      <c r="I124" s="5" t="s">
        <v>518</v>
      </c>
      <c r="J124" s="7">
        <v>29500</v>
      </c>
      <c r="K124" s="4">
        <v>0</v>
      </c>
      <c r="L124" s="7">
        <v>147500</v>
      </c>
      <c r="M124" s="11">
        <f t="shared" si="5"/>
        <v>16225</v>
      </c>
      <c r="N124" s="11">
        <f t="shared" si="3"/>
        <v>163725</v>
      </c>
      <c r="O124" s="5"/>
      <c r="P124" s="2" t="s">
        <v>621</v>
      </c>
    </row>
    <row r="125" spans="1:16" ht="20.399999999999999" x14ac:dyDescent="0.3">
      <c r="A125" s="2" t="s">
        <v>21</v>
      </c>
      <c r="B125" s="3">
        <v>46058.847430555601</v>
      </c>
      <c r="C125" s="2" t="s">
        <v>72</v>
      </c>
      <c r="D125" s="2" t="s">
        <v>142</v>
      </c>
      <c r="E125" s="4">
        <v>2</v>
      </c>
      <c r="F125" s="5" t="s">
        <v>281</v>
      </c>
      <c r="G125" s="2" t="s">
        <v>454</v>
      </c>
      <c r="H125" s="6">
        <v>4</v>
      </c>
      <c r="I125" s="5" t="s">
        <v>518</v>
      </c>
      <c r="J125" s="7">
        <v>29500</v>
      </c>
      <c r="K125" s="4">
        <v>0</v>
      </c>
      <c r="L125" s="7">
        <v>118000</v>
      </c>
      <c r="M125" s="11">
        <f t="shared" si="5"/>
        <v>12980</v>
      </c>
      <c r="N125" s="11">
        <f t="shared" si="3"/>
        <v>130980</v>
      </c>
      <c r="O125" s="5"/>
      <c r="P125" s="2" t="s">
        <v>621</v>
      </c>
    </row>
    <row r="126" spans="1:16" ht="20.399999999999999" x14ac:dyDescent="0.3">
      <c r="A126" s="2" t="s">
        <v>21</v>
      </c>
      <c r="B126" s="3">
        <v>46058.847430555601</v>
      </c>
      <c r="C126" s="2" t="s">
        <v>72</v>
      </c>
      <c r="D126" s="2" t="s">
        <v>142</v>
      </c>
      <c r="E126" s="4">
        <v>3</v>
      </c>
      <c r="F126" s="5" t="s">
        <v>282</v>
      </c>
      <c r="G126" s="2" t="s">
        <v>455</v>
      </c>
      <c r="H126" s="6">
        <v>4</v>
      </c>
      <c r="I126" s="5" t="s">
        <v>518</v>
      </c>
      <c r="J126" s="7">
        <v>55700</v>
      </c>
      <c r="K126" s="4">
        <v>0</v>
      </c>
      <c r="L126" s="7">
        <v>222800</v>
      </c>
      <c r="M126" s="11">
        <f t="shared" si="5"/>
        <v>24508</v>
      </c>
      <c r="N126" s="11">
        <f t="shared" si="3"/>
        <v>247308</v>
      </c>
      <c r="O126" s="5"/>
      <c r="P126" s="2" t="s">
        <v>621</v>
      </c>
    </row>
    <row r="127" spans="1:16" ht="20.399999999999999" x14ac:dyDescent="0.3">
      <c r="A127" s="2" t="s">
        <v>21</v>
      </c>
      <c r="B127" s="3">
        <v>46058.847430555601</v>
      </c>
      <c r="C127" s="2" t="s">
        <v>72</v>
      </c>
      <c r="D127" s="2" t="s">
        <v>142</v>
      </c>
      <c r="E127" s="4">
        <v>4</v>
      </c>
      <c r="F127" s="5" t="s">
        <v>283</v>
      </c>
      <c r="G127" s="2" t="s">
        <v>456</v>
      </c>
      <c r="H127" s="6">
        <v>5</v>
      </c>
      <c r="I127" s="5" t="s">
        <v>518</v>
      </c>
      <c r="J127" s="7">
        <v>38200</v>
      </c>
      <c r="K127" s="4">
        <v>0</v>
      </c>
      <c r="L127" s="7">
        <v>191000</v>
      </c>
      <c r="M127" s="11">
        <f t="shared" si="5"/>
        <v>21010</v>
      </c>
      <c r="N127" s="11">
        <f t="shared" si="3"/>
        <v>212010</v>
      </c>
      <c r="O127" s="5"/>
      <c r="P127" s="2" t="s">
        <v>621</v>
      </c>
    </row>
    <row r="128" spans="1:16" ht="20.399999999999999" x14ac:dyDescent="0.3">
      <c r="A128" s="2" t="s">
        <v>21</v>
      </c>
      <c r="B128" s="3">
        <v>46058.873912037001</v>
      </c>
      <c r="C128" s="2" t="s">
        <v>73</v>
      </c>
      <c r="D128" s="2" t="s">
        <v>143</v>
      </c>
      <c r="E128" s="4">
        <v>1</v>
      </c>
      <c r="F128" s="5" t="s">
        <v>284</v>
      </c>
      <c r="G128" s="2" t="s">
        <v>457</v>
      </c>
      <c r="H128" s="6">
        <v>5</v>
      </c>
      <c r="I128" s="5" t="s">
        <v>518</v>
      </c>
      <c r="J128" s="7">
        <v>129000</v>
      </c>
      <c r="K128" s="4">
        <v>0</v>
      </c>
      <c r="L128" s="7">
        <v>645000</v>
      </c>
      <c r="M128" s="11">
        <f t="shared" si="5"/>
        <v>70950</v>
      </c>
      <c r="N128" s="11">
        <f t="shared" si="3"/>
        <v>715950</v>
      </c>
      <c r="O128" s="5"/>
      <c r="P128" s="2" t="s">
        <v>622</v>
      </c>
    </row>
    <row r="129" spans="1:16" ht="20.399999999999999" x14ac:dyDescent="0.3">
      <c r="A129" s="2" t="s">
        <v>21</v>
      </c>
      <c r="B129" s="3">
        <v>46058.873912037001</v>
      </c>
      <c r="C129" s="2" t="s">
        <v>73</v>
      </c>
      <c r="D129" s="2" t="s">
        <v>143</v>
      </c>
      <c r="E129" s="4">
        <v>2</v>
      </c>
      <c r="F129" s="5" t="s">
        <v>285</v>
      </c>
      <c r="G129" s="2" t="s">
        <v>458</v>
      </c>
      <c r="H129" s="6">
        <v>5</v>
      </c>
      <c r="I129" s="5" t="s">
        <v>518</v>
      </c>
      <c r="J129" s="7">
        <v>114200</v>
      </c>
      <c r="K129" s="4">
        <v>0</v>
      </c>
      <c r="L129" s="7">
        <v>571000</v>
      </c>
      <c r="M129" s="11">
        <f t="shared" si="5"/>
        <v>62810</v>
      </c>
      <c r="N129" s="11">
        <f t="shared" si="3"/>
        <v>633810</v>
      </c>
      <c r="O129" s="5"/>
      <c r="P129" s="2" t="s">
        <v>622</v>
      </c>
    </row>
    <row r="130" spans="1:16" ht="20.399999999999999" x14ac:dyDescent="0.3">
      <c r="A130" s="2" t="s">
        <v>21</v>
      </c>
      <c r="B130" s="3">
        <v>46058.873912037001</v>
      </c>
      <c r="C130" s="2" t="s">
        <v>73</v>
      </c>
      <c r="D130" s="2" t="s">
        <v>143</v>
      </c>
      <c r="E130" s="4">
        <v>3</v>
      </c>
      <c r="F130" s="5" t="s">
        <v>286</v>
      </c>
      <c r="G130" s="2" t="s">
        <v>459</v>
      </c>
      <c r="H130" s="6">
        <v>5</v>
      </c>
      <c r="I130" s="5" t="s">
        <v>518</v>
      </c>
      <c r="J130" s="7">
        <v>155300</v>
      </c>
      <c r="K130" s="4">
        <v>0</v>
      </c>
      <c r="L130" s="7">
        <v>776500</v>
      </c>
      <c r="M130" s="11">
        <f t="shared" si="5"/>
        <v>85415</v>
      </c>
      <c r="N130" s="11">
        <f t="shared" si="3"/>
        <v>861915</v>
      </c>
      <c r="O130" s="5"/>
      <c r="P130" s="2" t="s">
        <v>622</v>
      </c>
    </row>
    <row r="131" spans="1:16" ht="20.399999999999999" x14ac:dyDescent="0.3">
      <c r="A131" s="2" t="s">
        <v>21</v>
      </c>
      <c r="B131" s="3">
        <v>46058.873912037001</v>
      </c>
      <c r="C131" s="2" t="s">
        <v>73</v>
      </c>
      <c r="D131" s="2" t="s">
        <v>143</v>
      </c>
      <c r="E131" s="4">
        <v>4</v>
      </c>
      <c r="F131" s="5" t="s">
        <v>287</v>
      </c>
      <c r="G131" s="2" t="s">
        <v>460</v>
      </c>
      <c r="H131" s="6">
        <v>5</v>
      </c>
      <c r="I131" s="5" t="s">
        <v>518</v>
      </c>
      <c r="J131" s="7">
        <v>166800</v>
      </c>
      <c r="K131" s="4">
        <v>0</v>
      </c>
      <c r="L131" s="7">
        <v>834000</v>
      </c>
      <c r="M131" s="11">
        <f t="shared" si="5"/>
        <v>91740</v>
      </c>
      <c r="N131" s="11">
        <f t="shared" ref="N131:N192" si="6">L131+M131</f>
        <v>925740</v>
      </c>
      <c r="O131" s="5"/>
      <c r="P131" s="2" t="s">
        <v>622</v>
      </c>
    </row>
    <row r="132" spans="1:16" ht="20.399999999999999" x14ac:dyDescent="0.3">
      <c r="A132" s="2" t="s">
        <v>19</v>
      </c>
      <c r="B132" s="3">
        <v>46058.884953703702</v>
      </c>
      <c r="C132" s="2" t="s">
        <v>74</v>
      </c>
      <c r="D132" s="2" t="s">
        <v>144</v>
      </c>
      <c r="E132" s="4">
        <v>1</v>
      </c>
      <c r="F132" s="5" t="s">
        <v>262</v>
      </c>
      <c r="G132" s="2" t="s">
        <v>435</v>
      </c>
      <c r="H132" s="6">
        <v>100</v>
      </c>
      <c r="I132" s="5" t="s">
        <v>518</v>
      </c>
      <c r="J132" s="7">
        <v>16926</v>
      </c>
      <c r="K132" s="4">
        <v>0</v>
      </c>
      <c r="L132" s="7">
        <v>1692600</v>
      </c>
      <c r="M132" s="11">
        <f t="shared" si="5"/>
        <v>186186</v>
      </c>
      <c r="N132" s="11">
        <f t="shared" si="6"/>
        <v>1878786</v>
      </c>
      <c r="O132" s="5"/>
      <c r="P132" s="2" t="s">
        <v>623</v>
      </c>
    </row>
    <row r="133" spans="1:16" ht="20.399999999999999" x14ac:dyDescent="0.3">
      <c r="A133" s="2" t="s">
        <v>19</v>
      </c>
      <c r="B133" s="3">
        <v>46058.884953703702</v>
      </c>
      <c r="C133" s="2" t="s">
        <v>74</v>
      </c>
      <c r="D133" s="2" t="s">
        <v>144</v>
      </c>
      <c r="E133" s="4">
        <v>2</v>
      </c>
      <c r="F133" s="5" t="s">
        <v>288</v>
      </c>
      <c r="G133" s="2" t="s">
        <v>461</v>
      </c>
      <c r="H133" s="6">
        <v>100</v>
      </c>
      <c r="I133" s="5" t="s">
        <v>518</v>
      </c>
      <c r="J133" s="7">
        <v>12560</v>
      </c>
      <c r="K133" s="4">
        <v>0</v>
      </c>
      <c r="L133" s="7">
        <v>1256000</v>
      </c>
      <c r="M133" s="11">
        <f t="shared" si="5"/>
        <v>138160</v>
      </c>
      <c r="N133" s="11">
        <f t="shared" si="6"/>
        <v>1394160</v>
      </c>
      <c r="O133" s="5"/>
      <c r="P133" s="2" t="s">
        <v>623</v>
      </c>
    </row>
    <row r="134" spans="1:16" ht="30.6" x14ac:dyDescent="0.3">
      <c r="A134" s="2" t="s">
        <v>12</v>
      </c>
      <c r="B134" s="3">
        <v>46058.902187500003</v>
      </c>
      <c r="C134" s="2" t="s">
        <v>75</v>
      </c>
      <c r="D134" s="2" t="s">
        <v>145</v>
      </c>
      <c r="E134" s="4">
        <v>1</v>
      </c>
      <c r="F134" s="5" t="s">
        <v>289</v>
      </c>
      <c r="G134" s="2" t="s">
        <v>462</v>
      </c>
      <c r="H134" s="6">
        <v>12</v>
      </c>
      <c r="I134" s="5" t="s">
        <v>518</v>
      </c>
      <c r="J134" s="7">
        <v>265000</v>
      </c>
      <c r="K134" s="4">
        <v>0</v>
      </c>
      <c r="L134" s="7">
        <v>3180000</v>
      </c>
      <c r="M134" s="11">
        <f t="shared" si="5"/>
        <v>349800</v>
      </c>
      <c r="N134" s="11">
        <f t="shared" si="6"/>
        <v>3529800</v>
      </c>
      <c r="O134" s="5"/>
      <c r="P134" s="2" t="s">
        <v>624</v>
      </c>
    </row>
    <row r="135" spans="1:16" ht="30.6" x14ac:dyDescent="0.3">
      <c r="A135" s="2" t="s">
        <v>12</v>
      </c>
      <c r="B135" s="3">
        <v>46058.902187500003</v>
      </c>
      <c r="C135" s="2" t="s">
        <v>75</v>
      </c>
      <c r="D135" s="2" t="s">
        <v>145</v>
      </c>
      <c r="E135" s="4">
        <v>2</v>
      </c>
      <c r="F135" s="5" t="s">
        <v>290</v>
      </c>
      <c r="G135" s="2" t="s">
        <v>463</v>
      </c>
      <c r="H135" s="6">
        <v>10</v>
      </c>
      <c r="I135" s="5" t="s">
        <v>518</v>
      </c>
      <c r="J135" s="7">
        <v>265000</v>
      </c>
      <c r="K135" s="4">
        <v>0</v>
      </c>
      <c r="L135" s="7">
        <v>2650000</v>
      </c>
      <c r="M135" s="11">
        <f t="shared" si="5"/>
        <v>291500</v>
      </c>
      <c r="N135" s="11">
        <f t="shared" si="6"/>
        <v>2941500</v>
      </c>
      <c r="O135" s="5"/>
      <c r="P135" s="2" t="s">
        <v>624</v>
      </c>
    </row>
    <row r="136" spans="1:16" ht="20.399999999999999" x14ac:dyDescent="0.3">
      <c r="A136" s="2" t="s">
        <v>1</v>
      </c>
      <c r="B136" s="3">
        <v>46059.376296296301</v>
      </c>
      <c r="C136" s="2" t="s">
        <v>30</v>
      </c>
      <c r="D136" s="2" t="s">
        <v>146</v>
      </c>
      <c r="E136" s="4">
        <v>1</v>
      </c>
      <c r="F136" s="5" t="s">
        <v>173</v>
      </c>
      <c r="G136" s="2" t="s">
        <v>346</v>
      </c>
      <c r="H136" s="6">
        <v>5</v>
      </c>
      <c r="I136" s="5" t="s">
        <v>518</v>
      </c>
      <c r="J136" s="7">
        <v>214600</v>
      </c>
      <c r="K136" s="4">
        <v>0</v>
      </c>
      <c r="L136" s="7">
        <v>1073000</v>
      </c>
      <c r="M136" s="11">
        <f t="shared" si="5"/>
        <v>118030</v>
      </c>
      <c r="N136" s="11">
        <f t="shared" si="6"/>
        <v>1191030</v>
      </c>
      <c r="O136" s="2" t="s">
        <v>563</v>
      </c>
      <c r="P136" s="2" t="s">
        <v>625</v>
      </c>
    </row>
    <row r="137" spans="1:16" ht="20.399999999999999" x14ac:dyDescent="0.3">
      <c r="A137" s="2" t="s">
        <v>1</v>
      </c>
      <c r="B137" s="3">
        <v>46059.3769791667</v>
      </c>
      <c r="C137" s="2" t="s">
        <v>60</v>
      </c>
      <c r="D137" s="2" t="s">
        <v>147</v>
      </c>
      <c r="E137" s="4">
        <v>1</v>
      </c>
      <c r="F137" s="5" t="s">
        <v>291</v>
      </c>
      <c r="G137" s="2" t="s">
        <v>464</v>
      </c>
      <c r="H137" s="6">
        <v>50</v>
      </c>
      <c r="I137" s="5" t="s">
        <v>518</v>
      </c>
      <c r="J137" s="6">
        <v>9500</v>
      </c>
      <c r="K137" s="4">
        <v>0</v>
      </c>
      <c r="L137" s="7">
        <v>475000</v>
      </c>
      <c r="M137" s="11">
        <f t="shared" si="5"/>
        <v>52250</v>
      </c>
      <c r="N137" s="11">
        <f t="shared" si="6"/>
        <v>527250</v>
      </c>
      <c r="O137" s="2" t="s">
        <v>564</v>
      </c>
      <c r="P137" s="2" t="s">
        <v>626</v>
      </c>
    </row>
    <row r="138" spans="1:16" ht="20.399999999999999" x14ac:dyDescent="0.3">
      <c r="A138" s="2" t="s">
        <v>1</v>
      </c>
      <c r="B138" s="3">
        <v>46059.3769791667</v>
      </c>
      <c r="C138" s="2" t="s">
        <v>60</v>
      </c>
      <c r="D138" s="2" t="s">
        <v>147</v>
      </c>
      <c r="E138" s="4">
        <v>2</v>
      </c>
      <c r="F138" s="5" t="s">
        <v>292</v>
      </c>
      <c r="G138" s="2" t="s">
        <v>465</v>
      </c>
      <c r="H138" s="6">
        <v>3</v>
      </c>
      <c r="I138" s="5" t="s">
        <v>518</v>
      </c>
      <c r="J138" s="7">
        <v>76046</v>
      </c>
      <c r="K138" s="4">
        <v>0</v>
      </c>
      <c r="L138" s="7">
        <v>228138</v>
      </c>
      <c r="M138" s="11">
        <f t="shared" si="5"/>
        <v>25095.18</v>
      </c>
      <c r="N138" s="11">
        <f t="shared" si="6"/>
        <v>253233.18</v>
      </c>
      <c r="O138" s="2" t="s">
        <v>564</v>
      </c>
      <c r="P138" s="2" t="s">
        <v>626</v>
      </c>
    </row>
    <row r="139" spans="1:16" ht="20.399999999999999" x14ac:dyDescent="0.3">
      <c r="A139" s="2" t="s">
        <v>1</v>
      </c>
      <c r="B139" s="3">
        <v>46059.3769791667</v>
      </c>
      <c r="C139" s="2" t="s">
        <v>60</v>
      </c>
      <c r="D139" s="2" t="s">
        <v>147</v>
      </c>
      <c r="E139" s="4">
        <v>3</v>
      </c>
      <c r="F139" s="5" t="s">
        <v>293</v>
      </c>
      <c r="G139" s="2" t="s">
        <v>466</v>
      </c>
      <c r="H139" s="6">
        <v>2</v>
      </c>
      <c r="I139" s="5" t="s">
        <v>524</v>
      </c>
      <c r="J139" s="7">
        <v>42750</v>
      </c>
      <c r="K139" s="4">
        <v>0</v>
      </c>
      <c r="L139" s="7">
        <v>85500</v>
      </c>
      <c r="M139" s="11">
        <f t="shared" si="5"/>
        <v>9405</v>
      </c>
      <c r="N139" s="11">
        <f t="shared" si="6"/>
        <v>94905</v>
      </c>
      <c r="O139" s="2" t="s">
        <v>564</v>
      </c>
      <c r="P139" s="2" t="s">
        <v>626</v>
      </c>
    </row>
    <row r="140" spans="1:16" ht="20.399999999999999" x14ac:dyDescent="0.3">
      <c r="A140" s="2" t="s">
        <v>1</v>
      </c>
      <c r="B140" s="3">
        <v>46059.389270833301</v>
      </c>
      <c r="C140" s="2" t="s">
        <v>76</v>
      </c>
      <c r="D140" s="2" t="s">
        <v>148</v>
      </c>
      <c r="E140" s="4">
        <v>1</v>
      </c>
      <c r="F140" s="5" t="s">
        <v>294</v>
      </c>
      <c r="G140" s="2" t="s">
        <v>467</v>
      </c>
      <c r="H140" s="6">
        <v>2</v>
      </c>
      <c r="I140" s="5" t="s">
        <v>528</v>
      </c>
      <c r="J140" s="7">
        <v>171000</v>
      </c>
      <c r="K140" s="4">
        <v>0</v>
      </c>
      <c r="L140" s="7">
        <v>342000</v>
      </c>
      <c r="M140" s="11">
        <f t="shared" si="5"/>
        <v>37620</v>
      </c>
      <c r="N140" s="11">
        <f t="shared" si="6"/>
        <v>379620</v>
      </c>
      <c r="O140" s="2" t="s">
        <v>565</v>
      </c>
      <c r="P140" s="2" t="s">
        <v>627</v>
      </c>
    </row>
    <row r="141" spans="1:16" ht="20.399999999999999" x14ac:dyDescent="0.3">
      <c r="A141" s="2" t="s">
        <v>13</v>
      </c>
      <c r="B141" s="3">
        <v>46059.412418981497</v>
      </c>
      <c r="C141" s="2" t="s">
        <v>49</v>
      </c>
      <c r="D141" s="2" t="s">
        <v>149</v>
      </c>
      <c r="E141" s="4">
        <v>1</v>
      </c>
      <c r="F141" s="5" t="s">
        <v>215</v>
      </c>
      <c r="G141" s="2" t="s">
        <v>388</v>
      </c>
      <c r="H141" s="6">
        <v>55</v>
      </c>
      <c r="I141" s="5" t="s">
        <v>526</v>
      </c>
      <c r="J141" s="7">
        <v>21480</v>
      </c>
      <c r="K141" s="4">
        <v>0</v>
      </c>
      <c r="L141" s="7">
        <v>1181400</v>
      </c>
      <c r="M141" s="11">
        <f t="shared" si="5"/>
        <v>129954</v>
      </c>
      <c r="N141" s="11">
        <f t="shared" si="6"/>
        <v>1311354</v>
      </c>
      <c r="O141" s="5"/>
      <c r="P141" s="2" t="s">
        <v>628</v>
      </c>
    </row>
    <row r="142" spans="1:16" ht="20.399999999999999" x14ac:dyDescent="0.3">
      <c r="A142" s="2" t="s">
        <v>13</v>
      </c>
      <c r="B142" s="3">
        <v>46059.415509259299</v>
      </c>
      <c r="C142" s="2" t="s">
        <v>50</v>
      </c>
      <c r="D142" s="2" t="s">
        <v>150</v>
      </c>
      <c r="E142" s="4">
        <v>1</v>
      </c>
      <c r="F142" s="5" t="s">
        <v>277</v>
      </c>
      <c r="G142" s="2" t="s">
        <v>450</v>
      </c>
      <c r="H142" s="6">
        <v>200</v>
      </c>
      <c r="I142" s="5" t="s">
        <v>526</v>
      </c>
      <c r="J142" s="6">
        <v>9400</v>
      </c>
      <c r="K142" s="4">
        <v>0</v>
      </c>
      <c r="L142" s="7">
        <v>1880000</v>
      </c>
      <c r="M142" s="11">
        <f t="shared" si="5"/>
        <v>206800</v>
      </c>
      <c r="N142" s="11">
        <f t="shared" si="6"/>
        <v>2086800</v>
      </c>
      <c r="O142" s="5"/>
      <c r="P142" s="2" t="s">
        <v>629</v>
      </c>
    </row>
    <row r="143" spans="1:16" ht="20.399999999999999" x14ac:dyDescent="0.3">
      <c r="A143" s="2" t="s">
        <v>13</v>
      </c>
      <c r="B143" s="3">
        <v>46059.415509259299</v>
      </c>
      <c r="C143" s="2" t="s">
        <v>50</v>
      </c>
      <c r="D143" s="2" t="s">
        <v>150</v>
      </c>
      <c r="E143" s="4">
        <v>2</v>
      </c>
      <c r="F143" s="5" t="s">
        <v>295</v>
      </c>
      <c r="G143" s="2" t="s">
        <v>468</v>
      </c>
      <c r="H143" s="6">
        <v>100</v>
      </c>
      <c r="I143" s="5" t="s">
        <v>526</v>
      </c>
      <c r="J143" s="6">
        <v>6160</v>
      </c>
      <c r="K143" s="4">
        <v>0</v>
      </c>
      <c r="L143" s="7">
        <v>616000</v>
      </c>
      <c r="M143" s="11">
        <f t="shared" si="5"/>
        <v>67760</v>
      </c>
      <c r="N143" s="11">
        <f t="shared" si="6"/>
        <v>683760</v>
      </c>
      <c r="O143" s="5"/>
      <c r="P143" s="2" t="s">
        <v>629</v>
      </c>
    </row>
    <row r="144" spans="1:16" ht="20.399999999999999" x14ac:dyDescent="0.3">
      <c r="A144" s="2" t="s">
        <v>13</v>
      </c>
      <c r="B144" s="3">
        <v>46059.418935185196</v>
      </c>
      <c r="C144" s="2" t="s">
        <v>77</v>
      </c>
      <c r="D144" s="2" t="s">
        <v>151</v>
      </c>
      <c r="E144" s="4">
        <v>1</v>
      </c>
      <c r="F144" s="5" t="s">
        <v>296</v>
      </c>
      <c r="G144" s="2" t="s">
        <v>469</v>
      </c>
      <c r="H144" s="6">
        <v>100</v>
      </c>
      <c r="I144" s="5" t="s">
        <v>526</v>
      </c>
      <c r="J144" s="6">
        <v>4130</v>
      </c>
      <c r="K144" s="4">
        <v>0</v>
      </c>
      <c r="L144" s="7">
        <v>413000</v>
      </c>
      <c r="M144" s="11">
        <f t="shared" si="5"/>
        <v>45430</v>
      </c>
      <c r="N144" s="11">
        <f t="shared" si="6"/>
        <v>458430</v>
      </c>
      <c r="O144" s="5"/>
      <c r="P144" s="2" t="s">
        <v>630</v>
      </c>
    </row>
    <row r="145" spans="1:16" ht="20.399999999999999" x14ac:dyDescent="0.3">
      <c r="A145" s="2" t="s">
        <v>22</v>
      </c>
      <c r="B145" s="3">
        <v>46059.887754629599</v>
      </c>
      <c r="C145" s="2" t="s">
        <v>78</v>
      </c>
      <c r="D145" s="2" t="s">
        <v>152</v>
      </c>
      <c r="E145" s="4">
        <v>1</v>
      </c>
      <c r="F145" s="5" t="s">
        <v>297</v>
      </c>
      <c r="G145" s="2" t="s">
        <v>470</v>
      </c>
      <c r="H145" s="6">
        <v>462</v>
      </c>
      <c r="I145" s="5" t="s">
        <v>518</v>
      </c>
      <c r="J145" s="6">
        <v>1200</v>
      </c>
      <c r="K145" s="4">
        <v>0</v>
      </c>
      <c r="L145" s="7">
        <v>554400</v>
      </c>
      <c r="M145" s="11">
        <f t="shared" si="5"/>
        <v>60984</v>
      </c>
      <c r="N145" s="11">
        <f t="shared" si="6"/>
        <v>615384</v>
      </c>
      <c r="O145" s="5"/>
      <c r="P145" s="2" t="s">
        <v>631</v>
      </c>
    </row>
    <row r="146" spans="1:16" ht="30.6" x14ac:dyDescent="0.3">
      <c r="A146" s="2" t="s">
        <v>22</v>
      </c>
      <c r="B146" s="3">
        <v>46059.889687499999</v>
      </c>
      <c r="C146" s="2" t="s">
        <v>79</v>
      </c>
      <c r="D146" s="2" t="s">
        <v>153</v>
      </c>
      <c r="E146" s="4">
        <v>1</v>
      </c>
      <c r="F146" s="5" t="s">
        <v>298</v>
      </c>
      <c r="G146" s="2" t="s">
        <v>471</v>
      </c>
      <c r="H146" s="6">
        <v>87</v>
      </c>
      <c r="I146" s="5" t="s">
        <v>518</v>
      </c>
      <c r="J146" s="6">
        <v>5200</v>
      </c>
      <c r="K146" s="4">
        <v>0</v>
      </c>
      <c r="L146" s="7">
        <v>452400</v>
      </c>
      <c r="M146" s="11">
        <f t="shared" si="5"/>
        <v>49764</v>
      </c>
      <c r="N146" s="11">
        <f t="shared" si="6"/>
        <v>502164</v>
      </c>
      <c r="O146" s="5"/>
      <c r="P146" s="2" t="s">
        <v>632</v>
      </c>
    </row>
    <row r="147" spans="1:16" ht="30.6" x14ac:dyDescent="0.3">
      <c r="A147" s="2" t="s">
        <v>22</v>
      </c>
      <c r="B147" s="3">
        <v>46059.889687499999</v>
      </c>
      <c r="C147" s="2" t="s">
        <v>79</v>
      </c>
      <c r="D147" s="2" t="s">
        <v>153</v>
      </c>
      <c r="E147" s="4">
        <v>2</v>
      </c>
      <c r="F147" s="5" t="s">
        <v>299</v>
      </c>
      <c r="G147" s="2" t="s">
        <v>472</v>
      </c>
      <c r="H147" s="6">
        <v>262</v>
      </c>
      <c r="I147" s="5" t="s">
        <v>518</v>
      </c>
      <c r="J147" s="6">
        <v>2400</v>
      </c>
      <c r="K147" s="4">
        <v>0</v>
      </c>
      <c r="L147" s="7">
        <v>628800</v>
      </c>
      <c r="M147" s="11">
        <f t="shared" si="5"/>
        <v>69168</v>
      </c>
      <c r="N147" s="11">
        <f t="shared" si="6"/>
        <v>697968</v>
      </c>
      <c r="O147" s="5"/>
      <c r="P147" s="2" t="s">
        <v>632</v>
      </c>
    </row>
    <row r="148" spans="1:16" ht="30.6" x14ac:dyDescent="0.3">
      <c r="A148" s="2" t="s">
        <v>22</v>
      </c>
      <c r="B148" s="3">
        <v>46059.896215277797</v>
      </c>
      <c r="C148" s="2" t="s">
        <v>80</v>
      </c>
      <c r="D148" s="2" t="s">
        <v>154</v>
      </c>
      <c r="E148" s="4">
        <v>1</v>
      </c>
      <c r="F148" s="5" t="s">
        <v>300</v>
      </c>
      <c r="G148" s="2" t="s">
        <v>473</v>
      </c>
      <c r="H148" s="6">
        <v>32</v>
      </c>
      <c r="I148" s="5" t="s">
        <v>518</v>
      </c>
      <c r="J148" s="7">
        <v>18200</v>
      </c>
      <c r="K148" s="4">
        <v>0</v>
      </c>
      <c r="L148" s="7">
        <v>582400</v>
      </c>
      <c r="M148" s="11">
        <f t="shared" si="5"/>
        <v>64064</v>
      </c>
      <c r="N148" s="11">
        <f t="shared" si="6"/>
        <v>646464</v>
      </c>
      <c r="O148" s="5"/>
      <c r="P148" s="2" t="s">
        <v>633</v>
      </c>
    </row>
    <row r="149" spans="1:16" ht="30.6" x14ac:dyDescent="0.3">
      <c r="A149" s="2" t="s">
        <v>22</v>
      </c>
      <c r="B149" s="3">
        <v>46059.896215277797</v>
      </c>
      <c r="C149" s="2" t="s">
        <v>80</v>
      </c>
      <c r="D149" s="2" t="s">
        <v>154</v>
      </c>
      <c r="E149" s="4">
        <v>2</v>
      </c>
      <c r="F149" s="5" t="s">
        <v>301</v>
      </c>
      <c r="G149" s="2" t="s">
        <v>474</v>
      </c>
      <c r="H149" s="6">
        <v>130</v>
      </c>
      <c r="I149" s="5" t="s">
        <v>518</v>
      </c>
      <c r="J149" s="6">
        <v>5300</v>
      </c>
      <c r="K149" s="4">
        <v>0</v>
      </c>
      <c r="L149" s="7">
        <v>689000</v>
      </c>
      <c r="M149" s="11">
        <f t="shared" si="5"/>
        <v>75790</v>
      </c>
      <c r="N149" s="11">
        <f t="shared" si="6"/>
        <v>764790</v>
      </c>
      <c r="O149" s="5"/>
      <c r="P149" s="2" t="s">
        <v>633</v>
      </c>
    </row>
    <row r="150" spans="1:16" ht="30.6" x14ac:dyDescent="0.3">
      <c r="A150" s="2" t="s">
        <v>22</v>
      </c>
      <c r="B150" s="3">
        <v>46059.896215277797</v>
      </c>
      <c r="C150" s="2" t="s">
        <v>80</v>
      </c>
      <c r="D150" s="2" t="s">
        <v>154</v>
      </c>
      <c r="E150" s="4">
        <v>3</v>
      </c>
      <c r="F150" s="5" t="s">
        <v>302</v>
      </c>
      <c r="G150" s="2" t="s">
        <v>475</v>
      </c>
      <c r="H150" s="6">
        <v>187</v>
      </c>
      <c r="I150" s="5" t="s">
        <v>518</v>
      </c>
      <c r="J150" s="6">
        <v>4000</v>
      </c>
      <c r="K150" s="4">
        <v>0</v>
      </c>
      <c r="L150" s="7">
        <v>748000</v>
      </c>
      <c r="M150" s="11">
        <f t="shared" si="5"/>
        <v>82280</v>
      </c>
      <c r="N150" s="11">
        <f t="shared" si="6"/>
        <v>830280</v>
      </c>
      <c r="O150" s="5"/>
      <c r="P150" s="2" t="s">
        <v>633</v>
      </c>
    </row>
    <row r="151" spans="1:16" ht="30.6" x14ac:dyDescent="0.3">
      <c r="A151" s="2" t="s">
        <v>22</v>
      </c>
      <c r="B151" s="3">
        <v>46059.896215277797</v>
      </c>
      <c r="C151" s="2" t="s">
        <v>80</v>
      </c>
      <c r="D151" s="2" t="s">
        <v>154</v>
      </c>
      <c r="E151" s="4">
        <v>4</v>
      </c>
      <c r="F151" s="5" t="s">
        <v>303</v>
      </c>
      <c r="G151" s="2" t="s">
        <v>476</v>
      </c>
      <c r="H151" s="6">
        <v>350</v>
      </c>
      <c r="I151" s="5" t="s">
        <v>518</v>
      </c>
      <c r="J151" s="6">
        <v>1400</v>
      </c>
      <c r="K151" s="4">
        <v>0</v>
      </c>
      <c r="L151" s="7">
        <v>490000</v>
      </c>
      <c r="M151" s="11">
        <f t="shared" si="5"/>
        <v>53900</v>
      </c>
      <c r="N151" s="11">
        <f t="shared" si="6"/>
        <v>543900</v>
      </c>
      <c r="O151" s="5"/>
      <c r="P151" s="2" t="s">
        <v>633</v>
      </c>
    </row>
    <row r="152" spans="1:16" ht="30.6" x14ac:dyDescent="0.3">
      <c r="A152" s="2" t="s">
        <v>22</v>
      </c>
      <c r="B152" s="3">
        <v>46059.896215277797</v>
      </c>
      <c r="C152" s="2" t="s">
        <v>80</v>
      </c>
      <c r="D152" s="2" t="s">
        <v>154</v>
      </c>
      <c r="E152" s="4">
        <v>5</v>
      </c>
      <c r="F152" s="5" t="s">
        <v>304</v>
      </c>
      <c r="G152" s="2" t="s">
        <v>477</v>
      </c>
      <c r="H152" s="6">
        <v>300</v>
      </c>
      <c r="I152" s="5" t="s">
        <v>518</v>
      </c>
      <c r="J152" s="6">
        <v>1000</v>
      </c>
      <c r="K152" s="4">
        <v>0</v>
      </c>
      <c r="L152" s="7">
        <v>300000</v>
      </c>
      <c r="M152" s="11">
        <f t="shared" si="5"/>
        <v>33000</v>
      </c>
      <c r="N152" s="11">
        <f t="shared" si="6"/>
        <v>333000</v>
      </c>
      <c r="O152" s="5"/>
      <c r="P152" s="2" t="s">
        <v>633</v>
      </c>
    </row>
    <row r="153" spans="1:16" ht="20.399999999999999" x14ac:dyDescent="0.3">
      <c r="A153" s="2" t="s">
        <v>23</v>
      </c>
      <c r="B153" s="3">
        <v>46059.903726851902</v>
      </c>
      <c r="C153" s="2" t="s">
        <v>81</v>
      </c>
      <c r="D153" s="2" t="s">
        <v>155</v>
      </c>
      <c r="E153" s="4">
        <v>1</v>
      </c>
      <c r="F153" s="5" t="s">
        <v>305</v>
      </c>
      <c r="G153" s="2" t="s">
        <v>478</v>
      </c>
      <c r="H153" s="6">
        <v>100</v>
      </c>
      <c r="I153" s="5" t="s">
        <v>518</v>
      </c>
      <c r="J153" s="6">
        <v>5000</v>
      </c>
      <c r="K153" s="4">
        <v>0</v>
      </c>
      <c r="L153" s="7">
        <v>500000</v>
      </c>
      <c r="M153" s="11">
        <f t="shared" si="5"/>
        <v>55000</v>
      </c>
      <c r="N153" s="11">
        <f t="shared" si="6"/>
        <v>555000</v>
      </c>
      <c r="O153" s="5"/>
      <c r="P153" s="2" t="s">
        <v>634</v>
      </c>
    </row>
    <row r="154" spans="1:16" ht="20.399999999999999" x14ac:dyDescent="0.3">
      <c r="A154" s="2" t="s">
        <v>23</v>
      </c>
      <c r="B154" s="3">
        <v>46059.903726851902</v>
      </c>
      <c r="C154" s="2" t="s">
        <v>81</v>
      </c>
      <c r="D154" s="2" t="s">
        <v>155</v>
      </c>
      <c r="E154" s="4">
        <v>2</v>
      </c>
      <c r="F154" s="5" t="s">
        <v>306</v>
      </c>
      <c r="G154" s="2" t="s">
        <v>479</v>
      </c>
      <c r="H154" s="7">
        <v>4500</v>
      </c>
      <c r="I154" s="5" t="s">
        <v>518</v>
      </c>
      <c r="J154" s="6">
        <v>700</v>
      </c>
      <c r="K154" s="4">
        <v>0</v>
      </c>
      <c r="L154" s="7">
        <v>3150000</v>
      </c>
      <c r="M154" s="11">
        <f t="shared" si="5"/>
        <v>346500</v>
      </c>
      <c r="N154" s="11">
        <f t="shared" si="6"/>
        <v>3496500</v>
      </c>
      <c r="O154" s="5"/>
      <c r="P154" s="2" t="s">
        <v>634</v>
      </c>
    </row>
    <row r="155" spans="1:16" ht="20.399999999999999" x14ac:dyDescent="0.3">
      <c r="A155" s="2" t="s">
        <v>23</v>
      </c>
      <c r="B155" s="3">
        <v>46059.903726851902</v>
      </c>
      <c r="C155" s="2" t="s">
        <v>81</v>
      </c>
      <c r="D155" s="2" t="s">
        <v>155</v>
      </c>
      <c r="E155" s="4">
        <v>3</v>
      </c>
      <c r="F155" s="5" t="s">
        <v>307</v>
      </c>
      <c r="G155" s="2" t="s">
        <v>480</v>
      </c>
      <c r="H155" s="6">
        <v>250</v>
      </c>
      <c r="I155" s="5" t="s">
        <v>518</v>
      </c>
      <c r="J155" s="6">
        <v>1200</v>
      </c>
      <c r="K155" s="4">
        <v>0</v>
      </c>
      <c r="L155" s="7">
        <v>300000</v>
      </c>
      <c r="M155" s="11">
        <f t="shared" si="5"/>
        <v>33000</v>
      </c>
      <c r="N155" s="11">
        <f t="shared" si="6"/>
        <v>333000</v>
      </c>
      <c r="O155" s="5"/>
      <c r="P155" s="2" t="s">
        <v>634</v>
      </c>
    </row>
    <row r="156" spans="1:16" ht="20.399999999999999" x14ac:dyDescent="0.3">
      <c r="A156" s="2" t="s">
        <v>23</v>
      </c>
      <c r="B156" s="3">
        <v>46059.903726851902</v>
      </c>
      <c r="C156" s="2" t="s">
        <v>81</v>
      </c>
      <c r="D156" s="2" t="s">
        <v>155</v>
      </c>
      <c r="E156" s="4">
        <v>4</v>
      </c>
      <c r="F156" s="5" t="s">
        <v>308</v>
      </c>
      <c r="G156" s="2" t="s">
        <v>481</v>
      </c>
      <c r="H156" s="6">
        <v>300</v>
      </c>
      <c r="I156" s="5" t="s">
        <v>518</v>
      </c>
      <c r="J156" s="6">
        <v>1200</v>
      </c>
      <c r="K156" s="4">
        <v>0</v>
      </c>
      <c r="L156" s="7">
        <v>360000</v>
      </c>
      <c r="M156" s="11">
        <f t="shared" si="5"/>
        <v>39600</v>
      </c>
      <c r="N156" s="11">
        <f t="shared" si="6"/>
        <v>399600</v>
      </c>
      <c r="O156" s="5"/>
      <c r="P156" s="2" t="s">
        <v>634</v>
      </c>
    </row>
    <row r="157" spans="1:16" ht="20.399999999999999" x14ac:dyDescent="0.3">
      <c r="A157" s="2" t="s">
        <v>23</v>
      </c>
      <c r="B157" s="3">
        <v>46059.903726851902</v>
      </c>
      <c r="C157" s="2" t="s">
        <v>81</v>
      </c>
      <c r="D157" s="2" t="s">
        <v>155</v>
      </c>
      <c r="E157" s="4">
        <v>5</v>
      </c>
      <c r="F157" s="5" t="s">
        <v>309</v>
      </c>
      <c r="G157" s="2" t="s">
        <v>482</v>
      </c>
      <c r="H157" s="6">
        <v>100</v>
      </c>
      <c r="I157" s="5" t="s">
        <v>518</v>
      </c>
      <c r="J157" s="6">
        <v>1800</v>
      </c>
      <c r="K157" s="4">
        <v>0</v>
      </c>
      <c r="L157" s="7">
        <v>180000</v>
      </c>
      <c r="M157" s="11">
        <f t="shared" si="5"/>
        <v>19800</v>
      </c>
      <c r="N157" s="11">
        <f t="shared" si="6"/>
        <v>199800</v>
      </c>
      <c r="O157" s="5"/>
      <c r="P157" s="2" t="s">
        <v>634</v>
      </c>
    </row>
    <row r="158" spans="1:16" ht="20.399999999999999" x14ac:dyDescent="0.3">
      <c r="A158" s="2" t="s">
        <v>23</v>
      </c>
      <c r="B158" s="3">
        <v>46059.903726851902</v>
      </c>
      <c r="C158" s="2" t="s">
        <v>81</v>
      </c>
      <c r="D158" s="2" t="s">
        <v>155</v>
      </c>
      <c r="E158" s="4">
        <v>6</v>
      </c>
      <c r="F158" s="5" t="s">
        <v>310</v>
      </c>
      <c r="G158" s="2" t="s">
        <v>483</v>
      </c>
      <c r="H158" s="6">
        <v>100</v>
      </c>
      <c r="I158" s="5" t="s">
        <v>518</v>
      </c>
      <c r="J158" s="6">
        <v>2000</v>
      </c>
      <c r="K158" s="4">
        <v>0</v>
      </c>
      <c r="L158" s="7">
        <v>200000</v>
      </c>
      <c r="M158" s="11">
        <f t="shared" si="5"/>
        <v>22000</v>
      </c>
      <c r="N158" s="11">
        <f t="shared" si="6"/>
        <v>222000</v>
      </c>
      <c r="O158" s="5"/>
      <c r="P158" s="2" t="s">
        <v>634</v>
      </c>
    </row>
    <row r="159" spans="1:16" ht="20.399999999999999" x14ac:dyDescent="0.3">
      <c r="A159" s="2" t="s">
        <v>23</v>
      </c>
      <c r="B159" s="3">
        <v>46059.903726851902</v>
      </c>
      <c r="C159" s="2" t="s">
        <v>81</v>
      </c>
      <c r="D159" s="2" t="s">
        <v>155</v>
      </c>
      <c r="E159" s="4">
        <v>7</v>
      </c>
      <c r="F159" s="5" t="s">
        <v>311</v>
      </c>
      <c r="G159" s="2" t="s">
        <v>484</v>
      </c>
      <c r="H159" s="6">
        <v>100</v>
      </c>
      <c r="I159" s="5" t="s">
        <v>518</v>
      </c>
      <c r="J159" s="6">
        <v>1200</v>
      </c>
      <c r="K159" s="4">
        <v>0</v>
      </c>
      <c r="L159" s="7">
        <v>120000</v>
      </c>
      <c r="M159" s="11">
        <f t="shared" si="5"/>
        <v>13200</v>
      </c>
      <c r="N159" s="11">
        <f t="shared" si="6"/>
        <v>133200</v>
      </c>
      <c r="O159" s="5"/>
      <c r="P159" s="2" t="s">
        <v>634</v>
      </c>
    </row>
    <row r="160" spans="1:16" ht="20.399999999999999" x14ac:dyDescent="0.3">
      <c r="A160" s="2" t="s">
        <v>23</v>
      </c>
      <c r="B160" s="3">
        <v>46059.903726851902</v>
      </c>
      <c r="C160" s="2" t="s">
        <v>81</v>
      </c>
      <c r="D160" s="2" t="s">
        <v>155</v>
      </c>
      <c r="E160" s="4">
        <v>8</v>
      </c>
      <c r="F160" s="5" t="s">
        <v>312</v>
      </c>
      <c r="G160" s="2" t="s">
        <v>485</v>
      </c>
      <c r="H160" s="6">
        <v>150</v>
      </c>
      <c r="I160" s="5" t="s">
        <v>518</v>
      </c>
      <c r="J160" s="6">
        <v>2400</v>
      </c>
      <c r="K160" s="4">
        <v>0</v>
      </c>
      <c r="L160" s="7">
        <v>360000</v>
      </c>
      <c r="M160" s="11">
        <f t="shared" si="5"/>
        <v>39600</v>
      </c>
      <c r="N160" s="11">
        <f t="shared" si="6"/>
        <v>399600</v>
      </c>
      <c r="O160" s="5"/>
      <c r="P160" s="2" t="s">
        <v>634</v>
      </c>
    </row>
    <row r="161" spans="1:16" ht="20.399999999999999" x14ac:dyDescent="0.3">
      <c r="A161" s="2" t="s">
        <v>23</v>
      </c>
      <c r="B161" s="3">
        <v>46059.903726851902</v>
      </c>
      <c r="C161" s="2" t="s">
        <v>81</v>
      </c>
      <c r="D161" s="2" t="s">
        <v>155</v>
      </c>
      <c r="E161" s="4">
        <v>9</v>
      </c>
      <c r="F161" s="5" t="s">
        <v>313</v>
      </c>
      <c r="G161" s="2" t="s">
        <v>486</v>
      </c>
      <c r="H161" s="6">
        <v>300</v>
      </c>
      <c r="I161" s="5" t="s">
        <v>518</v>
      </c>
      <c r="J161" s="6">
        <v>1450</v>
      </c>
      <c r="K161" s="4">
        <v>0</v>
      </c>
      <c r="L161" s="7">
        <v>435000</v>
      </c>
      <c r="M161" s="11">
        <f t="shared" si="5"/>
        <v>47850</v>
      </c>
      <c r="N161" s="11">
        <f t="shared" si="6"/>
        <v>482850</v>
      </c>
      <c r="O161" s="5"/>
      <c r="P161" s="2" t="s">
        <v>634</v>
      </c>
    </row>
    <row r="162" spans="1:16" ht="20.399999999999999" x14ac:dyDescent="0.3">
      <c r="A162" s="2" t="s">
        <v>23</v>
      </c>
      <c r="B162" s="3">
        <v>46059.903726851902</v>
      </c>
      <c r="C162" s="2" t="s">
        <v>81</v>
      </c>
      <c r="D162" s="2" t="s">
        <v>155</v>
      </c>
      <c r="E162" s="4">
        <v>10</v>
      </c>
      <c r="F162" s="5" t="s">
        <v>314</v>
      </c>
      <c r="G162" s="2" t="s">
        <v>487</v>
      </c>
      <c r="H162" s="6">
        <v>500</v>
      </c>
      <c r="I162" s="5" t="s">
        <v>518</v>
      </c>
      <c r="J162" s="6">
        <v>2300</v>
      </c>
      <c r="K162" s="4">
        <v>0</v>
      </c>
      <c r="L162" s="7">
        <v>1150000</v>
      </c>
      <c r="M162" s="11">
        <f t="shared" si="5"/>
        <v>126500</v>
      </c>
      <c r="N162" s="11">
        <f t="shared" si="6"/>
        <v>1276500</v>
      </c>
      <c r="O162" s="5"/>
      <c r="P162" s="2" t="s">
        <v>634</v>
      </c>
    </row>
    <row r="163" spans="1:16" ht="20.399999999999999" x14ac:dyDescent="0.3">
      <c r="A163" s="2" t="s">
        <v>23</v>
      </c>
      <c r="B163" s="3">
        <v>46059.903726851902</v>
      </c>
      <c r="C163" s="2" t="s">
        <v>81</v>
      </c>
      <c r="D163" s="2" t="s">
        <v>155</v>
      </c>
      <c r="E163" s="4">
        <v>11</v>
      </c>
      <c r="F163" s="5" t="s">
        <v>315</v>
      </c>
      <c r="G163" s="2" t="s">
        <v>488</v>
      </c>
      <c r="H163" s="6">
        <v>120</v>
      </c>
      <c r="I163" s="5" t="s">
        <v>518</v>
      </c>
      <c r="J163" s="6">
        <v>500</v>
      </c>
      <c r="K163" s="4">
        <v>0</v>
      </c>
      <c r="L163" s="7">
        <v>60000</v>
      </c>
      <c r="M163" s="11">
        <f t="shared" si="5"/>
        <v>6600</v>
      </c>
      <c r="N163" s="11">
        <f t="shared" si="6"/>
        <v>66600</v>
      </c>
      <c r="O163" s="5"/>
      <c r="P163" s="2" t="s">
        <v>634</v>
      </c>
    </row>
    <row r="164" spans="1:16" ht="20.399999999999999" x14ac:dyDescent="0.3">
      <c r="A164" s="2" t="s">
        <v>23</v>
      </c>
      <c r="B164" s="3">
        <v>46059.903726851902</v>
      </c>
      <c r="C164" s="2" t="s">
        <v>81</v>
      </c>
      <c r="D164" s="2" t="s">
        <v>155</v>
      </c>
      <c r="E164" s="4">
        <v>12</v>
      </c>
      <c r="F164" s="5" t="s">
        <v>316</v>
      </c>
      <c r="G164" s="2" t="s">
        <v>489</v>
      </c>
      <c r="H164" s="6">
        <v>250</v>
      </c>
      <c r="I164" s="5" t="s">
        <v>518</v>
      </c>
      <c r="J164" s="6">
        <v>1600</v>
      </c>
      <c r="K164" s="4">
        <v>0</v>
      </c>
      <c r="L164" s="7">
        <v>400000</v>
      </c>
      <c r="M164" s="11">
        <f t="shared" si="5"/>
        <v>44000</v>
      </c>
      <c r="N164" s="11">
        <f t="shared" si="6"/>
        <v>444000</v>
      </c>
      <c r="O164" s="5"/>
      <c r="P164" s="2" t="s">
        <v>634</v>
      </c>
    </row>
    <row r="165" spans="1:16" ht="20.399999999999999" x14ac:dyDescent="0.3">
      <c r="A165" s="2" t="s">
        <v>23</v>
      </c>
      <c r="B165" s="3">
        <v>46059.903726851902</v>
      </c>
      <c r="C165" s="2" t="s">
        <v>81</v>
      </c>
      <c r="D165" s="2" t="s">
        <v>155</v>
      </c>
      <c r="E165" s="4">
        <v>13</v>
      </c>
      <c r="F165" s="5" t="s">
        <v>317</v>
      </c>
      <c r="G165" s="2" t="s">
        <v>490</v>
      </c>
      <c r="H165" s="6">
        <v>250</v>
      </c>
      <c r="I165" s="5" t="s">
        <v>518</v>
      </c>
      <c r="J165" s="6">
        <v>1900</v>
      </c>
      <c r="K165" s="4">
        <v>0</v>
      </c>
      <c r="L165" s="7">
        <v>475000</v>
      </c>
      <c r="M165" s="11">
        <f t="shared" si="5"/>
        <v>52250</v>
      </c>
      <c r="N165" s="11">
        <f t="shared" si="6"/>
        <v>527250</v>
      </c>
      <c r="O165" s="5"/>
      <c r="P165" s="2" t="s">
        <v>634</v>
      </c>
    </row>
    <row r="166" spans="1:16" ht="20.399999999999999" x14ac:dyDescent="0.3">
      <c r="A166" s="2" t="s">
        <v>23</v>
      </c>
      <c r="B166" s="3">
        <v>46059.904930555596</v>
      </c>
      <c r="C166" s="2" t="s">
        <v>82</v>
      </c>
      <c r="D166" s="2" t="s">
        <v>156</v>
      </c>
      <c r="E166" s="4">
        <v>1</v>
      </c>
      <c r="F166" s="5" t="s">
        <v>318</v>
      </c>
      <c r="G166" s="2" t="s">
        <v>491</v>
      </c>
      <c r="H166" s="7">
        <v>2500</v>
      </c>
      <c r="I166" s="5" t="s">
        <v>518</v>
      </c>
      <c r="J166" s="6">
        <v>6700</v>
      </c>
      <c r="K166" s="4">
        <v>0</v>
      </c>
      <c r="L166" s="7">
        <v>16750000</v>
      </c>
      <c r="M166" s="11">
        <f t="shared" si="5"/>
        <v>1842500</v>
      </c>
      <c r="N166" s="11">
        <f t="shared" si="6"/>
        <v>18592500</v>
      </c>
      <c r="O166" s="5"/>
      <c r="P166" s="2" t="s">
        <v>635</v>
      </c>
    </row>
    <row r="167" spans="1:16" ht="20.399999999999999" x14ac:dyDescent="0.3">
      <c r="A167" s="2" t="s">
        <v>24</v>
      </c>
      <c r="B167" s="3">
        <v>46060.378425925897</v>
      </c>
      <c r="C167" s="2" t="s">
        <v>83</v>
      </c>
      <c r="D167" s="2" t="s">
        <v>157</v>
      </c>
      <c r="E167" s="4">
        <v>1</v>
      </c>
      <c r="F167" s="5" t="s">
        <v>319</v>
      </c>
      <c r="G167" s="2" t="s">
        <v>492</v>
      </c>
      <c r="H167" s="6">
        <v>200</v>
      </c>
      <c r="I167" s="5" t="s">
        <v>518</v>
      </c>
      <c r="J167" s="7">
        <v>74000</v>
      </c>
      <c r="K167" s="4">
        <v>0</v>
      </c>
      <c r="L167" s="7">
        <v>14800000</v>
      </c>
      <c r="M167" s="11">
        <f t="shared" si="5"/>
        <v>1628000</v>
      </c>
      <c r="N167" s="11">
        <f t="shared" si="6"/>
        <v>16428000</v>
      </c>
      <c r="O167" s="2" t="s">
        <v>566</v>
      </c>
      <c r="P167" s="2" t="s">
        <v>636</v>
      </c>
    </row>
    <row r="168" spans="1:16" ht="20.399999999999999" x14ac:dyDescent="0.3">
      <c r="A168" s="2" t="s">
        <v>25</v>
      </c>
      <c r="B168" s="3">
        <v>46060.649259259299</v>
      </c>
      <c r="C168" s="2" t="s">
        <v>84</v>
      </c>
      <c r="D168" s="2" t="s">
        <v>158</v>
      </c>
      <c r="E168" s="4">
        <v>1</v>
      </c>
      <c r="F168" s="5" t="s">
        <v>320</v>
      </c>
      <c r="G168" s="2" t="s">
        <v>493</v>
      </c>
      <c r="H168" s="6">
        <v>250</v>
      </c>
      <c r="I168" s="5" t="s">
        <v>518</v>
      </c>
      <c r="J168" s="7">
        <v>16022</v>
      </c>
      <c r="K168" s="4">
        <v>0</v>
      </c>
      <c r="L168" s="7">
        <v>4005500</v>
      </c>
      <c r="M168" s="12">
        <v>0</v>
      </c>
      <c r="N168" s="11">
        <f t="shared" si="6"/>
        <v>4005500</v>
      </c>
      <c r="O168" s="5"/>
      <c r="P168" s="2" t="s">
        <v>637</v>
      </c>
    </row>
    <row r="169" spans="1:16" ht="20.399999999999999" x14ac:dyDescent="0.3">
      <c r="A169" s="2" t="s">
        <v>25</v>
      </c>
      <c r="B169" s="3">
        <v>46060.649259259299</v>
      </c>
      <c r="C169" s="2" t="s">
        <v>84</v>
      </c>
      <c r="D169" s="2" t="s">
        <v>158</v>
      </c>
      <c r="E169" s="4">
        <v>2</v>
      </c>
      <c r="F169" s="5" t="s">
        <v>321</v>
      </c>
      <c r="G169" s="2" t="s">
        <v>494</v>
      </c>
      <c r="H169" s="6">
        <v>200</v>
      </c>
      <c r="I169" s="5" t="s">
        <v>518</v>
      </c>
      <c r="J169" s="7">
        <v>18705</v>
      </c>
      <c r="K169" s="4">
        <v>0</v>
      </c>
      <c r="L169" s="7">
        <v>3741000</v>
      </c>
      <c r="M169" s="12">
        <v>0</v>
      </c>
      <c r="N169" s="11">
        <f t="shared" si="6"/>
        <v>3741000</v>
      </c>
      <c r="O169" s="5"/>
      <c r="P169" s="2" t="s">
        <v>637</v>
      </c>
    </row>
    <row r="170" spans="1:16" ht="20.399999999999999" x14ac:dyDescent="0.3">
      <c r="A170" s="2" t="s">
        <v>25</v>
      </c>
      <c r="B170" s="3">
        <v>46060.649259259299</v>
      </c>
      <c r="C170" s="2" t="s">
        <v>84</v>
      </c>
      <c r="D170" s="2" t="s">
        <v>158</v>
      </c>
      <c r="E170" s="4">
        <v>3</v>
      </c>
      <c r="F170" s="5" t="s">
        <v>322</v>
      </c>
      <c r="G170" s="2" t="s">
        <v>495</v>
      </c>
      <c r="H170" s="6">
        <v>67</v>
      </c>
      <c r="I170" s="5" t="s">
        <v>518</v>
      </c>
      <c r="J170" s="7">
        <v>18480</v>
      </c>
      <c r="K170" s="4">
        <v>0</v>
      </c>
      <c r="L170" s="7">
        <v>1238160</v>
      </c>
      <c r="M170" s="12">
        <v>0</v>
      </c>
      <c r="N170" s="11">
        <f t="shared" si="6"/>
        <v>1238160</v>
      </c>
      <c r="O170" s="5"/>
      <c r="P170" s="2" t="s">
        <v>637</v>
      </c>
    </row>
    <row r="171" spans="1:16" ht="20.399999999999999" x14ac:dyDescent="0.3">
      <c r="A171" s="2" t="s">
        <v>25</v>
      </c>
      <c r="B171" s="3">
        <v>46060.649259259299</v>
      </c>
      <c r="C171" s="2" t="s">
        <v>84</v>
      </c>
      <c r="D171" s="2" t="s">
        <v>158</v>
      </c>
      <c r="E171" s="4">
        <v>4</v>
      </c>
      <c r="F171" s="5" t="s">
        <v>323</v>
      </c>
      <c r="G171" s="2" t="s">
        <v>496</v>
      </c>
      <c r="H171" s="6">
        <v>67</v>
      </c>
      <c r="I171" s="5" t="s">
        <v>518</v>
      </c>
      <c r="J171" s="7">
        <v>20160</v>
      </c>
      <c r="K171" s="4">
        <v>0</v>
      </c>
      <c r="L171" s="7">
        <v>1350720</v>
      </c>
      <c r="M171" s="12">
        <v>0</v>
      </c>
      <c r="N171" s="11">
        <f t="shared" si="6"/>
        <v>1350720</v>
      </c>
      <c r="O171" s="5"/>
      <c r="P171" s="2" t="s">
        <v>637</v>
      </c>
    </row>
    <row r="172" spans="1:16" ht="20.399999999999999" x14ac:dyDescent="0.3">
      <c r="A172" s="2" t="s">
        <v>25</v>
      </c>
      <c r="B172" s="3">
        <v>46060.649259259299</v>
      </c>
      <c r="C172" s="2" t="s">
        <v>84</v>
      </c>
      <c r="D172" s="2" t="s">
        <v>158</v>
      </c>
      <c r="E172" s="4">
        <v>5</v>
      </c>
      <c r="F172" s="5" t="s">
        <v>324</v>
      </c>
      <c r="G172" s="2" t="s">
        <v>497</v>
      </c>
      <c r="H172" s="6">
        <v>100</v>
      </c>
      <c r="I172" s="5" t="s">
        <v>518</v>
      </c>
      <c r="J172" s="7">
        <v>18705</v>
      </c>
      <c r="K172" s="4">
        <v>0</v>
      </c>
      <c r="L172" s="7">
        <v>1870500</v>
      </c>
      <c r="M172" s="12">
        <v>0</v>
      </c>
      <c r="N172" s="11">
        <f t="shared" si="6"/>
        <v>1870500</v>
      </c>
      <c r="O172" s="5"/>
      <c r="P172" s="2" t="s">
        <v>637</v>
      </c>
    </row>
    <row r="173" spans="1:16" ht="20.399999999999999" x14ac:dyDescent="0.3">
      <c r="A173" s="2" t="s">
        <v>25</v>
      </c>
      <c r="B173" s="3">
        <v>46060.649259259299</v>
      </c>
      <c r="C173" s="2" t="s">
        <v>84</v>
      </c>
      <c r="D173" s="2" t="s">
        <v>158</v>
      </c>
      <c r="E173" s="4">
        <v>6</v>
      </c>
      <c r="F173" s="5" t="s">
        <v>325</v>
      </c>
      <c r="G173" s="2" t="s">
        <v>498</v>
      </c>
      <c r="H173" s="6">
        <v>80</v>
      </c>
      <c r="I173" s="5" t="s">
        <v>518</v>
      </c>
      <c r="J173" s="7">
        <v>20300</v>
      </c>
      <c r="K173" s="4">
        <v>0</v>
      </c>
      <c r="L173" s="7">
        <v>1624000</v>
      </c>
      <c r="M173" s="12">
        <v>0</v>
      </c>
      <c r="N173" s="11">
        <f t="shared" si="6"/>
        <v>1624000</v>
      </c>
      <c r="O173" s="5"/>
      <c r="P173" s="2" t="s">
        <v>637</v>
      </c>
    </row>
    <row r="174" spans="1:16" ht="20.399999999999999" x14ac:dyDescent="0.3">
      <c r="A174" s="2" t="s">
        <v>25</v>
      </c>
      <c r="B174" s="3">
        <v>46060.649259259299</v>
      </c>
      <c r="C174" s="2" t="s">
        <v>84</v>
      </c>
      <c r="D174" s="2" t="s">
        <v>158</v>
      </c>
      <c r="E174" s="4">
        <v>7</v>
      </c>
      <c r="F174" s="5" t="s">
        <v>326</v>
      </c>
      <c r="G174" s="2" t="s">
        <v>499</v>
      </c>
      <c r="H174" s="6">
        <v>100</v>
      </c>
      <c r="I174" s="5" t="s">
        <v>518</v>
      </c>
      <c r="J174" s="7">
        <v>13904</v>
      </c>
      <c r="K174" s="4">
        <v>0</v>
      </c>
      <c r="L174" s="7">
        <v>1390400</v>
      </c>
      <c r="M174" s="12">
        <v>0</v>
      </c>
      <c r="N174" s="11">
        <f t="shared" si="6"/>
        <v>1390400</v>
      </c>
      <c r="O174" s="5"/>
      <c r="P174" s="2" t="s">
        <v>637</v>
      </c>
    </row>
    <row r="175" spans="1:16" ht="20.399999999999999" x14ac:dyDescent="0.3">
      <c r="A175" s="2" t="s">
        <v>14</v>
      </c>
      <c r="B175" s="3">
        <v>46062.3456828704</v>
      </c>
      <c r="C175" s="2" t="s">
        <v>58</v>
      </c>
      <c r="D175" s="2" t="s">
        <v>159</v>
      </c>
      <c r="E175" s="4">
        <v>1</v>
      </c>
      <c r="F175" s="5" t="s">
        <v>234</v>
      </c>
      <c r="G175" s="2" t="s">
        <v>407</v>
      </c>
      <c r="H175" s="6">
        <v>500</v>
      </c>
      <c r="I175" s="5" t="s">
        <v>518</v>
      </c>
      <c r="J175" s="7">
        <v>18695</v>
      </c>
      <c r="K175" s="4">
        <v>0</v>
      </c>
      <c r="L175" s="7">
        <v>9347500</v>
      </c>
      <c r="M175" s="12">
        <v>0</v>
      </c>
      <c r="N175" s="11">
        <f t="shared" si="6"/>
        <v>9347500</v>
      </c>
      <c r="O175" s="5"/>
      <c r="P175" s="2" t="s">
        <v>638</v>
      </c>
    </row>
    <row r="176" spans="1:16" ht="20.399999999999999" x14ac:dyDescent="0.3">
      <c r="A176" s="2" t="s">
        <v>14</v>
      </c>
      <c r="B176" s="3">
        <v>46062.3456828704</v>
      </c>
      <c r="C176" s="2" t="s">
        <v>58</v>
      </c>
      <c r="D176" s="2" t="s">
        <v>159</v>
      </c>
      <c r="E176" s="4">
        <v>2</v>
      </c>
      <c r="F176" s="5" t="s">
        <v>327</v>
      </c>
      <c r="G176" s="2" t="s">
        <v>500</v>
      </c>
      <c r="H176" s="6">
        <v>200</v>
      </c>
      <c r="I176" s="5" t="s">
        <v>518</v>
      </c>
      <c r="J176" s="7">
        <v>12389</v>
      </c>
      <c r="K176" s="4">
        <v>0</v>
      </c>
      <c r="L176" s="7">
        <v>2477800</v>
      </c>
      <c r="M176" s="12">
        <v>0</v>
      </c>
      <c r="N176" s="11">
        <f t="shared" si="6"/>
        <v>2477800</v>
      </c>
      <c r="O176" s="5"/>
      <c r="P176" s="2" t="s">
        <v>638</v>
      </c>
    </row>
    <row r="177" spans="1:16" ht="20.399999999999999" x14ac:dyDescent="0.3">
      <c r="A177" s="2" t="s">
        <v>26</v>
      </c>
      <c r="B177" s="3">
        <v>46062.346261574101</v>
      </c>
      <c r="C177" s="2" t="s">
        <v>85</v>
      </c>
      <c r="D177" s="2" t="s">
        <v>160</v>
      </c>
      <c r="E177" s="4">
        <v>1</v>
      </c>
      <c r="F177" s="5" t="s">
        <v>328</v>
      </c>
      <c r="G177" s="2" t="s">
        <v>501</v>
      </c>
      <c r="H177" s="6">
        <v>500</v>
      </c>
      <c r="I177" s="5" t="s">
        <v>518</v>
      </c>
      <c r="J177" s="7">
        <v>24960</v>
      </c>
      <c r="K177" s="4">
        <v>0</v>
      </c>
      <c r="L177" s="7">
        <v>12480000</v>
      </c>
      <c r="M177" s="11">
        <f t="shared" ref="M177:M192" si="7">L177*11%</f>
        <v>1372800</v>
      </c>
      <c r="N177" s="11">
        <f t="shared" si="6"/>
        <v>13852800</v>
      </c>
      <c r="O177" s="2" t="s">
        <v>567</v>
      </c>
      <c r="P177" s="2" t="s">
        <v>639</v>
      </c>
    </row>
    <row r="178" spans="1:16" ht="20.399999999999999" x14ac:dyDescent="0.3">
      <c r="A178" s="2" t="s">
        <v>26</v>
      </c>
      <c r="B178" s="3">
        <v>46062.3468055556</v>
      </c>
      <c r="C178" s="2" t="s">
        <v>86</v>
      </c>
      <c r="D178" s="2" t="s">
        <v>161</v>
      </c>
      <c r="E178" s="4">
        <v>1</v>
      </c>
      <c r="F178" s="5" t="s">
        <v>329</v>
      </c>
      <c r="G178" s="2" t="s">
        <v>502</v>
      </c>
      <c r="H178" s="6">
        <v>500</v>
      </c>
      <c r="I178" s="5" t="s">
        <v>518</v>
      </c>
      <c r="J178" s="7">
        <v>24960</v>
      </c>
      <c r="K178" s="4">
        <v>0</v>
      </c>
      <c r="L178" s="7">
        <v>12480000</v>
      </c>
      <c r="M178" s="11">
        <f t="shared" si="7"/>
        <v>1372800</v>
      </c>
      <c r="N178" s="11">
        <f t="shared" si="6"/>
        <v>13852800</v>
      </c>
      <c r="O178" s="2" t="s">
        <v>568</v>
      </c>
      <c r="P178" s="2" t="s">
        <v>640</v>
      </c>
    </row>
    <row r="179" spans="1:16" ht="20.399999999999999" x14ac:dyDescent="0.3">
      <c r="A179" s="2" t="s">
        <v>1</v>
      </c>
      <c r="B179" s="3">
        <v>46062.388946759304</v>
      </c>
      <c r="C179" s="2" t="s">
        <v>29</v>
      </c>
      <c r="D179" s="2" t="s">
        <v>162</v>
      </c>
      <c r="E179" s="4">
        <v>1</v>
      </c>
      <c r="F179" s="5" t="s">
        <v>330</v>
      </c>
      <c r="G179" s="2" t="s">
        <v>503</v>
      </c>
      <c r="H179" s="6">
        <v>100</v>
      </c>
      <c r="I179" s="5" t="s">
        <v>517</v>
      </c>
      <c r="J179" s="6">
        <v>5840</v>
      </c>
      <c r="K179" s="4">
        <v>0</v>
      </c>
      <c r="L179" s="7">
        <v>584000</v>
      </c>
      <c r="M179" s="11">
        <f t="shared" si="7"/>
        <v>64240</v>
      </c>
      <c r="N179" s="11">
        <f t="shared" si="6"/>
        <v>648240</v>
      </c>
      <c r="O179" s="5"/>
      <c r="P179" s="2" t="s">
        <v>641</v>
      </c>
    </row>
    <row r="180" spans="1:16" ht="20.399999999999999" x14ac:dyDescent="0.3">
      <c r="A180" s="2" t="s">
        <v>1</v>
      </c>
      <c r="B180" s="3">
        <v>46062.3890972222</v>
      </c>
      <c r="C180" s="2" t="s">
        <v>61</v>
      </c>
      <c r="D180" s="2" t="s">
        <v>163</v>
      </c>
      <c r="E180" s="4">
        <v>1</v>
      </c>
      <c r="F180" s="5" t="s">
        <v>331</v>
      </c>
      <c r="G180" s="2" t="s">
        <v>504</v>
      </c>
      <c r="H180" s="6">
        <v>100</v>
      </c>
      <c r="I180" s="5" t="s">
        <v>517</v>
      </c>
      <c r="J180" s="6">
        <v>1700</v>
      </c>
      <c r="K180" s="4">
        <v>0</v>
      </c>
      <c r="L180" s="7">
        <v>170000</v>
      </c>
      <c r="M180" s="11">
        <f t="shared" si="7"/>
        <v>18700</v>
      </c>
      <c r="N180" s="11">
        <f t="shared" si="6"/>
        <v>188700</v>
      </c>
      <c r="O180" s="5"/>
      <c r="P180" s="2" t="s">
        <v>642</v>
      </c>
    </row>
    <row r="181" spans="1:16" ht="20.399999999999999" x14ac:dyDescent="0.3">
      <c r="A181" s="2" t="s">
        <v>1</v>
      </c>
      <c r="B181" s="3">
        <v>46062.395648148202</v>
      </c>
      <c r="C181" s="2" t="s">
        <v>87</v>
      </c>
      <c r="D181" s="2" t="s">
        <v>164</v>
      </c>
      <c r="E181" s="4">
        <v>1</v>
      </c>
      <c r="F181" s="5" t="s">
        <v>332</v>
      </c>
      <c r="G181" s="2" t="s">
        <v>505</v>
      </c>
      <c r="H181" s="6">
        <v>50</v>
      </c>
      <c r="I181" s="5" t="s">
        <v>518</v>
      </c>
      <c r="J181" s="7">
        <v>128500</v>
      </c>
      <c r="K181" s="4">
        <v>0</v>
      </c>
      <c r="L181" s="7">
        <v>6425000</v>
      </c>
      <c r="M181" s="11">
        <f t="shared" si="7"/>
        <v>706750</v>
      </c>
      <c r="N181" s="11">
        <f t="shared" si="6"/>
        <v>7131750</v>
      </c>
      <c r="O181" s="5"/>
      <c r="P181" s="2" t="s">
        <v>643</v>
      </c>
    </row>
    <row r="182" spans="1:16" ht="20.399999999999999" x14ac:dyDescent="0.3">
      <c r="A182" s="2" t="s">
        <v>1</v>
      </c>
      <c r="B182" s="3">
        <v>46062.395648148202</v>
      </c>
      <c r="C182" s="2" t="s">
        <v>87</v>
      </c>
      <c r="D182" s="2" t="s">
        <v>164</v>
      </c>
      <c r="E182" s="4">
        <v>2</v>
      </c>
      <c r="F182" s="5" t="s">
        <v>333</v>
      </c>
      <c r="G182" s="2" t="s">
        <v>506</v>
      </c>
      <c r="H182" s="6">
        <v>150</v>
      </c>
      <c r="I182" s="5" t="s">
        <v>518</v>
      </c>
      <c r="J182" s="7">
        <v>29000</v>
      </c>
      <c r="K182" s="4">
        <v>0</v>
      </c>
      <c r="L182" s="7">
        <v>4350000</v>
      </c>
      <c r="M182" s="11">
        <f t="shared" si="7"/>
        <v>478500</v>
      </c>
      <c r="N182" s="11">
        <f t="shared" si="6"/>
        <v>4828500</v>
      </c>
      <c r="O182" s="5"/>
      <c r="P182" s="2" t="s">
        <v>643</v>
      </c>
    </row>
    <row r="183" spans="1:16" ht="20.399999999999999" x14ac:dyDescent="0.3">
      <c r="A183" s="2" t="s">
        <v>1</v>
      </c>
      <c r="B183" s="3">
        <v>46062.395648148202</v>
      </c>
      <c r="C183" s="2" t="s">
        <v>87</v>
      </c>
      <c r="D183" s="2" t="s">
        <v>164</v>
      </c>
      <c r="E183" s="4">
        <v>3</v>
      </c>
      <c r="F183" s="5" t="s">
        <v>334</v>
      </c>
      <c r="G183" s="2" t="s">
        <v>507</v>
      </c>
      <c r="H183" s="6">
        <v>50</v>
      </c>
      <c r="I183" s="5" t="s">
        <v>518</v>
      </c>
      <c r="J183" s="7">
        <v>24960</v>
      </c>
      <c r="K183" s="4">
        <v>0</v>
      </c>
      <c r="L183" s="7">
        <v>1248000</v>
      </c>
      <c r="M183" s="11">
        <f t="shared" si="7"/>
        <v>137280</v>
      </c>
      <c r="N183" s="11">
        <f t="shared" si="6"/>
        <v>1385280</v>
      </c>
      <c r="O183" s="5"/>
      <c r="P183" s="2" t="s">
        <v>643</v>
      </c>
    </row>
    <row r="184" spans="1:16" ht="20.399999999999999" x14ac:dyDescent="0.3">
      <c r="A184" s="2" t="s">
        <v>1</v>
      </c>
      <c r="B184" s="3">
        <v>46062.396342592598</v>
      </c>
      <c r="C184" s="2" t="s">
        <v>88</v>
      </c>
      <c r="D184" s="2" t="s">
        <v>165</v>
      </c>
      <c r="E184" s="4">
        <v>1</v>
      </c>
      <c r="F184" s="5" t="s">
        <v>335</v>
      </c>
      <c r="G184" s="2" t="s">
        <v>508</v>
      </c>
      <c r="H184" s="6">
        <v>10</v>
      </c>
      <c r="I184" s="5" t="s">
        <v>518</v>
      </c>
      <c r="J184" s="7">
        <v>90000</v>
      </c>
      <c r="K184" s="4">
        <v>0</v>
      </c>
      <c r="L184" s="7">
        <v>900000</v>
      </c>
      <c r="M184" s="11">
        <f t="shared" si="7"/>
        <v>99000</v>
      </c>
      <c r="N184" s="11">
        <f t="shared" si="6"/>
        <v>999000</v>
      </c>
      <c r="O184" s="5"/>
      <c r="P184" s="2" t="s">
        <v>644</v>
      </c>
    </row>
    <row r="185" spans="1:16" ht="20.399999999999999" x14ac:dyDescent="0.3">
      <c r="A185" s="2" t="s">
        <v>1</v>
      </c>
      <c r="B185" s="3">
        <v>46062.3972222222</v>
      </c>
      <c r="C185" s="2" t="s">
        <v>89</v>
      </c>
      <c r="D185" s="2" t="s">
        <v>166</v>
      </c>
      <c r="E185" s="4">
        <v>1</v>
      </c>
      <c r="F185" s="5" t="s">
        <v>336</v>
      </c>
      <c r="G185" s="2" t="s">
        <v>509</v>
      </c>
      <c r="H185" s="6">
        <v>1</v>
      </c>
      <c r="I185" s="5" t="s">
        <v>519</v>
      </c>
      <c r="J185" s="7">
        <v>643500</v>
      </c>
      <c r="K185" s="4">
        <v>0</v>
      </c>
      <c r="L185" s="7">
        <v>643500</v>
      </c>
      <c r="M185" s="11">
        <f t="shared" si="7"/>
        <v>70785</v>
      </c>
      <c r="N185" s="11">
        <f t="shared" si="6"/>
        <v>714285</v>
      </c>
      <c r="O185" s="5"/>
      <c r="P185" s="2" t="s">
        <v>645</v>
      </c>
    </row>
    <row r="186" spans="1:16" ht="20.399999999999999" x14ac:dyDescent="0.3">
      <c r="A186" s="2" t="s">
        <v>1</v>
      </c>
      <c r="B186" s="3">
        <v>46062.3972222222</v>
      </c>
      <c r="C186" s="2" t="s">
        <v>89</v>
      </c>
      <c r="D186" s="2" t="s">
        <v>166</v>
      </c>
      <c r="E186" s="4">
        <v>2</v>
      </c>
      <c r="F186" s="5" t="s">
        <v>337</v>
      </c>
      <c r="G186" s="2" t="s">
        <v>510</v>
      </c>
      <c r="H186" s="6">
        <v>200</v>
      </c>
      <c r="I186" s="5" t="s">
        <v>518</v>
      </c>
      <c r="J186" s="6">
        <v>2800</v>
      </c>
      <c r="K186" s="4">
        <v>0</v>
      </c>
      <c r="L186" s="7">
        <v>560000</v>
      </c>
      <c r="M186" s="11">
        <f t="shared" si="7"/>
        <v>61600</v>
      </c>
      <c r="N186" s="11">
        <f t="shared" si="6"/>
        <v>621600</v>
      </c>
      <c r="O186" s="5"/>
      <c r="P186" s="2" t="s">
        <v>645</v>
      </c>
    </row>
    <row r="187" spans="1:16" ht="20.399999999999999" x14ac:dyDescent="0.3">
      <c r="A187" s="2" t="s">
        <v>1</v>
      </c>
      <c r="B187" s="3">
        <v>46062.3972222222</v>
      </c>
      <c r="C187" s="2" t="s">
        <v>89</v>
      </c>
      <c r="D187" s="2" t="s">
        <v>166</v>
      </c>
      <c r="E187" s="4">
        <v>3</v>
      </c>
      <c r="F187" s="5" t="s">
        <v>338</v>
      </c>
      <c r="G187" s="2" t="s">
        <v>511</v>
      </c>
      <c r="H187" s="6">
        <v>50</v>
      </c>
      <c r="I187" s="5" t="s">
        <v>518</v>
      </c>
      <c r="J187" s="6">
        <v>5280</v>
      </c>
      <c r="K187" s="4">
        <v>0</v>
      </c>
      <c r="L187" s="7">
        <v>264000</v>
      </c>
      <c r="M187" s="11">
        <f t="shared" si="7"/>
        <v>29040</v>
      </c>
      <c r="N187" s="11">
        <f t="shared" si="6"/>
        <v>293040</v>
      </c>
      <c r="O187" s="5"/>
      <c r="P187" s="2" t="s">
        <v>645</v>
      </c>
    </row>
    <row r="188" spans="1:16" ht="20.399999999999999" x14ac:dyDescent="0.3">
      <c r="A188" s="2" t="s">
        <v>1</v>
      </c>
      <c r="B188" s="3">
        <v>46062.3972222222</v>
      </c>
      <c r="C188" s="2" t="s">
        <v>89</v>
      </c>
      <c r="D188" s="2" t="s">
        <v>166</v>
      </c>
      <c r="E188" s="4">
        <v>4</v>
      </c>
      <c r="F188" s="5" t="s">
        <v>339</v>
      </c>
      <c r="G188" s="2" t="s">
        <v>512</v>
      </c>
      <c r="H188" s="6">
        <v>200</v>
      </c>
      <c r="I188" s="5" t="s">
        <v>517</v>
      </c>
      <c r="J188" s="6">
        <v>1804</v>
      </c>
      <c r="K188" s="4">
        <v>0</v>
      </c>
      <c r="L188" s="7">
        <v>360800</v>
      </c>
      <c r="M188" s="11">
        <f t="shared" si="7"/>
        <v>39688</v>
      </c>
      <c r="N188" s="11">
        <f t="shared" si="6"/>
        <v>400488</v>
      </c>
      <c r="O188" s="5"/>
      <c r="P188" s="2" t="s">
        <v>645</v>
      </c>
    </row>
    <row r="189" spans="1:16" ht="20.399999999999999" x14ac:dyDescent="0.3">
      <c r="A189" s="2" t="s">
        <v>1</v>
      </c>
      <c r="B189" s="3">
        <v>46062.3972222222</v>
      </c>
      <c r="C189" s="2" t="s">
        <v>89</v>
      </c>
      <c r="D189" s="2" t="s">
        <v>166</v>
      </c>
      <c r="E189" s="4">
        <v>5</v>
      </c>
      <c r="F189" s="5" t="s">
        <v>340</v>
      </c>
      <c r="G189" s="2" t="s">
        <v>513</v>
      </c>
      <c r="H189" s="6">
        <v>200</v>
      </c>
      <c r="I189" s="5" t="s">
        <v>518</v>
      </c>
      <c r="J189" s="6">
        <v>2250</v>
      </c>
      <c r="K189" s="4">
        <v>0</v>
      </c>
      <c r="L189" s="7">
        <v>450000</v>
      </c>
      <c r="M189" s="11">
        <f t="shared" si="7"/>
        <v>49500</v>
      </c>
      <c r="N189" s="11">
        <f t="shared" si="6"/>
        <v>499500</v>
      </c>
      <c r="O189" s="5"/>
      <c r="P189" s="2" t="s">
        <v>645</v>
      </c>
    </row>
    <row r="190" spans="1:16" ht="20.399999999999999" x14ac:dyDescent="0.3">
      <c r="A190" s="2" t="s">
        <v>1</v>
      </c>
      <c r="B190" s="3">
        <v>46062.3972222222</v>
      </c>
      <c r="C190" s="2" t="s">
        <v>89</v>
      </c>
      <c r="D190" s="2" t="s">
        <v>166</v>
      </c>
      <c r="E190" s="4">
        <v>6</v>
      </c>
      <c r="F190" s="5" t="s">
        <v>341</v>
      </c>
      <c r="G190" s="2" t="s">
        <v>514</v>
      </c>
      <c r="H190" s="6">
        <v>200</v>
      </c>
      <c r="I190" s="5" t="s">
        <v>518</v>
      </c>
      <c r="J190" s="6">
        <v>2250</v>
      </c>
      <c r="K190" s="4">
        <v>0</v>
      </c>
      <c r="L190" s="7">
        <v>450000</v>
      </c>
      <c r="M190" s="11">
        <f t="shared" si="7"/>
        <v>49500</v>
      </c>
      <c r="N190" s="11">
        <f t="shared" si="6"/>
        <v>499500</v>
      </c>
      <c r="O190" s="5"/>
      <c r="P190" s="2" t="s">
        <v>645</v>
      </c>
    </row>
    <row r="191" spans="1:16" ht="30.6" x14ac:dyDescent="0.3">
      <c r="A191" s="2" t="s">
        <v>8</v>
      </c>
      <c r="B191" s="3">
        <v>46062.8441087963</v>
      </c>
      <c r="C191" s="2" t="s">
        <v>40</v>
      </c>
      <c r="D191" s="2" t="s">
        <v>167</v>
      </c>
      <c r="E191" s="4">
        <v>1</v>
      </c>
      <c r="F191" s="5" t="s">
        <v>198</v>
      </c>
      <c r="G191" s="2" t="s">
        <v>371</v>
      </c>
      <c r="H191" s="6">
        <v>620</v>
      </c>
      <c r="I191" s="5" t="s">
        <v>518</v>
      </c>
      <c r="J191" s="7">
        <v>17500</v>
      </c>
      <c r="K191" s="4">
        <v>0</v>
      </c>
      <c r="L191" s="7">
        <v>10850000</v>
      </c>
      <c r="M191" s="11">
        <f t="shared" si="7"/>
        <v>1193500</v>
      </c>
      <c r="N191" s="11">
        <f t="shared" si="6"/>
        <v>12043500</v>
      </c>
      <c r="O191" s="5"/>
      <c r="P191" s="2" t="s">
        <v>646</v>
      </c>
    </row>
    <row r="192" spans="1:16" ht="30.6" x14ac:dyDescent="0.3">
      <c r="A192" s="2" t="s">
        <v>8</v>
      </c>
      <c r="B192" s="3">
        <v>46062.8441087963</v>
      </c>
      <c r="C192" s="2" t="s">
        <v>40</v>
      </c>
      <c r="D192" s="2" t="s">
        <v>167</v>
      </c>
      <c r="E192" s="4">
        <v>2</v>
      </c>
      <c r="F192" s="5" t="s">
        <v>199</v>
      </c>
      <c r="G192" s="2" t="s">
        <v>372</v>
      </c>
      <c r="H192" s="7">
        <v>1210</v>
      </c>
      <c r="I192" s="5" t="s">
        <v>518</v>
      </c>
      <c r="J192" s="7">
        <v>18600</v>
      </c>
      <c r="K192" s="4">
        <v>0</v>
      </c>
      <c r="L192" s="7">
        <v>22506000</v>
      </c>
      <c r="M192" s="11">
        <f t="shared" si="7"/>
        <v>2475660</v>
      </c>
      <c r="N192" s="11">
        <f t="shared" si="6"/>
        <v>24981660</v>
      </c>
      <c r="O192" s="5"/>
      <c r="P192" s="2" t="s">
        <v>646</v>
      </c>
    </row>
    <row r="194" spans="14:14" x14ac:dyDescent="0.3">
      <c r="N194" s="14">
        <f>SUBTOTAL(109,N2:N192)</f>
        <v>532543680.93000001</v>
      </c>
    </row>
  </sheetData>
  <autoFilter ref="A1:P19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Syifa Nisa</cp:lastModifiedBy>
  <dcterms:modified xsi:type="dcterms:W3CDTF">2026-02-09T03:21:38Z</dcterms:modified>
</cp:coreProperties>
</file>