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fd\Downloads\"/>
    </mc:Choice>
  </mc:AlternateContent>
  <xr:revisionPtr revIDLastSave="0" documentId="13_ncr:1_{EFB025D1-44F0-4A60-A7AB-C94D91B92EED}" xr6:coauthVersionLast="47" xr6:coauthVersionMax="47" xr10:uidLastSave="{00000000-0000-0000-0000-000000000000}"/>
  <bookViews>
    <workbookView xWindow="-110" yWindow="-110" windowWidth="19420" windowHeight="10300" activeTab="2" xr2:uid="{5E75FAC2-F130-478A-BE2D-63CE5EC8E54C}"/>
  </bookViews>
  <sheets>
    <sheet name="STOCK FG" sheetId="1" r:id="rId1"/>
    <sheet name="STOCK RAW" sheetId="2" r:id="rId2"/>
    <sheet name="STOCK GENERAL (GT)" sheetId="3" r:id="rId3"/>
  </sheets>
  <definedNames>
    <definedName name="_xlnm._FilterDatabase" localSheetId="0" hidden="1">'STOCK FG'!$A$4:$M$177</definedName>
    <definedName name="_xlnm._FilterDatabase" localSheetId="2" hidden="1">'STOCK GENERAL (GT)'!$A$1:$Z$3310</definedName>
    <definedName name="_xlnm._FilterDatabase" localSheetId="1" hidden="1">'STOCK RAW'!$A$4:$G$89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Z645" i="3"/>
  <c r="E568" i="3"/>
  <c r="E3310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1" i="3" s="1"/>
  <c r="A3032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3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5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I568" i="3" l="1"/>
  <c r="I3310" i="3" s="1"/>
  <c r="F177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G89" i="2"/>
  <c r="G88" i="2"/>
  <c r="G87" i="2"/>
  <c r="E87" i="2"/>
  <c r="G86" i="2"/>
  <c r="E85" i="2"/>
  <c r="G85" i="2" s="1"/>
  <c r="G84" i="2"/>
  <c r="G83" i="2"/>
  <c r="G82" i="2"/>
  <c r="E81" i="2"/>
  <c r="G81" i="2" s="1"/>
  <c r="E80" i="2"/>
  <c r="G80" i="2" s="1"/>
  <c r="G79" i="2"/>
  <c r="G78" i="2"/>
  <c r="E77" i="2"/>
  <c r="G77" i="2" s="1"/>
  <c r="G76" i="2"/>
  <c r="G75" i="2"/>
  <c r="G74" i="2"/>
  <c r="G73" i="2"/>
  <c r="G72" i="2"/>
  <c r="E71" i="2"/>
  <c r="G71" i="2" s="1"/>
  <c r="G70" i="2"/>
  <c r="G69" i="2"/>
  <c r="G68" i="2"/>
  <c r="E68" i="2"/>
  <c r="G67" i="2"/>
  <c r="G66" i="2"/>
  <c r="G65" i="2"/>
  <c r="G64" i="2"/>
  <c r="G63" i="2"/>
  <c r="E62" i="2"/>
  <c r="G62" i="2" s="1"/>
  <c r="G61" i="2"/>
  <c r="E61" i="2"/>
  <c r="G60" i="2"/>
  <c r="G59" i="2"/>
  <c r="G58" i="2"/>
  <c r="E57" i="2"/>
  <c r="G57" i="2" s="1"/>
  <c r="G56" i="2"/>
  <c r="E55" i="2"/>
  <c r="G54" i="2"/>
  <c r="G53" i="2"/>
  <c r="G52" i="2"/>
  <c r="G51" i="2"/>
  <c r="E51" i="2"/>
  <c r="E50" i="2"/>
  <c r="G50" i="2" s="1"/>
  <c r="G49" i="2"/>
  <c r="G48" i="2"/>
  <c r="E48" i="2"/>
  <c r="G47" i="2"/>
  <c r="E46" i="2"/>
  <c r="G46" i="2" s="1"/>
  <c r="G45" i="2"/>
  <c r="E44" i="2"/>
  <c r="G44" i="2" s="1"/>
  <c r="G43" i="2"/>
  <c r="G42" i="2"/>
  <c r="E42" i="2"/>
  <c r="G41" i="2"/>
  <c r="E40" i="2"/>
  <c r="G40" i="2" s="1"/>
  <c r="G39" i="2"/>
  <c r="G38" i="2"/>
  <c r="G37" i="2"/>
  <c r="G36" i="2"/>
  <c r="G35" i="2"/>
  <c r="G34" i="2"/>
  <c r="E33" i="2"/>
  <c r="G33" i="2" s="1"/>
  <c r="G32" i="2"/>
  <c r="G31" i="2"/>
  <c r="E30" i="2"/>
  <c r="G30" i="2" s="1"/>
  <c r="E29" i="2"/>
  <c r="G29" i="2" s="1"/>
  <c r="G28" i="2"/>
  <c r="E28" i="2"/>
  <c r="E27" i="2"/>
  <c r="G27" i="2" s="1"/>
  <c r="G26" i="2"/>
  <c r="G25" i="2"/>
  <c r="G24" i="2"/>
  <c r="G23" i="2"/>
  <c r="E22" i="2"/>
  <c r="G22" i="2" s="1"/>
  <c r="G21" i="2"/>
  <c r="G20" i="2"/>
  <c r="G19" i="2"/>
  <c r="E18" i="2"/>
  <c r="G18" i="2" s="1"/>
  <c r="G17" i="2"/>
  <c r="G16" i="2"/>
  <c r="G15" i="2"/>
  <c r="G14" i="2"/>
  <c r="E13" i="2"/>
  <c r="G13" i="2" s="1"/>
  <c r="G12" i="2"/>
  <c r="G11" i="2"/>
  <c r="E11" i="2"/>
  <c r="G10" i="2"/>
  <c r="G9" i="2"/>
  <c r="G8" i="2"/>
  <c r="G7" i="2"/>
  <c r="E6" i="2"/>
  <c r="G6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E5" i="2"/>
  <c r="G5" i="2" s="1"/>
  <c r="H176" i="1"/>
  <c r="H175" i="1"/>
  <c r="I175" i="1" s="1"/>
  <c r="F174" i="1"/>
  <c r="H174" i="1" s="1"/>
  <c r="H173" i="1"/>
  <c r="I173" i="1" s="1"/>
  <c r="H172" i="1"/>
  <c r="I172" i="1" s="1"/>
  <c r="F171" i="1"/>
  <c r="H171" i="1" s="1"/>
  <c r="H170" i="1"/>
  <c r="H169" i="1"/>
  <c r="H168" i="1"/>
  <c r="H167" i="1"/>
  <c r="H166" i="1"/>
  <c r="F165" i="1"/>
  <c r="H165" i="1" s="1"/>
  <c r="I165" i="1" s="1"/>
  <c r="F156" i="1"/>
  <c r="H156" i="1" s="1"/>
  <c r="I156" i="1" s="1"/>
  <c r="H164" i="1"/>
  <c r="I164" i="1" s="1"/>
  <c r="F7" i="1"/>
  <c r="H7" i="1" s="1"/>
  <c r="H6" i="1"/>
  <c r="F5" i="1"/>
  <c r="H5" i="1" s="1"/>
  <c r="H140" i="1"/>
  <c r="H139" i="1"/>
  <c r="H138" i="1"/>
  <c r="H137" i="1"/>
  <c r="F136" i="1"/>
  <c r="H136" i="1" s="1"/>
  <c r="I136" i="1" s="1"/>
  <c r="H155" i="1"/>
  <c r="H154" i="1"/>
  <c r="H153" i="1"/>
  <c r="F152" i="1"/>
  <c r="H152" i="1" s="1"/>
  <c r="F151" i="1"/>
  <c r="H151" i="1" s="1"/>
  <c r="H150" i="1"/>
  <c r="F149" i="1"/>
  <c r="H149" i="1" s="1"/>
  <c r="H148" i="1"/>
  <c r="H147" i="1"/>
  <c r="F146" i="1"/>
  <c r="H146" i="1" s="1"/>
  <c r="F145" i="1"/>
  <c r="H145" i="1" s="1"/>
  <c r="H144" i="1"/>
  <c r="H143" i="1"/>
  <c r="F142" i="1"/>
  <c r="H142" i="1" s="1"/>
  <c r="F141" i="1"/>
  <c r="H141" i="1" s="1"/>
  <c r="H163" i="1"/>
  <c r="F162" i="1"/>
  <c r="H162" i="1" s="1"/>
  <c r="H161" i="1"/>
  <c r="H160" i="1"/>
  <c r="H159" i="1"/>
  <c r="H158" i="1"/>
  <c r="H157" i="1"/>
  <c r="H135" i="1"/>
  <c r="I135" i="1" s="1"/>
  <c r="H130" i="1"/>
  <c r="I130" i="1" s="1"/>
  <c r="F134" i="1"/>
  <c r="H134" i="1" s="1"/>
  <c r="H133" i="1"/>
  <c r="H132" i="1"/>
  <c r="H131" i="1"/>
  <c r="I131" i="1" s="1"/>
  <c r="H129" i="1"/>
  <c r="H128" i="1"/>
  <c r="H127" i="1"/>
  <c r="F126" i="1"/>
  <c r="H126" i="1" s="1"/>
  <c r="H125" i="1"/>
  <c r="H124" i="1"/>
  <c r="F123" i="1"/>
  <c r="H123" i="1" s="1"/>
  <c r="F122" i="1"/>
  <c r="H122" i="1" s="1"/>
  <c r="H121" i="1"/>
  <c r="F120" i="1"/>
  <c r="H120" i="1" s="1"/>
  <c r="H119" i="1"/>
  <c r="F118" i="1"/>
  <c r="H118" i="1" s="1"/>
  <c r="F117" i="1"/>
  <c r="H117" i="1" s="1"/>
  <c r="F116" i="1"/>
  <c r="H116" i="1" s="1"/>
  <c r="F115" i="1"/>
  <c r="H115" i="1" s="1"/>
  <c r="H114" i="1"/>
  <c r="H113" i="1"/>
  <c r="F112" i="1"/>
  <c r="H112" i="1" s="1"/>
  <c r="H111" i="1"/>
  <c r="H110" i="1"/>
  <c r="H109" i="1"/>
  <c r="I109" i="1" s="1"/>
  <c r="H108" i="1"/>
  <c r="I108" i="1" s="1"/>
  <c r="H107" i="1"/>
  <c r="F106" i="1"/>
  <c r="H106" i="1" s="1"/>
  <c r="F105" i="1"/>
  <c r="H105" i="1" s="1"/>
  <c r="H104" i="1"/>
  <c r="H103" i="1"/>
  <c r="F102" i="1"/>
  <c r="H102" i="1" s="1"/>
  <c r="F101" i="1"/>
  <c r="H101" i="1" s="1"/>
  <c r="H100" i="1"/>
  <c r="F98" i="1"/>
  <c r="H98" i="1" s="1"/>
  <c r="F97" i="1"/>
  <c r="H97" i="1" s="1"/>
  <c r="H96" i="1"/>
  <c r="H95" i="1"/>
  <c r="H94" i="1"/>
  <c r="H93" i="1"/>
  <c r="F92" i="1"/>
  <c r="H92" i="1" s="1"/>
  <c r="F91" i="1"/>
  <c r="H91" i="1" s="1"/>
  <c r="F90" i="1"/>
  <c r="H90" i="1" s="1"/>
  <c r="F89" i="1"/>
  <c r="H89" i="1" s="1"/>
  <c r="F88" i="1"/>
  <c r="H88" i="1" s="1"/>
  <c r="H87" i="1"/>
  <c r="F86" i="1"/>
  <c r="H86" i="1" s="1"/>
  <c r="F99" i="1"/>
  <c r="H99" i="1" s="1"/>
  <c r="I99" i="1" s="1"/>
  <c r="H85" i="1"/>
  <c r="H84" i="1"/>
  <c r="I84" i="1" s="1"/>
  <c r="H83" i="1"/>
  <c r="F82" i="1"/>
  <c r="H82" i="1" s="1"/>
  <c r="H81" i="1"/>
  <c r="H80" i="1"/>
  <c r="H79" i="1"/>
  <c r="F78" i="1"/>
  <c r="H78" i="1" s="1"/>
  <c r="H77" i="1"/>
  <c r="F76" i="1"/>
  <c r="H76" i="1" s="1"/>
  <c r="H75" i="1"/>
  <c r="H68" i="1"/>
  <c r="H67" i="1"/>
  <c r="H66" i="1"/>
  <c r="F65" i="1"/>
  <c r="H65" i="1" s="1"/>
  <c r="H64" i="1"/>
  <c r="F63" i="1"/>
  <c r="H63" i="1" s="1"/>
  <c r="H62" i="1"/>
  <c r="H74" i="1"/>
  <c r="H73" i="1"/>
  <c r="H72" i="1"/>
  <c r="H71" i="1"/>
  <c r="F70" i="1"/>
  <c r="H70" i="1" s="1"/>
  <c r="F69" i="1"/>
  <c r="H69" i="1" s="1"/>
  <c r="I69" i="1" s="1"/>
  <c r="H61" i="1"/>
  <c r="H33" i="1"/>
  <c r="H60" i="1"/>
  <c r="H59" i="1"/>
  <c r="H58" i="1"/>
  <c r="H57" i="1"/>
  <c r="H56" i="1"/>
  <c r="H55" i="1"/>
  <c r="H54" i="1"/>
  <c r="H53" i="1"/>
  <c r="H52" i="1"/>
  <c r="H51" i="1"/>
  <c r="H50" i="1"/>
  <c r="F49" i="1"/>
  <c r="H49" i="1" s="1"/>
  <c r="H48" i="1"/>
  <c r="H47" i="1"/>
  <c r="H46" i="1"/>
  <c r="H45" i="1"/>
  <c r="H44" i="1"/>
  <c r="H43" i="1"/>
  <c r="H42" i="1"/>
  <c r="H41" i="1"/>
  <c r="H40" i="1"/>
  <c r="H39" i="1"/>
  <c r="F38" i="1"/>
  <c r="H38" i="1" s="1"/>
  <c r="H37" i="1"/>
  <c r="H36" i="1"/>
  <c r="H35" i="1"/>
  <c r="H34" i="1"/>
  <c r="H32" i="1"/>
  <c r="F31" i="1"/>
  <c r="H31" i="1" s="1"/>
  <c r="F30" i="1"/>
  <c r="H30" i="1" s="1"/>
  <c r="H29" i="1"/>
  <c r="H28" i="1"/>
  <c r="H27" i="1"/>
  <c r="H26" i="1"/>
  <c r="H25" i="1"/>
  <c r="H24" i="1"/>
  <c r="H23" i="1"/>
  <c r="F22" i="1"/>
  <c r="H22" i="1" s="1"/>
  <c r="H21" i="1"/>
  <c r="H20" i="1"/>
  <c r="F19" i="1"/>
  <c r="H19" i="1" s="1"/>
  <c r="F18" i="1"/>
  <c r="H18" i="1" s="1"/>
  <c r="H17" i="1"/>
  <c r="F16" i="1"/>
  <c r="H16" i="1" s="1"/>
  <c r="H15" i="1"/>
  <c r="F14" i="1"/>
  <c r="H14" i="1" s="1"/>
  <c r="F13" i="1"/>
  <c r="H12" i="1"/>
  <c r="F11" i="1"/>
  <c r="H11" i="1" s="1"/>
  <c r="H10" i="1"/>
  <c r="I10" i="1" s="1"/>
  <c r="H9" i="1"/>
  <c r="H8" i="1"/>
  <c r="I8" i="1" s="1"/>
  <c r="I34" i="1" l="1"/>
  <c r="I75" i="1"/>
  <c r="I86" i="1"/>
  <c r="I157" i="1"/>
  <c r="I141" i="1"/>
  <c r="I166" i="1"/>
  <c r="I11" i="1"/>
  <c r="I62" i="1"/>
  <c r="I100" i="1"/>
  <c r="I133" i="1"/>
  <c r="I5" i="1"/>
  <c r="H13" i="1"/>
  <c r="I13" i="1" s="1"/>
  <c r="E89" i="2"/>
  <c r="G55" i="2"/>
  <c r="I177" i="1" l="1"/>
  <c r="H177" i="1"/>
</calcChain>
</file>

<file path=xl/sharedStrings.xml><?xml version="1.0" encoding="utf-8"?>
<sst xmlns="http://schemas.openxmlformats.org/spreadsheetml/2006/main" count="14282" uniqueCount="7481">
  <si>
    <t>DATA STOCK OPNAME</t>
  </si>
  <si>
    <t>DEPARTMEN : PACKAGING (FINISH GOOD)</t>
  </si>
  <si>
    <t>NO</t>
  </si>
  <si>
    <t>KODE SISTEM</t>
  </si>
  <si>
    <t>Partner</t>
  </si>
  <si>
    <t>STOCK</t>
  </si>
  <si>
    <t>KODE IPOS</t>
  </si>
  <si>
    <t>FG-AI-00003</t>
  </si>
  <si>
    <t>PT. ASAHI INDONESIA</t>
  </si>
  <si>
    <t>CARTON BOX POLOS 300X300X200</t>
  </si>
  <si>
    <t>KRT00226</t>
  </si>
  <si>
    <t>FG-AI-00004</t>
  </si>
  <si>
    <t>CARTON BOX POLOS 500X500X500</t>
  </si>
  <si>
    <t>KRT03370</t>
  </si>
  <si>
    <t>FG-ASI-00019</t>
  </si>
  <si>
    <t>PT. ASAHI SUKSES INDUSTRI</t>
  </si>
  <si>
    <t>CARTON BOX A033070003 UK 230X160X130MM BOX B1 K125/M125X3/K125 CBF</t>
  </si>
  <si>
    <t>KRT03854</t>
  </si>
  <si>
    <t>FG-CAC-00001</t>
  </si>
  <si>
    <t>PT. CAC PUTRA PERKASA</t>
  </si>
  <si>
    <t>CARTON BOX 540X360X220</t>
  </si>
  <si>
    <t>KRT00137</t>
  </si>
  <si>
    <t>FG-CAC-00003</t>
  </si>
  <si>
    <t>CARTON BOX 720X275X160 (BOLONG SAMPING)</t>
  </si>
  <si>
    <t>KRT01724</t>
  </si>
  <si>
    <t>FG-DHW-00001</t>
  </si>
  <si>
    <t>PT. DAE HWA INDONESIA</t>
  </si>
  <si>
    <t>CARTON BOX DH1 560X380X340 C/FLUTE</t>
  </si>
  <si>
    <t>KRT00191</t>
  </si>
  <si>
    <t>FG-DHW-00002</t>
  </si>
  <si>
    <t>CARTON BOX DH4 ; 380*280*270 CB/Flute</t>
  </si>
  <si>
    <t>KRT00200</t>
  </si>
  <si>
    <t>FG-DHW-00003</t>
  </si>
  <si>
    <t>CARTON BOX DH5 POLOS 820X450X680 MM K125/M125/K125 C/F</t>
  </si>
  <si>
    <t>KRT00228</t>
  </si>
  <si>
    <t>FG-DHW-00004</t>
  </si>
  <si>
    <t>CARTON BOX DH7 ; 545X360X330MM (K150/M125/K150 C/F)</t>
  </si>
  <si>
    <t>KRT02721</t>
  </si>
  <si>
    <t>FG-DHW-00005</t>
  </si>
  <si>
    <t>CARTON BOX DH8 POLOS 727X380X320MM K200/M125/K200 C/F</t>
  </si>
  <si>
    <t>KRT02722</t>
  </si>
  <si>
    <t>FG-DHW-00008</t>
  </si>
  <si>
    <t>CARTON BOX DH11 510X510X420 C/F K200/M125/K200</t>
  </si>
  <si>
    <t>KRT02703</t>
  </si>
  <si>
    <t>FG-DHW-00009</t>
  </si>
  <si>
    <t>CARTON BOX DH12 380X290X150 CB/F</t>
  </si>
  <si>
    <t>KRT00192</t>
  </si>
  <si>
    <t>FG-DHW-00010</t>
  </si>
  <si>
    <t>CARTON BOX DH13 450X290X150</t>
  </si>
  <si>
    <t>KRT00194</t>
  </si>
  <si>
    <t>FG-DHW-00011</t>
  </si>
  <si>
    <t>CARTON BOX DH14 POLOS 510X510X310</t>
  </si>
  <si>
    <t>KRT02726</t>
  </si>
  <si>
    <t>FG-DHW-00012</t>
  </si>
  <si>
    <t>CARTON BOX DH15 UK 380X280X270 CB/FLUTE</t>
  </si>
  <si>
    <t>KRT00195</t>
  </si>
  <si>
    <t>FG-DHW-00013</t>
  </si>
  <si>
    <t>CARTON BOX DH17 UK 300X210X80 MM K125/M125X4 CB/F</t>
  </si>
  <si>
    <t>KRT00196</t>
  </si>
  <si>
    <t>FG-DHW-00020</t>
  </si>
  <si>
    <t>BOX TEMPER EVIDENT 17 0Z 510X510X420</t>
  </si>
  <si>
    <t>KRT01456</t>
  </si>
  <si>
    <t>FG-DHW-00031</t>
  </si>
  <si>
    <t>CARTON BOX DFI 690X510X450 MM K125/M125X3/K125 CB/F</t>
  </si>
  <si>
    <t>KRT00189</t>
  </si>
  <si>
    <t>FG-DHW-00037</t>
  </si>
  <si>
    <t>CARTON BOX DH18 UK 380X300X80MM K125/M125X4 CB/F</t>
  </si>
  <si>
    <t>KRT00197</t>
  </si>
  <si>
    <t>FG-DHW-00038</t>
  </si>
  <si>
    <t>CARTON BOX POLOS OHSUNG 900X260X130 CB/F</t>
  </si>
  <si>
    <t>KRT00231</t>
  </si>
  <si>
    <t>FG-DHW-00039</t>
  </si>
  <si>
    <t>CARTON BOX DH19 650X380X370T MM K125/M125/K125 C/F</t>
  </si>
  <si>
    <t>KRT01519</t>
  </si>
  <si>
    <t>FG-DHW-00040</t>
  </si>
  <si>
    <t>CARTON BOX DH2 : 560X380X250 C/FLUTE</t>
  </si>
  <si>
    <t>FG-DHW-00041</t>
  </si>
  <si>
    <t>CARTON BOX DH 20 17 OZ 510X510X450 C/F</t>
  </si>
  <si>
    <t>FG-DHW-00042</t>
  </si>
  <si>
    <t>SIKU UK. 1020 X 50 X 50 X 10 MM</t>
  </si>
  <si>
    <t>KRT03153</t>
  </si>
  <si>
    <t>FG-DHW-00043</t>
  </si>
  <si>
    <t>CARTON BOX POLOS DH3 1157X272X145 CB/F</t>
  </si>
  <si>
    <t>KRT00199</t>
  </si>
  <si>
    <t>FG-EHW-00001</t>
  </si>
  <si>
    <t>PT. EHWA INDONESIA</t>
  </si>
  <si>
    <t>B BOX 14 PM2010</t>
  </si>
  <si>
    <t>KRT02359</t>
  </si>
  <si>
    <t>FG-EHW-00003</t>
  </si>
  <si>
    <t>B BOX 7 INCH (PM2005)</t>
  </si>
  <si>
    <t>KRT02087</t>
  </si>
  <si>
    <t>FG-EHW-00005</t>
  </si>
  <si>
    <t>B BOX 10 INCH (PM2008)</t>
  </si>
  <si>
    <t>KRT01898</t>
  </si>
  <si>
    <t>FG-EHW-00007</t>
  </si>
  <si>
    <t>OUTBOX BOSCH 4.5 2 PACK MP20 PCS (PM2196)</t>
  </si>
  <si>
    <t>KRT01333</t>
  </si>
  <si>
    <t>FG-EHW-00008</t>
  </si>
  <si>
    <t>OUTBOX 3" DIABLO IP 3 PCS 160X110X28MM (PM2141)</t>
  </si>
  <si>
    <t>KRT01105</t>
  </si>
  <si>
    <t>FG-EHW-00010</t>
  </si>
  <si>
    <t>OUT BOX 3" DIABLO MP 15 PCS 170X125X160MM (PM2142)</t>
  </si>
  <si>
    <t>KRT01106</t>
  </si>
  <si>
    <t>FG-EHW-00011</t>
  </si>
  <si>
    <t>OUTBOX HUSQVARNA 14 INCH 10PK 465X425X85 MM (PM2162)</t>
  </si>
  <si>
    <t>KRT01231</t>
  </si>
  <si>
    <t>FG-EHW-00014</t>
  </si>
  <si>
    <t>OUTBOX SGA 7 INCH IP 5PCS (PM2222)</t>
  </si>
  <si>
    <t>KRT02167</t>
  </si>
  <si>
    <t>FG-EHW-00017</t>
  </si>
  <si>
    <t>OUT BOX BOSCH 7INCH 3PK MP (BOX PUNCH) (PM2082)</t>
  </si>
  <si>
    <t>KRT01100</t>
  </si>
  <si>
    <t>FG-EHW-00018</t>
  </si>
  <si>
    <t>BOSCH 7 INCH 15 PK MB OUT BOX (PM2133)</t>
  </si>
  <si>
    <t>KRT02569</t>
  </si>
  <si>
    <t>FG-EHW-00019</t>
  </si>
  <si>
    <t>B BOX 12 PM2009</t>
  </si>
  <si>
    <t>KRT01993</t>
  </si>
  <si>
    <t>FG-EHW-00021</t>
  </si>
  <si>
    <t>4.5 INCH OUT BOX (30PK)-BSA4790M 315X205X115 (PM2158)</t>
  </si>
  <si>
    <t>KRT01230</t>
  </si>
  <si>
    <t>FG-EHW-00023</t>
  </si>
  <si>
    <t>OUTBOX SGA 7 INCH MP 40PCS (PM2219)</t>
  </si>
  <si>
    <t>KRT02168</t>
  </si>
  <si>
    <t>FG-EHW-00029</t>
  </si>
  <si>
    <t>BOSCH 4.5 - 5 INCH 20PK FOR INDIVIDUAL BOX (PM2144)</t>
  </si>
  <si>
    <t>KRT02563</t>
  </si>
  <si>
    <t>FG-EHW-00032</t>
  </si>
  <si>
    <t>OUT BOX PEARL 4.5-5 PM2044</t>
  </si>
  <si>
    <t>KRT02731</t>
  </si>
  <si>
    <t>FG-EHW-00037</t>
  </si>
  <si>
    <t>OUTBOX HUSQWARVA 16 INCH 5PK  530 X 490 X 50 MM (PM2163)</t>
  </si>
  <si>
    <t>KRT01283</t>
  </si>
  <si>
    <t>FG-EHW-00047</t>
  </si>
  <si>
    <t>OUTBOX SGA 14" MP 9PCS (PM2220)</t>
  </si>
  <si>
    <t>KRT02170</t>
  </si>
  <si>
    <t>FG-EHW-00060</t>
  </si>
  <si>
    <t>OUT BOX DIABLO 4-5 INCH MP 20PK PET 30% (PM2249)</t>
  </si>
  <si>
    <t>KRT02886</t>
  </si>
  <si>
    <t>FG-EHW-00067</t>
  </si>
  <si>
    <t>HUSQVARNA 12 INCH OUT BOX 10 PK 450X360X80 MM (PM2161)</t>
  </si>
  <si>
    <t>KRT01282</t>
  </si>
  <si>
    <t>FG-EHW-00069</t>
  </si>
  <si>
    <t>OUTBOX BOSCH_SLEEVE_6-7INCH_IP 5PCS (PM2239)</t>
  </si>
  <si>
    <t>KRT02859</t>
  </si>
  <si>
    <t>FG-EHW-00074</t>
  </si>
  <si>
    <t>OUT BOX PEARL 4 (PM2049)</t>
  </si>
  <si>
    <t>KRT01103</t>
  </si>
  <si>
    <t>FG-EHW-00076</t>
  </si>
  <si>
    <t>OUTBOX EVOLUTION 14 MP 5PCS CLEVER (PM2256)</t>
  </si>
  <si>
    <t>KRT02810</t>
  </si>
  <si>
    <t>FG-EHW-00079</t>
  </si>
  <si>
    <t>OUT BOX DIABLO 3 INCH MP 15PCS PET30% PM2247</t>
  </si>
  <si>
    <t>KRT02884</t>
  </si>
  <si>
    <t>FG-EHW-00080</t>
  </si>
  <si>
    <t>OUTBOX DOUBLE 4-5 INCH IP 5PCS (PM2241)</t>
  </si>
  <si>
    <t>KRT02861</t>
  </si>
  <si>
    <t>FG-EHW-00083</t>
  </si>
  <si>
    <t>OUT BOX DIABLO 7 MP 15PK PET30% SEG-TU (PM2254)</t>
  </si>
  <si>
    <t>KRT02891</t>
  </si>
  <si>
    <t>FG-EHW-00095</t>
  </si>
  <si>
    <t>OUTBOX BOSCH_SLEEVE_8-10INCH_IP (3PCS) (PM2244)</t>
  </si>
  <si>
    <t>KRT02864</t>
  </si>
  <si>
    <t>FG-EHW-00096</t>
  </si>
  <si>
    <t>BOSCH 4-5INCH MP 20PK OUT BOX 185X170X180 (PM2090)</t>
  </si>
  <si>
    <t>KRT01278</t>
  </si>
  <si>
    <t>FG-EHW-00097</t>
  </si>
  <si>
    <t>OUT BOX DIABLO 4.5 INCH CRACK CHASER IP 20PCS (PM2258)</t>
  </si>
  <si>
    <t>KRT02893</t>
  </si>
  <si>
    <t>FG-EHW-00098</t>
  </si>
  <si>
    <t>OUTBOX SPYDER 4.5" MP 120PCS (PM2171)</t>
  </si>
  <si>
    <t>FG-EIT-00001</t>
  </si>
  <si>
    <t>PT. EVERPRO  INDONESIA TECHNOLOGIES</t>
  </si>
  <si>
    <t>CARTON BOX 994819000000338 CARTON/5 LAYERS 375X375X375MM/YN</t>
  </si>
  <si>
    <t>FG-EIT-00002</t>
  </si>
  <si>
    <t>CARTON BOX 9948190000010143 BOX/EUROPRAN LOGO PACKING BOX/ 370*370*430MM/YN</t>
  </si>
  <si>
    <t>FG-EIT-00003</t>
  </si>
  <si>
    <t>SIKU CARTON UK. 50X50X5X700 MM</t>
  </si>
  <si>
    <t>KRT03788</t>
  </si>
  <si>
    <t>FG-EIT-00005</t>
  </si>
  <si>
    <t>SIKU CARTON UK. 50X50X5X1050 MM</t>
  </si>
  <si>
    <t>KRT03746</t>
  </si>
  <si>
    <t>FG-EIT-00007</t>
  </si>
  <si>
    <t>SIKU CARTON UK.50X50X5X1170 MM</t>
  </si>
  <si>
    <t>KRT03747</t>
  </si>
  <si>
    <t>FG-EIT-00024</t>
  </si>
  <si>
    <t>CARTON BOX FIVE LAYER CORRUGATED PAPER OUTER SIZE 640X360X270 MM (994819000010154)</t>
  </si>
  <si>
    <t>KRT03853</t>
  </si>
  <si>
    <t>FG-EPS-00004</t>
  </si>
  <si>
    <t>PT. ESSILORLUXOTTICA PROFESSIONAL SOLUTIONS INDONESIA</t>
  </si>
  <si>
    <t>BOX ESSILOR BESAR POLOS (ISUPRSOIS00024)</t>
  </si>
  <si>
    <t>KRT01609</t>
  </si>
  <si>
    <t>FG-EPS-00005</t>
  </si>
  <si>
    <t>BOX ESSILOR KECIL POLOS (ISUPRSOIS00025)</t>
  </si>
  <si>
    <t>KRT01610</t>
  </si>
  <si>
    <t>FG-EPS-00007</t>
  </si>
  <si>
    <t>BOX DISPLAY POLOS TERTUTUP 10X40X9 CM (ISUPROIS00022)</t>
  </si>
  <si>
    <t>KRT01607</t>
  </si>
  <si>
    <t>FG-EPS-00009</t>
  </si>
  <si>
    <t>BOX BULK LOGO PACKING 40X50X40 CSUCMMS002871</t>
  </si>
  <si>
    <t>KRT01557</t>
  </si>
  <si>
    <t>FG-EPS-00016</t>
  </si>
  <si>
    <t>BOX FRAME 15X6.5X4CM (CSUCMMS002913)</t>
  </si>
  <si>
    <t>KRT01587</t>
  </si>
  <si>
    <t>FG-EPS-00017</t>
  </si>
  <si>
    <t>CARTON BOX 360X242X250MM (NON PRINTED) (CSUCMMS002156)</t>
  </si>
  <si>
    <t>KRT01579</t>
  </si>
  <si>
    <t>FG-EPS-00018</t>
  </si>
  <si>
    <t>BOX BULK POLOS TERTUTUP 8.8X49X18 CM (ISUPROIS00023)</t>
  </si>
  <si>
    <t>KRT01608</t>
  </si>
  <si>
    <t>FG-FTR-00005</t>
  </si>
  <si>
    <t>PT. FUKOKU TOKAI RUBBER INDONESIA</t>
  </si>
  <si>
    <t>LAYER 150X290MM K150/M125/K150 CF</t>
  </si>
  <si>
    <t>KRT01216</t>
  </si>
  <si>
    <t>FG-FTR-00006</t>
  </si>
  <si>
    <t>CARTON BOX HOP TORQUE 305X305X216MM (PRINTING) K150/M125X3/K150 CBF</t>
  </si>
  <si>
    <t>KRT01218</t>
  </si>
  <si>
    <t>FG-FTR-00014</t>
  </si>
  <si>
    <t>CARTON BOX</t>
  </si>
  <si>
    <t>FG-FTR-00017</t>
  </si>
  <si>
    <t>BOX DPG-MC16-M100 315X315X235MM K150/M125X3/K150 CBF</t>
  </si>
  <si>
    <t>KRT01425</t>
  </si>
  <si>
    <t>FG-FTR-00022</t>
  </si>
  <si>
    <t>LAYER 1050X1050MM K150/M125X3/K150 CB/F</t>
  </si>
  <si>
    <t>KRT01217</t>
  </si>
  <si>
    <t>FG-FTR-00028</t>
  </si>
  <si>
    <t>CARTON BOX IND 335X265X100 MM</t>
  </si>
  <si>
    <t>KRT02896</t>
  </si>
  <si>
    <t>FG-FTR-00029</t>
  </si>
  <si>
    <t>CARTON BOX 011 SF 180X275X80 MM</t>
  </si>
  <si>
    <t>KRT02897</t>
  </si>
  <si>
    <t>FG-FTR-00034</t>
  </si>
  <si>
    <t>CARTON BOX ME017116 UK 355X355X97 MM (TYPE B PARTISI/LAYER 2 PCS 340X200 MM)</t>
  </si>
  <si>
    <t>KRT02725</t>
  </si>
  <si>
    <t>FG-FTR-00049</t>
  </si>
  <si>
    <t>CARTON BOX ME017116; 355X355X110MM (TANPA PARTISI)</t>
  </si>
  <si>
    <t>FG-GBU-00057</t>
  </si>
  <si>
    <t>PT. GUNA BAKTI UNGGUL</t>
  </si>
  <si>
    <t>DUS BASKOM SEGI RUBY L 16</t>
  </si>
  <si>
    <t>KRT01307</t>
  </si>
  <si>
    <t>FG-GBU-00083</t>
  </si>
  <si>
    <t>MASTER BOX CANARY M (UK. 56X32,4X40 CM)</t>
  </si>
  <si>
    <t>KRT03423</t>
  </si>
  <si>
    <t>FG-IMA-00001</t>
  </si>
  <si>
    <t>PT. INDOPACK MULTI ABADI</t>
  </si>
  <si>
    <t>BOX CARTON KPYV K150/M125/K165 650X450X165</t>
  </si>
  <si>
    <t>KRT01647</t>
  </si>
  <si>
    <t>FG-INS-00001</t>
  </si>
  <si>
    <t>PT. INDONESIA NIPPON SEIKI</t>
  </si>
  <si>
    <t>SIKU KARTON UK. 5X5X0.5CM (P=110CM)</t>
  </si>
  <si>
    <t>KRT01007</t>
  </si>
  <si>
    <t>FG-INS-00002</t>
  </si>
  <si>
    <t>SIKU KARTON UK. 5X5X0.5CM (P=85CM)</t>
  </si>
  <si>
    <t>KRT01008</t>
  </si>
  <si>
    <t>FG-INS-00006</t>
  </si>
  <si>
    <t>SIKU KARTON 5X5X0.5 (P= 106 CM)</t>
  </si>
  <si>
    <t>KRT01003</t>
  </si>
  <si>
    <t>FG-INS-00007</t>
  </si>
  <si>
    <t>SIKU KARTON UK. 5X5X0.5CM (P=96CM)</t>
  </si>
  <si>
    <t>KRT01009</t>
  </si>
  <si>
    <t>FG-INS-00008</t>
  </si>
  <si>
    <t>KARTON BOX 201405 (530X350X320MM)</t>
  </si>
  <si>
    <t>KRT00307</t>
  </si>
  <si>
    <t>FG-INS-00012</t>
  </si>
  <si>
    <t>KARTON BOX 201404</t>
  </si>
  <si>
    <t>KRT00306</t>
  </si>
  <si>
    <t>FG-INS-00013</t>
  </si>
  <si>
    <t>CARTON BOX 700X400X240MM K150/M125/K150 CF BKA</t>
  </si>
  <si>
    <t>KRT00145</t>
  </si>
  <si>
    <t>FG-INS-00016</t>
  </si>
  <si>
    <t>PARTISI B5G PANJANG/PENDEK</t>
  </si>
  <si>
    <t>FG-INS-00017</t>
  </si>
  <si>
    <t>PALLET 107 X 107 X 12</t>
  </si>
  <si>
    <t>FG-INS-00018</t>
  </si>
  <si>
    <t>SIKU KARTON UK 5X5X0.4 CM (P=100 CM)</t>
  </si>
  <si>
    <t>FG-INS-00028</t>
  </si>
  <si>
    <t>LAYER 690X390 MM M125/M125/M125 B/F (TANPA PE FOAM)</t>
  </si>
  <si>
    <t>KRT02924</t>
  </si>
  <si>
    <t>FG-INS-00029</t>
  </si>
  <si>
    <t>SIKU 5CM X 5CM X 0,5 CM (P= 120 CM)</t>
  </si>
  <si>
    <t>KRT01262</t>
  </si>
  <si>
    <t>FG-INS-00034</t>
  </si>
  <si>
    <t>PARTISI B2B 64 X 44 X 135</t>
  </si>
  <si>
    <t>KRT00476</t>
  </si>
  <si>
    <t>FG-KBP-00001</t>
  </si>
  <si>
    <t>PT. KARYA BUMIMAS PERSADA</t>
  </si>
  <si>
    <t>PARTISI DUS WASTAFEL</t>
  </si>
  <si>
    <t>KRT02521</t>
  </si>
  <si>
    <t>FG-KBP-00003</t>
  </si>
  <si>
    <t>BOX WASTAFEL</t>
  </si>
  <si>
    <t>KRT02452</t>
  </si>
  <si>
    <t>FG-KBP-00004</t>
  </si>
  <si>
    <t>BOX KLOSET JONGKOK ISI 3 (BBP-BOX-SX)</t>
  </si>
  <si>
    <t>KRT02188</t>
  </si>
  <si>
    <t>FG-KBP-00006</t>
  </si>
  <si>
    <t>PARTISI SX/MX</t>
  </si>
  <si>
    <t>FG-KBP-00007</t>
  </si>
  <si>
    <t>LAYER SX</t>
  </si>
  <si>
    <t>FG-KBP-00008</t>
  </si>
  <si>
    <t>BOX KLOSET JONGKOK ISI 3 EVOGLO (BBP-BOX-SX-EVG)</t>
  </si>
  <si>
    <t>KRT03902</t>
  </si>
  <si>
    <t>FG-KBP-00009</t>
  </si>
  <si>
    <t>BOX KLOSET JONGKOK ISI 3 (BBP-BOX-MX)</t>
  </si>
  <si>
    <t>KRT02798</t>
  </si>
  <si>
    <t>FG-KBP-00010</t>
  </si>
  <si>
    <t>BOX KLOSET DUDUK SIRAM (BBP-BOX-DS)</t>
  </si>
  <si>
    <t>KRT02451</t>
  </si>
  <si>
    <t>FG-KMI-00013</t>
  </si>
  <si>
    <t>PT. KAWASAKI MOTOR INDONESIA</t>
  </si>
  <si>
    <t>BIG CARTON BOX LX230</t>
  </si>
  <si>
    <t>KRT00021</t>
  </si>
  <si>
    <t>FG-KMI-00020</t>
  </si>
  <si>
    <t>CARTON BOX K-79 (BROWN) (K8120-0058)</t>
  </si>
  <si>
    <t>KRT01966</t>
  </si>
  <si>
    <t>FG-KMI-00022</t>
  </si>
  <si>
    <t>CARTON BOX A-20 (NEW LOGO) (K3110-0070)</t>
  </si>
  <si>
    <t>KRT02657</t>
  </si>
  <si>
    <t>FG-KMI-00024</t>
  </si>
  <si>
    <t>CARTON BOX A-25 (NEW LOGO) (K3110-0069)</t>
  </si>
  <si>
    <t>KRT02656</t>
  </si>
  <si>
    <t>FG-KMI-00026</t>
  </si>
  <si>
    <t>CARTON BOX A-30 (NEW LOGO) (K3110-0068)</t>
  </si>
  <si>
    <t>KRT02655</t>
  </si>
  <si>
    <t>FG-KMI-00028</t>
  </si>
  <si>
    <t>CARTON BOX A-56 (NEW LOGO) (K3110-0066)</t>
  </si>
  <si>
    <t>KRT02660</t>
  </si>
  <si>
    <t>FG-KMI-00029</t>
  </si>
  <si>
    <t>CARTON BOX A-87 (NEW LOGO) (K3110-0064)</t>
  </si>
  <si>
    <t>KRT02658</t>
  </si>
  <si>
    <t>FG-KMI-00030</t>
  </si>
  <si>
    <t>CARTON BOX CB 22-A (K3110-0001)</t>
  </si>
  <si>
    <t>KRT00169</t>
  </si>
  <si>
    <t>FG-KMI-00031</t>
  </si>
  <si>
    <t>CARTON BOX CB 22-B (K3110-0003)</t>
  </si>
  <si>
    <t>KRT00170</t>
  </si>
  <si>
    <t>FG-KMI-00032</t>
  </si>
  <si>
    <t>CARTON BOX CB 23-B (K3110-0005)</t>
  </si>
  <si>
    <t>KRT00172</t>
  </si>
  <si>
    <t>FG-KMI-00034</t>
  </si>
  <si>
    <t>CARTON BOX CB 24-E (K3110-0012)</t>
  </si>
  <si>
    <t>KRT00174</t>
  </si>
  <si>
    <t>FG-KMI-00035</t>
  </si>
  <si>
    <t>CARTON BOX CB 25-D (K3110-0011)</t>
  </si>
  <si>
    <t>KRT00175</t>
  </si>
  <si>
    <t>FG-KMI-00037</t>
  </si>
  <si>
    <t>CARTON BOX CB 32-B (K3110-0004)</t>
  </si>
  <si>
    <t>KRT00177</t>
  </si>
  <si>
    <t>FG-KMI-00039</t>
  </si>
  <si>
    <t>CARTON BOX CB 34-D (K3110-0009)</t>
  </si>
  <si>
    <t>KRT00179</t>
  </si>
  <si>
    <t>FG-KMI-00040</t>
  </si>
  <si>
    <t>CARTON BOX CB 35-D (K3110-0010)</t>
  </si>
  <si>
    <t>KRT00180</t>
  </si>
  <si>
    <t>FG-KMI-00044</t>
  </si>
  <si>
    <t>LAYER UK 1065X530X5 (K3140-0019)</t>
  </si>
  <si>
    <t>KRT00392</t>
  </si>
  <si>
    <t>FG-KMI-00048</t>
  </si>
  <si>
    <t>MASTERBOX M-04 COMMUNICATION SYMBOL (K3110-0060)</t>
  </si>
  <si>
    <t>KRT00217</t>
  </si>
  <si>
    <t>FG-KMI-00049</t>
  </si>
  <si>
    <t>MASTERBOX Z-02 COMMUNICATION SYMBOL (K3110-0062)</t>
  </si>
  <si>
    <t>KRT00435</t>
  </si>
  <si>
    <t>FG-KMI-00058</t>
  </si>
  <si>
    <t>LAYER 1060X1060X7 (K3140-0043)</t>
  </si>
  <si>
    <t>KRT00355</t>
  </si>
  <si>
    <t>FG-KMI-00071</t>
  </si>
  <si>
    <t>LAYER 1060 X 640 X 7 (K3140-0045)</t>
  </si>
  <si>
    <t>KRT00356</t>
  </si>
  <si>
    <t>FG-KMI-00074</t>
  </si>
  <si>
    <t>BIG CARTON BOX LX140C (NEW COM.SYMBOL) PACKING K3120-0032</t>
  </si>
  <si>
    <t>KRT04026</t>
  </si>
  <si>
    <t>FG-KMI-00078</t>
  </si>
  <si>
    <t>BIG CARTON BOX LX140B JAPAN PACKING (K3120-0038)</t>
  </si>
  <si>
    <t>KRT04024</t>
  </si>
  <si>
    <t>FG-MEIH-00005</t>
  </si>
  <si>
    <t>PT. MEIHOKU INDUSTRY INDONESIA</t>
  </si>
  <si>
    <t>K125/M125/K125 C/F BROWN 530 x 350 x 150 MM CARTON BOX</t>
  </si>
  <si>
    <t>KRT03852</t>
  </si>
  <si>
    <t>FG-MEIH-00015</t>
  </si>
  <si>
    <t>K125/M125X4 CB/F BROWN 450TX550X1100</t>
  </si>
  <si>
    <t>KRT04177</t>
  </si>
  <si>
    <t>FG-MMM-00001</t>
  </si>
  <si>
    <t>PT. MIKASA MITRA MULIA</t>
  </si>
  <si>
    <t>JUNGLE BOX TIPE M</t>
  </si>
  <si>
    <t>FG-MMM-00002</t>
  </si>
  <si>
    <t>JUNGLE BOX TIPE S</t>
  </si>
  <si>
    <t>KRT01733</t>
  </si>
  <si>
    <t>FG-MTU-00003</t>
  </si>
  <si>
    <t>PT. MAJU TEKNIK UTAMA</t>
  </si>
  <si>
    <t>PARTISI BOX VALVE 3KG</t>
  </si>
  <si>
    <t>KRT02149</t>
  </si>
  <si>
    <t>FG-PSR-00004</t>
  </si>
  <si>
    <t>PT. PRADANI SUMBER REJEKI</t>
  </si>
  <si>
    <t>KARTON BOX MP 550X360X300MM K125/M125X4 CBF</t>
  </si>
  <si>
    <t>KRT01466</t>
  </si>
  <si>
    <t>FG-SIG-00003</t>
  </si>
  <si>
    <t>PT. SIGMA PACK GEMILANG</t>
  </si>
  <si>
    <t>CB.DPT-IC0G-M034 UK 570X190X190 K200/M125/K200 B/F</t>
  </si>
  <si>
    <t>KRT03547</t>
  </si>
  <si>
    <t>FG-SIG-00004</t>
  </si>
  <si>
    <t>KARTON BOX SUZUKI 14</t>
  </si>
  <si>
    <t>KRT03574</t>
  </si>
  <si>
    <t>FG-SIG-00008</t>
  </si>
  <si>
    <t>CARTON BOX EXPORT 4L45-FDR (FRONT DOOR) UK 965 X 385 X 570 MM K275/M150X3/K275 BC/F</t>
  </si>
  <si>
    <t>FG-SIG-00009</t>
  </si>
  <si>
    <t>CARTON BOX EXPORT 4L45-FDL (FRONT DOOR) UK 965 X 385 X 570 MM  K275/M150X3/K275 BC/F</t>
  </si>
  <si>
    <t>KRT03496</t>
  </si>
  <si>
    <t>FG-SIG-00010</t>
  </si>
  <si>
    <t>CARTON BOX EXPORT 4L45-RDR (REAR DOOR) UK 900 X 385 X 570 MM K275/M150X3/K275 BC/F</t>
  </si>
  <si>
    <t>FG-SIG-00018</t>
  </si>
  <si>
    <t>CB. SUZUKI HANDLE WITH CARE 475 X 405 X 125 MM K150/M125X3/K150 CB/F</t>
  </si>
  <si>
    <t>FG-SIG-00026</t>
  </si>
  <si>
    <t>CB. GARNISH LOWER 22MY UK 245X100X700 MM K150/M125/K150 C/F</t>
  </si>
  <si>
    <t>KRT03888</t>
  </si>
  <si>
    <t>FG-SNH-00001</t>
  </si>
  <si>
    <t>PT. SANOH INDONESIA</t>
  </si>
  <si>
    <t>BOX 450 X 300 X 240 SNI 02</t>
  </si>
  <si>
    <t>KRT00040</t>
  </si>
  <si>
    <t>FG-SNH-00002</t>
  </si>
  <si>
    <t>BOX 1050 X 260 X 115 SNI 03</t>
  </si>
  <si>
    <t>KRT00028</t>
  </si>
  <si>
    <t>FG-SNH-00003</t>
  </si>
  <si>
    <t>BOX 260 X 260 X 115 SNI 04</t>
  </si>
  <si>
    <t>KRT00033</t>
  </si>
  <si>
    <t>FG-SNH-00004</t>
  </si>
  <si>
    <t>BOX 700 X 360 X 250 SNI 07</t>
  </si>
  <si>
    <t>KRT00051</t>
  </si>
  <si>
    <t>FG-SNH-00005</t>
  </si>
  <si>
    <t>BOX 735 X 255 X 200 SNI 09</t>
  </si>
  <si>
    <t>KRT02925</t>
  </si>
  <si>
    <t>FG-SNH-00006</t>
  </si>
  <si>
    <t>BOX 575X550X340 SNI10</t>
  </si>
  <si>
    <t>KRT00047</t>
  </si>
  <si>
    <t>FG-SNH-00007</t>
  </si>
  <si>
    <t>BOX 500 X 330 X 240 (SNI 11)</t>
  </si>
  <si>
    <t>KRT00042</t>
  </si>
  <si>
    <t>FG-SNH-00009</t>
  </si>
  <si>
    <t>BOX 1350 X 335 X 100 SNI 13</t>
  </si>
  <si>
    <t>KRT00030</t>
  </si>
  <si>
    <t>FG-SNH-00010</t>
  </si>
  <si>
    <t>BOX 530X460X315 SNI14</t>
  </si>
  <si>
    <t>KRT00044</t>
  </si>
  <si>
    <t>FG-SNH-00011</t>
  </si>
  <si>
    <t>BOX 695 X 265 X 180 SNI 15</t>
  </si>
  <si>
    <t>KRT00050</t>
  </si>
  <si>
    <t>FG-SNH-00014</t>
  </si>
  <si>
    <t>BOX 500X275X160 (SNI18)</t>
  </si>
  <si>
    <t>KRT00337</t>
  </si>
  <si>
    <t>FG-SNH-00017</t>
  </si>
  <si>
    <t>BOX TOP FULL 1400 X 500 X 130 CARTON BOX (TOP FULL ) / SNI 23</t>
  </si>
  <si>
    <t>KRT00084</t>
  </si>
  <si>
    <t>FG-SNH-00019</t>
  </si>
  <si>
    <t>BOX TOP OPEN 1060X460X730 CARTON BOX (SNI22)</t>
  </si>
  <si>
    <t>KRT00085</t>
  </si>
  <si>
    <t>FG-SNH-00025</t>
  </si>
  <si>
    <t>SIDE BOARD PRORECTOR SIKU 5</t>
  </si>
  <si>
    <t>FG-SNH-00028</t>
  </si>
  <si>
    <t>BOX 500 X 330 X 120 (SNI 17)</t>
  </si>
  <si>
    <t>KRT00041</t>
  </si>
  <si>
    <t>FG-SNI-00005</t>
  </si>
  <si>
    <t>PT. SAKATA NIMOTECH INDONESIA</t>
  </si>
  <si>
    <t>KARTON BOX PRINTING</t>
  </si>
  <si>
    <t>KRT01684</t>
  </si>
  <si>
    <t>FG-SNI-00008</t>
  </si>
  <si>
    <t>CARTON BOX KW UK.530X215X210 KMK 125 BC/F</t>
  </si>
  <si>
    <t>KRT03428</t>
  </si>
  <si>
    <t>FG-SNI-00028</t>
  </si>
  <si>
    <t>PARTISI INNER HOLE 25</t>
  </si>
  <si>
    <t>KRT03720</t>
  </si>
  <si>
    <t>FG-SNI-00029</t>
  </si>
  <si>
    <t>LAYER S/B NON KRESING</t>
  </si>
  <si>
    <t>KRT01473</t>
  </si>
  <si>
    <t>FG-SNI-00032</t>
  </si>
  <si>
    <t>PARTISI OC13D 4 HOLE</t>
  </si>
  <si>
    <t>KRT04099</t>
  </si>
  <si>
    <t>FG-SRK-00002</t>
  </si>
  <si>
    <t>CV. DAARUL HUDA TEKNIK</t>
  </si>
  <si>
    <t>LAYER (LAYER 530X355MM K125/M125 EF)</t>
  </si>
  <si>
    <t>KRT02066</t>
  </si>
  <si>
    <t>FG-SRK-00009</t>
  </si>
  <si>
    <t>PALLET KAYU 1200X1000</t>
  </si>
  <si>
    <t>FG-SRK-00010</t>
  </si>
  <si>
    <t>BOX POLOS (BOX 540X350X180MM K150/M125X3/K150 CBF)</t>
  </si>
  <si>
    <t>KRT02065</t>
  </si>
  <si>
    <t>FG-STP-00011</t>
  </si>
  <si>
    <t>PT. STAR TEC PACIFIC</t>
  </si>
  <si>
    <t>SIDE REEL 10 STP</t>
  </si>
  <si>
    <t>KRT02150</t>
  </si>
  <si>
    <t>FG-BUM-00001</t>
  </si>
  <si>
    <t>PT. SANYING SANIGO</t>
  </si>
  <si>
    <t>KARTON SINGLE PLAY (330X250X120X170MM)</t>
  </si>
  <si>
    <t>FG-TECH-00012</t>
  </si>
  <si>
    <t>PT. TECHNO INDONESIA</t>
  </si>
  <si>
    <t>LAYER AI CETAK (590X390MM)</t>
  </si>
  <si>
    <t>KRT03582</t>
  </si>
  <si>
    <t>FG-WANG-00003</t>
  </si>
  <si>
    <t>PT. WANG SARIMULTI UTAMA</t>
  </si>
  <si>
    <t>BOX W18 S W 547X269X223 - BOX W18</t>
  </si>
  <si>
    <t>KRT02718</t>
  </si>
  <si>
    <t>FG-WANG-00005</t>
  </si>
  <si>
    <t>BOX W6 S W 370X220X130 - BOX W6</t>
  </si>
  <si>
    <t>KRT02719</t>
  </si>
  <si>
    <t>FG-WANG-00007</t>
  </si>
  <si>
    <t>LAYER W6 370X220 - LAYER W6</t>
  </si>
  <si>
    <t>KRT03186</t>
  </si>
  <si>
    <t>FG-WANG-00010</t>
  </si>
  <si>
    <t>PARTISI W18 (3HOLE) 520X260X225 - PARTISI W18 3 HOLE</t>
  </si>
  <si>
    <t>KRT03307</t>
  </si>
  <si>
    <t>FG-WANG-00011</t>
  </si>
  <si>
    <t>PARTISI W18 (8HOLE) 520X260X225 - PARTISI W18 8 HOLE</t>
  </si>
  <si>
    <t>KRT03190</t>
  </si>
  <si>
    <t>FG-WANG-00014</t>
  </si>
  <si>
    <t>BOX CARTON W2 UK. 790X270X145 MM - BOX W2</t>
  </si>
  <si>
    <t>KRT03394</t>
  </si>
  <si>
    <t>FG-WIRS-00003</t>
  </si>
  <si>
    <t>PT. WIRYAMANTA SADINA</t>
  </si>
  <si>
    <t>INNER PARTY</t>
  </si>
  <si>
    <t>FG-YMT-00001</t>
  </si>
  <si>
    <t>PT. YAMATOGOMU INDONESIA</t>
  </si>
  <si>
    <t>KARTON BOX NS-6</t>
  </si>
  <si>
    <t>KRT00319</t>
  </si>
  <si>
    <t>FG-YMT-00002</t>
  </si>
  <si>
    <t>KARTON BOX NS-10</t>
  </si>
  <si>
    <t>KRT00318</t>
  </si>
  <si>
    <t>FG-YSG-00002</t>
  </si>
  <si>
    <t>PT. YASUNAGA INDONESIA</t>
  </si>
  <si>
    <t>INNER BOX (306X271X110) MM</t>
  </si>
  <si>
    <t>KRT00280</t>
  </si>
  <si>
    <t>FG-YSG-00004</t>
  </si>
  <si>
    <t>CARTON PARTISI 1GD 440X555MM</t>
  </si>
  <si>
    <t>TOTAL</t>
  </si>
  <si>
    <t>DEPARTMEN : PACKAGING (RAW MATERIAL)</t>
  </si>
  <si>
    <t>MTRL-00008</t>
  </si>
  <si>
    <t>PT. SURYA RENGO CONTAINERS</t>
  </si>
  <si>
    <t>SHEET 92 X 160 CM K125/M125X4 CB/F BRUTO</t>
  </si>
  <si>
    <t>KRT02181</t>
  </si>
  <si>
    <t>MTRL-00009</t>
  </si>
  <si>
    <t>SHEET 122 X 150 CM M125X5 CB/F BRUTO</t>
  </si>
  <si>
    <t>KRT02182</t>
  </si>
  <si>
    <t>MTRL-00011</t>
  </si>
  <si>
    <t>SHEET 140 X 105 CM M125X5 CB/F BRUTO</t>
  </si>
  <si>
    <t>KRT02183</t>
  </si>
  <si>
    <t>MTRL-00026</t>
  </si>
  <si>
    <t>PT. CAKRAWALA MEGA INDAH</t>
  </si>
  <si>
    <t>SHEET 244 X 122 CM K125/M125X3/K125 CB/F SCOORE 60.5+61.5</t>
  </si>
  <si>
    <t>KRT01758</t>
  </si>
  <si>
    <t>MTRL-00063</t>
  </si>
  <si>
    <t>SHEET 156 X 56,5 CM K200/M125X3/K150 CB/F SCOORE 15.5+25.5+15.5</t>
  </si>
  <si>
    <t>LKR00099</t>
  </si>
  <si>
    <t>MTRL-00065</t>
  </si>
  <si>
    <t>SHEET 220 X 64 CM K200/M125X3/K150 CB/F SCOORE 18.8+26.4+18.8</t>
  </si>
  <si>
    <t>LKR00084</t>
  </si>
  <si>
    <t>MTRL-00070</t>
  </si>
  <si>
    <t>SHHET 106,5 X 53 CM K200/M125/K200 C/F NETTO</t>
  </si>
  <si>
    <t>LKR00137</t>
  </si>
  <si>
    <t>MTRL-000732</t>
  </si>
  <si>
    <t>PT. KATI KARTIKA MURNI</t>
  </si>
  <si>
    <t>SHEET 224 X 133,4 CM K150/M125/K150 B/F SCOORE 29.6+103.8</t>
  </si>
  <si>
    <t>KRT03967</t>
  </si>
  <si>
    <t>MTRL-00082</t>
  </si>
  <si>
    <t>PT. SEMANGAT YAN INDONESIA</t>
  </si>
  <si>
    <t>PALLET 110 X 110 X 12</t>
  </si>
  <si>
    <t>MTRL-00089</t>
  </si>
  <si>
    <t/>
  </si>
  <si>
    <t>SHEET 120 X 42,4 CM K125/M125/K125 C/F SCOORE 12.7+17+12.7</t>
  </si>
  <si>
    <t>KRT00614</t>
  </si>
  <si>
    <t>MTRL-00114</t>
  </si>
  <si>
    <t>SHEET 70 X 105 CM K150/M125/K150 C/F BRUTO</t>
  </si>
  <si>
    <t>KRT00922</t>
  </si>
  <si>
    <t>MTRL-00129</t>
  </si>
  <si>
    <t>SHEET 201 X 120,5 CM K275/M125X3/K275 BC/F NETTO</t>
  </si>
  <si>
    <t>KRT01132</t>
  </si>
  <si>
    <t>MTRL-00136</t>
  </si>
  <si>
    <t>SHEET 105 X 105 CM K150/M125X3/K150 CB/F NETTO</t>
  </si>
  <si>
    <t>KRT01234</t>
  </si>
  <si>
    <t>MTRL-00140</t>
  </si>
  <si>
    <t>SIKU KARTOON 50 X 50 X 10 MM (P= 1160 MM)</t>
  </si>
  <si>
    <t>MTRL-00141</t>
  </si>
  <si>
    <t>PT. SINERGI ANDALAN SINARMADANI</t>
  </si>
  <si>
    <t>SIKU KARTON 50 X 50 X 10 (P= 1200 MM)</t>
  </si>
  <si>
    <t>MTRL-00142</t>
  </si>
  <si>
    <t>SIKU KARTOON 50 X 50 X 10 MM (P= 1250 MM)</t>
  </si>
  <si>
    <t>KRT01263</t>
  </si>
  <si>
    <t>MTRL-00145</t>
  </si>
  <si>
    <t>PT. PARAMITRA GUNAKARYA CEMERLANG</t>
  </si>
  <si>
    <t>SHEET 85 X 75 CM K125/M125X4 CB/F BRUTO</t>
  </si>
  <si>
    <t>KRT01344</t>
  </si>
  <si>
    <t>MTRL-00151</t>
  </si>
  <si>
    <t>SHEET 130 X 55,7 CM K125/M125X4 CB/F SCOORE 16.1+23.5+16.1</t>
  </si>
  <si>
    <t>KRT01498</t>
  </si>
  <si>
    <t>MTRL-00153</t>
  </si>
  <si>
    <t>SHEET 129 X 126 CM M125X3 B/F NETTO</t>
  </si>
  <si>
    <t>KRT00652</t>
  </si>
  <si>
    <t>MTRL-00168</t>
  </si>
  <si>
    <t>SHEET 78 X 80 CM K125/M125X4 BC/F BRUTO</t>
  </si>
  <si>
    <t>KRT01697</t>
  </si>
  <si>
    <t>MTRL-00169</t>
  </si>
  <si>
    <t>SHEET 129 X 34,2 CM K200/M125/K200 C/F SCOORE 13.7+15.5+5</t>
  </si>
  <si>
    <t>LKR00658</t>
  </si>
  <si>
    <t>MTRL-00198</t>
  </si>
  <si>
    <t>SIKU KARTOON 50 X 50 X 10 MM (P= 980 MM)</t>
  </si>
  <si>
    <t>KRT02059</t>
  </si>
  <si>
    <t>MTRL-00202</t>
  </si>
  <si>
    <t>SHEET 249 X 123,3 CM K125/M125X3/K125 CB/F SCOORE 61.8 + 61.5</t>
  </si>
  <si>
    <t>KRT01847</t>
  </si>
  <si>
    <t>MTRL-00226</t>
  </si>
  <si>
    <t>SHEET 154 X 75,7 CM K275/M125X3/K275 CB/F SCOORE 19.1+37.5+19.1</t>
  </si>
  <si>
    <t>KRT02410</t>
  </si>
  <si>
    <t>MTRL-00227</t>
  </si>
  <si>
    <t>SHEET 152 X 80,6 CM K275/M125X3/K275 CB/F SCOORE 18.8+43+18.8</t>
  </si>
  <si>
    <t>KRT02411</t>
  </si>
  <si>
    <t>MTRL-00229</t>
  </si>
  <si>
    <t>SHEET 100 X 170 CM K125/M125X3/K125 CB/F BRUTO</t>
  </si>
  <si>
    <t>KRT02449</t>
  </si>
  <si>
    <t>MTRL-00286</t>
  </si>
  <si>
    <t>SHEET 176 X 150 CM K125/M125/K125 B/F BRUTO</t>
  </si>
  <si>
    <t>LKR01365</t>
  </si>
  <si>
    <t>MTRL-00306</t>
  </si>
  <si>
    <t>SHEET 216 X 83,4 CM K200/M125/K150 C/F SCOORE 26,7+30+26,7</t>
  </si>
  <si>
    <t>KRT00857</t>
  </si>
  <si>
    <t>MTRL-00308</t>
  </si>
  <si>
    <t>SHEET 182 X 41,8 CM K150/M125X3/K150 CB/F SCOORE 17.8+16+8</t>
  </si>
  <si>
    <t>KRT00816</t>
  </si>
  <si>
    <t>MTRL-00309</t>
  </si>
  <si>
    <t>SHEET 230 X 125 CM K200/M125X3/K150 CB/F BRUTO</t>
  </si>
  <si>
    <t>KRT</t>
  </si>
  <si>
    <t>MTRL-00314</t>
  </si>
  <si>
    <t>PT. APP PURINUSA EKAPERSADA</t>
  </si>
  <si>
    <t>SHEET 159,5 X 120 CM K275/M125X3/K275 CB/F SCOORE 20+80+20</t>
  </si>
  <si>
    <t>KRT01745</t>
  </si>
  <si>
    <t>MTRL-00325</t>
  </si>
  <si>
    <t>SHEET 106 X 80 CM K200/M125X3/K200 CB/F NETTO</t>
  </si>
  <si>
    <t>KRT02482</t>
  </si>
  <si>
    <t>MTRL-00340</t>
  </si>
  <si>
    <t>SHEET 63 X 90 CM K200/M125/K200 B/F BRUTO</t>
  </si>
  <si>
    <t>KRT04071</t>
  </si>
  <si>
    <t>MTRL-00346</t>
  </si>
  <si>
    <t>SHEET 132 X 110 CM K125/M125/K125 B/F BRUTO</t>
  </si>
  <si>
    <t>KRT00669</t>
  </si>
  <si>
    <t>MTRL-00368</t>
  </si>
  <si>
    <t>SHEET 180 X 84,6 CM K275/M125X3/K275 CB/F 22,3 + 40 + 22,3</t>
  </si>
  <si>
    <t>KRT03796</t>
  </si>
  <si>
    <t>MTRL-00377</t>
  </si>
  <si>
    <t>SHEET 106,5 X 106,5 CM K200/M125/K200 C/F NETTO</t>
  </si>
  <si>
    <t>LKR00148</t>
  </si>
  <si>
    <t>MTRL-00379</t>
  </si>
  <si>
    <t>SHEET 227 X 134 CM K200/M125X3/K150 CB/F SCOORE 20+101+13</t>
  </si>
  <si>
    <t>LKR00153</t>
  </si>
  <si>
    <t>MTRL-00382</t>
  </si>
  <si>
    <t>SHEET 152 X 79,1 CM K275/M125X3/M275 CB/F SCOORE 15,3 + 48,5 + 15,3</t>
  </si>
  <si>
    <t>KRT03851</t>
  </si>
  <si>
    <t>MTRL-00386</t>
  </si>
  <si>
    <t>SHEET 245 X 200 CM K200/M125X3/K150 BC/F BRUTO</t>
  </si>
  <si>
    <t>MTRL-00401</t>
  </si>
  <si>
    <t>SHEET 131 X 61,2 CM K125/M125X4 CB/F SCOORE 11,6 + 38 + 11,6</t>
  </si>
  <si>
    <t>KRT03259</t>
  </si>
  <si>
    <t>MTRL-00410</t>
  </si>
  <si>
    <t>SIKU UK. 1000 X 50 X 50 X 10 MM</t>
  </si>
  <si>
    <t>KRT03152</t>
  </si>
  <si>
    <t>MTRL-00416</t>
  </si>
  <si>
    <t>SHEET 106 X 106 CM K200/M125X3/K200 CB/F NETO</t>
  </si>
  <si>
    <t>KRT00542</t>
  </si>
  <si>
    <t>MTRL-00442</t>
  </si>
  <si>
    <t>SHEET 97 X 70 CM K125/M125X4 CB/F BRUTO</t>
  </si>
  <si>
    <t>MTRL-00486</t>
  </si>
  <si>
    <t>SHEET 180 X 105 CM WK150/M125X2 B/F BRUTO</t>
  </si>
  <si>
    <t>KRT03500</t>
  </si>
  <si>
    <t>MTRL-00489</t>
  </si>
  <si>
    <t>SHEET 124 X 55,6 CM K200/M150X3/K150 SCOORE 13+29,5+13</t>
  </si>
  <si>
    <t>MTRL-00494</t>
  </si>
  <si>
    <t>SHEET 111 X 110 CM WK150/M125X2 B/F BRUTO</t>
  </si>
  <si>
    <t>KRT03447</t>
  </si>
  <si>
    <t>MTRL-00495</t>
  </si>
  <si>
    <t>SHEET 119 X 105 CM WK150/M125X2 B/F BRUTO</t>
  </si>
  <si>
    <t>KRT03503</t>
  </si>
  <si>
    <t>MTRL-00496</t>
  </si>
  <si>
    <t>SHEET 92 X 170 CM WK150/M125X2 B/F BRUTO</t>
  </si>
  <si>
    <t>KRT03270</t>
  </si>
  <si>
    <t>MTRL-00533</t>
  </si>
  <si>
    <t>SHEET 124 X 37,2 CM K125/M125X3/K125 CB/F SCOORE 13.6+10+13.6</t>
  </si>
  <si>
    <t>KRT03525</t>
  </si>
  <si>
    <t>MTRL-00541</t>
  </si>
  <si>
    <t>SHEET 162 X 105 CM K200/M125/K200 B/F BRUTO</t>
  </si>
  <si>
    <t>330+80</t>
  </si>
  <si>
    <t>KRT03542</t>
  </si>
  <si>
    <t>MTRL-00548</t>
  </si>
  <si>
    <t>SHEET 164 X 60,6 CM K150/M125X3/K150 CB/F SCOORE 20.3 + 20 + 20.3</t>
  </si>
  <si>
    <t>KRT03688</t>
  </si>
  <si>
    <t>MTRL-00558</t>
  </si>
  <si>
    <t>SHEET 163 x 71,1 CM K125/M125/M125X4 CB/F SCOORE 18.3+34.5+18.3</t>
  </si>
  <si>
    <t>MTRL-00606</t>
  </si>
  <si>
    <t>SHEET 134 X 109 CM K200/M125X3/K200 CB/F NETTO</t>
  </si>
  <si>
    <t>KRT03623</t>
  </si>
  <si>
    <t>MTRL-00615</t>
  </si>
  <si>
    <t>SHEET 108,5 X 98,5 CM K275/M150X3/K275 CB/F SCOORE 6.5+85.5+8.5</t>
  </si>
  <si>
    <t>KRT03652</t>
  </si>
  <si>
    <t>MTRL-00625</t>
  </si>
  <si>
    <t>SHEET 170 X 125 CM K125/M125X4 CB/F BRUTO</t>
  </si>
  <si>
    <t>KRT02454</t>
  </si>
  <si>
    <t>MTRL-00644</t>
  </si>
  <si>
    <t>SHEET 96 X 110 CM K125/M125/K125 B/F BRUTO</t>
  </si>
  <si>
    <t>KRT03896</t>
  </si>
  <si>
    <t>MTRL-00656</t>
  </si>
  <si>
    <t>SHEET 148 X 58,2 CM K150/M125X3/K150 CB/F SCOORE 16,6 + 25 + 16,6</t>
  </si>
  <si>
    <t>MTRL-00657</t>
  </si>
  <si>
    <t>SHEET 145 X 59,6 CM K125/M125X4 CB/F SCOORE 13.3 + 33 + 13.3</t>
  </si>
  <si>
    <t>KRT03258</t>
  </si>
  <si>
    <t>MTRL-00702</t>
  </si>
  <si>
    <t>SHEET 172,5 X 64 CM K150/M125/K150 C/F SCOORE 17+30+17</t>
  </si>
  <si>
    <t>KRT03893</t>
  </si>
  <si>
    <t>MTRL-00707</t>
  </si>
  <si>
    <t>SHEET 106 X 110 CM K125/M125X4 CB/F BRUTO</t>
  </si>
  <si>
    <t>KRT03895</t>
  </si>
  <si>
    <t>MTRL-00714</t>
  </si>
  <si>
    <t>SHEET 174 X 70,4 CM K125/M125/K125 C/F SCOORE 20.2+30+20.2</t>
  </si>
  <si>
    <t>KRT03915</t>
  </si>
  <si>
    <t>MTRL-00727</t>
  </si>
  <si>
    <t>SHEET 86 X 147,7 CM K150/M125/K150 B/F SCOORE 43.3+104,4</t>
  </si>
  <si>
    <t>KRT03965</t>
  </si>
  <si>
    <t>MTRL-00734</t>
  </si>
  <si>
    <t>SHEET 224 X 131,1 CM K150/M125/K150 B/F SCOORE 28.1+103</t>
  </si>
  <si>
    <t>KRT03971</t>
  </si>
  <si>
    <t>MTRL-00738</t>
  </si>
  <si>
    <t>CV. ALAM CITRA LESTARI</t>
  </si>
  <si>
    <t>PARTY ACTIVITY</t>
  </si>
  <si>
    <t>KRT03978</t>
  </si>
  <si>
    <t>MTRL-00739</t>
  </si>
  <si>
    <t>FLAVOR ACTIVITY</t>
  </si>
  <si>
    <t>KRT03979</t>
  </si>
  <si>
    <t>MTRL-00741</t>
  </si>
  <si>
    <t>SHEET 132 X 108,8 CM K275/M125X3/K275 CB/F SCOORE 29.4+50+29.4</t>
  </si>
  <si>
    <t>KRT03981</t>
  </si>
  <si>
    <t>MTRL-00742</t>
  </si>
  <si>
    <t>SHEET 132 X 85,8 CM K275/M125X3/K275 CB/F SCOORE 29.4+27+29.4</t>
  </si>
  <si>
    <t>KRT03982</t>
  </si>
  <si>
    <t>MTRL-00754</t>
  </si>
  <si>
    <t>SHEET 106 X 123,2 CM K150/M125/K150 B/F SCOORE 26.8+96.4</t>
  </si>
  <si>
    <t>KRT04036</t>
  </si>
  <si>
    <t>MTRL-00781</t>
  </si>
  <si>
    <t>SHEET 152 X 118 CM K275/M125X3/K275 CB/F SCOORE 15+88+15</t>
  </si>
  <si>
    <t>KRT04094</t>
  </si>
  <si>
    <t>MTRL-00783</t>
  </si>
  <si>
    <t>SHEET 106 X 46,4 CM K150/M125/K150 C/F SCOORE 11.7+23+11.7</t>
  </si>
  <si>
    <t>MTRL-00784</t>
  </si>
  <si>
    <t>SHEET 106 X 60,4 CM K150/M125/K150 C/F SCOORE 11.7+37+11.7</t>
  </si>
  <si>
    <t>MTRL-00790</t>
  </si>
  <si>
    <t>SHEET 132 X 79,4 CM K275/M125X3/K275 CB/F SCOORE 26.2+27+26.2</t>
  </si>
  <si>
    <t>KRT04105</t>
  </si>
  <si>
    <t>MTRL-00791</t>
  </si>
  <si>
    <t>SHEET 132 X 102,4 CM K275/M125X3/K275 CB/F SCOORE 26.2+50+26.2</t>
  </si>
  <si>
    <t>KRT04106</t>
  </si>
  <si>
    <t>MTRL-00792</t>
  </si>
  <si>
    <t>SHEET 204 X 63,6 CM K275/M125X3/K275 CB/F SCOORE 18.3+27+18.3</t>
  </si>
  <si>
    <t>KRT04107</t>
  </si>
  <si>
    <t>MTRL-00797</t>
  </si>
  <si>
    <t>SHEET 105 X 140 CM K125/M125X4 CB/F BRUTO</t>
  </si>
  <si>
    <t>KRT04110</t>
  </si>
  <si>
    <t>MTRL-00804</t>
  </si>
  <si>
    <t>SHEET 128 X 42,2 CM K200/M125X3/K150 CB/F SCOORE 12.6+17+12.6</t>
  </si>
  <si>
    <t>SUDAH DI BAYAR CUSTOMER</t>
  </si>
  <si>
    <t>MTRL-00808</t>
  </si>
  <si>
    <t>SHEET 107 X 135 CM K200/M125X3/K150 CB/F BRUTO</t>
  </si>
  <si>
    <t>KRT04140</t>
  </si>
  <si>
    <t>MTRL-00813</t>
  </si>
  <si>
    <t>SHEET 138 X 84,6 CM K125/M125X4 CB/F SCOORE 15,8+53+15,8</t>
  </si>
  <si>
    <t>MTRL-00835</t>
  </si>
  <si>
    <t>SHEET 143 X 49 K125/M125/K125 C/F</t>
  </si>
  <si>
    <t>MTRL-00836</t>
  </si>
  <si>
    <t>SHEET 120 X 40 K125/M125X4/K125 CB/F</t>
  </si>
  <si>
    <t>MTRL-00839</t>
  </si>
  <si>
    <t>SHEET 107 X 120 CM K200/M125/K150 C/F BTUTO</t>
  </si>
  <si>
    <t>MTRL-00841</t>
  </si>
  <si>
    <t>SHEET 77 X 33,3 CM K200/M125/K200 C/F SCOORE 9.4+14.5+9.4</t>
  </si>
  <si>
    <t>MTRL-00842</t>
  </si>
  <si>
    <t>SHEET 77 X 55,3 CM K200/M125/K200 C/F SCOORE 9.4+36.5+9.4</t>
  </si>
  <si>
    <t>MTRL-00843</t>
  </si>
  <si>
    <t>SHEET 77 X 55,3 CM K200/M125/K150 C/F SCOORE 9.4+36.5+9.4</t>
  </si>
  <si>
    <t>CUSTOMER</t>
  </si>
  <si>
    <t>NAMA</t>
  </si>
  <si>
    <t>HARGA JUAL</t>
  </si>
  <si>
    <t>SUM</t>
  </si>
  <si>
    <t>No</t>
  </si>
  <si>
    <t>Kode Item</t>
  </si>
  <si>
    <t>Nama Item</t>
  </si>
  <si>
    <t>Jenis</t>
  </si>
  <si>
    <t>Stok</t>
  </si>
  <si>
    <t>Satuan</t>
  </si>
  <si>
    <t>H. Beli</t>
  </si>
  <si>
    <t>Harga Jual</t>
  </si>
  <si>
    <t>TRM4058</t>
  </si>
  <si>
    <t>3M SF401AF SECREFIT EYEWEAR CLEAR ANTY FOG-LENS /PCS</t>
  </si>
  <si>
    <t>ADVANEX</t>
  </si>
  <si>
    <t>PCS</t>
  </si>
  <si>
    <t>TRM3969</t>
  </si>
  <si>
    <t>3M SF401AF SECUREFIT EYEWEAR CLEAR ANTYFOG-LENS /PCS</t>
  </si>
  <si>
    <t>TRM3495</t>
  </si>
  <si>
    <t>AKRILIK BENING TEBAL 5MM UK 122 X 244CM MERK MC</t>
  </si>
  <si>
    <t>TRM3637</t>
  </si>
  <si>
    <t>CAIRAN ANTI RAYAP (ISI 1 LITER) /DIRIGEN</t>
  </si>
  <si>
    <t>TRM3916</t>
  </si>
  <si>
    <t>CARBON REMOVER KAESAR COOLERCARE COMPRESSOR @ 20 LTR / DIRIGEN</t>
  </si>
  <si>
    <t>TRM3771</t>
  </si>
  <si>
    <t>DIAL INDICATOR MITUTOYO TYPE 2046A  /PCS</t>
  </si>
  <si>
    <t>TRM4175</t>
  </si>
  <si>
    <t>FIXSTEPS TANGGA LIPAT ALUMUNIUM STOOL 2 STEPS SILVER 42 CM</t>
  </si>
  <si>
    <t>TRM3982</t>
  </si>
  <si>
    <t>GELAS UKUR 700ML BAHAN LEAF GREEN 1875/PCS</t>
  </si>
  <si>
    <t>TRM3347</t>
  </si>
  <si>
    <t>GUNTING PLAT TEKIRO 10"/PCS</t>
  </si>
  <si>
    <t>TRM3907</t>
  </si>
  <si>
    <t>HAND SEALER FS-500 H 5MM HUALIAN /UNIT</t>
  </si>
  <si>
    <t>TRM3554</t>
  </si>
  <si>
    <t>HANDY TALKIE / JARAK 1 KM MERK WLN KC-C1 UHF/UNIT</t>
  </si>
  <si>
    <t>TRM3638</t>
  </si>
  <si>
    <t>HHVS 2 CM</t>
  </si>
  <si>
    <t>ROL</t>
  </si>
  <si>
    <t>TRM3143</t>
  </si>
  <si>
    <t>KIPAS ANGIN STAND 20 INCH MEREK REGENCY</t>
  </si>
  <si>
    <t>TRM3653</t>
  </si>
  <si>
    <t>KIPAS ANGIN TUMPU 18" SFN 1808 SEKAI - BALING-BALING ALUMUNIUM /UNIT</t>
  </si>
  <si>
    <t>TRM3066</t>
  </si>
  <si>
    <t>KONTAKTOR MITSUBISHI COIL 100 VOLT</t>
  </si>
  <si>
    <t>TRM3348</t>
  </si>
  <si>
    <t>KUNCI L TEKIRO PANJANG 8 PCS/SET</t>
  </si>
  <si>
    <t>TRM3679</t>
  </si>
  <si>
    <t>LEVEL KACA TANGKI HIDROLIK ZAXIS ZX200 EX200</t>
  </si>
  <si>
    <t>TRM3231</t>
  </si>
  <si>
    <t>MESIN GERINDA TANGAN MAKITA MT90 M0900B</t>
  </si>
  <si>
    <t>TRM3353</t>
  </si>
  <si>
    <t>NIPPLE SPEED CONTROL DPC 1/4" X 6MM/PCS</t>
  </si>
  <si>
    <t>TRM3352</t>
  </si>
  <si>
    <t>NIPPLE SPEED CONTROL DPC 1/8" X 6MM (NSE06-01)/PCS</t>
  </si>
  <si>
    <t>TRM3165</t>
  </si>
  <si>
    <t>NYLON BAR WARNA BIRU UK DIAMETER 2,5CM X 100CM /POTONG</t>
  </si>
  <si>
    <t>TRM3163</t>
  </si>
  <si>
    <t>NYLON SHEET WARNA BIRU UK TEBAL 2CM X 15CM X 30CM / POTONG</t>
  </si>
  <si>
    <t>TRM4088</t>
  </si>
  <si>
    <t>ONDA BALL VALVE UK 1/4 INCH /PCS</t>
  </si>
  <si>
    <t>TRM3019</t>
  </si>
  <si>
    <t>PALLET PLASTIK TO EXPORT 110 X 110 X 12 CM</t>
  </si>
  <si>
    <t>TRM3125</t>
  </si>
  <si>
    <t>PERLAK WARNA HIJAU @20 MTR /ROLL</t>
  </si>
  <si>
    <t>TRM3049</t>
  </si>
  <si>
    <t>POMPA SUMUR DANGKAL NON OTOMATIS SHARP SPS-109N/UNIT</t>
  </si>
  <si>
    <t>UNIT</t>
  </si>
  <si>
    <t>TRM3687</t>
  </si>
  <si>
    <t>SEKAI KIPAS ANGIN DINDING TORNADO / KIPAS ANGIN MEJA JUMBO  2 IN 1 18 INCH - HFN 1856</t>
  </si>
  <si>
    <t>TRM2991</t>
  </si>
  <si>
    <t>TABLET XIAOMI REDMI PAD E 11 INCH RAM 4GB MEMORY 128GB</t>
  </si>
  <si>
    <t>TRM3114</t>
  </si>
  <si>
    <t>TANGGA MERK DALTON ML 1005 D (6,4 MTR) DOUBLE TELE (3.2 X 3.2 MTR) BERAT 22KG/UNIT</t>
  </si>
  <si>
    <t>TRM3772</t>
  </si>
  <si>
    <t>TAP BALIK TEKIRO @ISI 6 PCS /SET</t>
  </si>
  <si>
    <t>TRM3680</t>
  </si>
  <si>
    <t>TEKIRO SET PANJANG KUNCI HEX BALLPOINT (KUNCI L BALLPOINT) HK-BP1204 1.5-10MM</t>
  </si>
  <si>
    <t>TRM3681</t>
  </si>
  <si>
    <t>TEKIRO TAMPER TORX KEY LONG SET ( KUNCI L TAMPER TORX LUBANG) HK-TA1206 T10-T50</t>
  </si>
  <si>
    <t>TRM3065</t>
  </si>
  <si>
    <t>TIMMING BELT MITSUBOSHI</t>
  </si>
  <si>
    <t>TRM3127</t>
  </si>
  <si>
    <t>AIR ACCU @20 LTR /DIRIGEN</t>
  </si>
  <si>
    <t>TRM3888</t>
  </si>
  <si>
    <t>KERTAS HVS ROLL 60GSM LEBAR 2CM</t>
  </si>
  <si>
    <t>TRM1359</t>
  </si>
  <si>
    <t>ALUMINIUM FOIL SINGLE 4200X4000 MM</t>
  </si>
  <si>
    <t>ALT</t>
  </si>
  <si>
    <t>TRM0580</t>
  </si>
  <si>
    <t>ALUMINIUM FOR SINGLE 1200 X 4000 MM</t>
  </si>
  <si>
    <t>TRM1688</t>
  </si>
  <si>
    <t>KABEL NYY 4X95MM BRAND : SUPREME</t>
  </si>
  <si>
    <t>MTR</t>
  </si>
  <si>
    <t>TRM1360</t>
  </si>
  <si>
    <t>PE FOAM BAG 2X400X250 MM</t>
  </si>
  <si>
    <t>TRM0219</t>
  </si>
  <si>
    <t>PE FOAM SHEET 5X200X250MM</t>
  </si>
  <si>
    <t>TRM0084</t>
  </si>
  <si>
    <t>ADJUSTER M12 + NUT</t>
  </si>
  <si>
    <t>ARD</t>
  </si>
  <si>
    <t>SET</t>
  </si>
  <si>
    <t>TRM1512</t>
  </si>
  <si>
    <t>BOLT  L BAJA M10 X 25 NUT, WASHER, RING PER</t>
  </si>
  <si>
    <t>TRM1510</t>
  </si>
  <si>
    <t>BOLT  L BAJA M16 X 40 NUT, WASHER, RING PER</t>
  </si>
  <si>
    <t>TRM1514</t>
  </si>
  <si>
    <t>BOLT  L BAJA M16 X 60 NUT, WASHER, RING PER</t>
  </si>
  <si>
    <t>TRM1511</t>
  </si>
  <si>
    <t>BOLT  L BAJA M30 X 50 NUT, WASHER, RING PER</t>
  </si>
  <si>
    <t>TRM1517</t>
  </si>
  <si>
    <t>BOLT  L BAJA M5 X 10 NUT, WASHER, RING PER</t>
  </si>
  <si>
    <t>TRM1516</t>
  </si>
  <si>
    <t>BOLT  L BAJA M5 X 20 NUT, WASHER, RING PER</t>
  </si>
  <si>
    <t>TRM1518</t>
  </si>
  <si>
    <t>BOLT  L BAJA M6 X 10 NUT, WASHER, RING PER</t>
  </si>
  <si>
    <t>TRM1515</t>
  </si>
  <si>
    <t>BOLT  L BAJA M6 X 15 NUT, WASHER, RING PER</t>
  </si>
  <si>
    <t>TRM1513</t>
  </si>
  <si>
    <t>BOLT  L BAJA M8 X 25 NUT, WASHER, RING PER</t>
  </si>
  <si>
    <t>TRM1558</t>
  </si>
  <si>
    <t>BOLT BAJA M12 X 40 + NUT+RING PER &amp; PLAT</t>
  </si>
  <si>
    <t>TRM1557</t>
  </si>
  <si>
    <t>BOLT BAJA M14 X 45 + NUT+RING PER &amp; PLAT</t>
  </si>
  <si>
    <t>TRM1524</t>
  </si>
  <si>
    <t>BOLT HEKSA SS M8 X 15 (INC. NUT)</t>
  </si>
  <si>
    <t>TRM1519</t>
  </si>
  <si>
    <t>BOLT HEXA BAJA M10 X 100</t>
  </si>
  <si>
    <t>TRM1899</t>
  </si>
  <si>
    <t>BOLT HEXA M12X50 NUT RING PER WASHER</t>
  </si>
  <si>
    <t>TRM2032</t>
  </si>
  <si>
    <t>BOLT L (M10X30) STD PITCH</t>
  </si>
  <si>
    <t>TRM2033</t>
  </si>
  <si>
    <t>BOLT L (M10X35) STD PITCH</t>
  </si>
  <si>
    <t>TRM2026</t>
  </si>
  <si>
    <t>BOLT L (M5X16) STD PITCH</t>
  </si>
  <si>
    <t>TRM2025</t>
  </si>
  <si>
    <t>BOLT L (M6X16) STD PITCH</t>
  </si>
  <si>
    <t>TRM2027</t>
  </si>
  <si>
    <t>BOLT L (M6X20) STD PITCH</t>
  </si>
  <si>
    <t>TRM2024</t>
  </si>
  <si>
    <t>BOLT L (M6X25) STD PITCH</t>
  </si>
  <si>
    <t>TRM2029</t>
  </si>
  <si>
    <t>BOLT L (M8X12) STD PITCH</t>
  </si>
  <si>
    <t>TRM2028</t>
  </si>
  <si>
    <t>BOLT L (M8X20) STD PITCH</t>
  </si>
  <si>
    <t>TRM2030</t>
  </si>
  <si>
    <t>BOLT L (M8X30) STD PITCH</t>
  </si>
  <si>
    <t>TRM2031</t>
  </si>
  <si>
    <t>BOLT L (M8X35) STD PITCH</t>
  </si>
  <si>
    <t>TRM2034</t>
  </si>
  <si>
    <t>BOLT L COUNTERSUNK (M6X20)</t>
  </si>
  <si>
    <t>TRM1523</t>
  </si>
  <si>
    <t>BOLT TANAM M6 X 10</t>
  </si>
  <si>
    <t>TRM1525</t>
  </si>
  <si>
    <t>BOLT TEPER SS M6 X 16 (INC. NUT)</t>
  </si>
  <si>
    <t>TRM1691</t>
  </si>
  <si>
    <t>BOLT VERSENG M12 X 50</t>
  </si>
  <si>
    <t>TRM1871</t>
  </si>
  <si>
    <t>BUSBAR + ISOLATOR TEMBAGA 8 PIN</t>
  </si>
  <si>
    <t>TRM2035</t>
  </si>
  <si>
    <t>BUTTON BOLT (M6X10)</t>
  </si>
  <si>
    <t>TRM1891</t>
  </si>
  <si>
    <t>DYNABOLT M6 X 40 BESI</t>
  </si>
  <si>
    <t>TRM1690</t>
  </si>
  <si>
    <t>DYNASET M12X50</t>
  </si>
  <si>
    <t>TRM2886</t>
  </si>
  <si>
    <t>DYNASET M8 X 30 BOLT TEPER</t>
  </si>
  <si>
    <t>TRM1894</t>
  </si>
  <si>
    <t>EXHOUS 1000 CMH MEREK CKE</t>
  </si>
  <si>
    <t>TRM2036</t>
  </si>
  <si>
    <t>EYEBOLT (RUD) M12 X 25</t>
  </si>
  <si>
    <t>TRM1877</t>
  </si>
  <si>
    <t>FITTING LAMPU GANTUNG</t>
  </si>
  <si>
    <t>TRM1570</t>
  </si>
  <si>
    <t>FLANGE BOLT  M.8 X1,25 X 12</t>
  </si>
  <si>
    <t>TRM1556</t>
  </si>
  <si>
    <t>FLANGE BOLT M.10 X 1,25 X 35</t>
  </si>
  <si>
    <t>TRM1573</t>
  </si>
  <si>
    <t>FLANGE BOLT M.8 X 1,25 X 15</t>
  </si>
  <si>
    <t>TRM1572</t>
  </si>
  <si>
    <t>FLANGE BOLT M.8 X 1,25 X 25</t>
  </si>
  <si>
    <t>TRM0502</t>
  </si>
  <si>
    <t>FLANGE BOLT M10 X 1.25 X 25</t>
  </si>
  <si>
    <t>TRM0501</t>
  </si>
  <si>
    <t>FLANGE BOLT M10 X 1.25 X 35</t>
  </si>
  <si>
    <t>TRM0156</t>
  </si>
  <si>
    <t>FLANGE BOLT M10X20</t>
  </si>
  <si>
    <t>TRM3941</t>
  </si>
  <si>
    <t>FLANGE BOLT M14X15</t>
  </si>
  <si>
    <t>TRM3334</t>
  </si>
  <si>
    <t>HDPE BLUE UK 30MMX1MX2M</t>
  </si>
  <si>
    <t>LBR</t>
  </si>
  <si>
    <t>TRM1883</t>
  </si>
  <si>
    <t>HEXOS DINDING 16 INCH</t>
  </si>
  <si>
    <t>TRM3950</t>
  </si>
  <si>
    <t>JASA PLATING FLANGE BOLT M14 x 1.5 x 15</t>
  </si>
  <si>
    <t>KG</t>
  </si>
  <si>
    <t>TRM1880</t>
  </si>
  <si>
    <t>KABEL DUCK 45 X 45</t>
  </si>
  <si>
    <t>BTG</t>
  </si>
  <si>
    <t>TRM3930</t>
  </si>
  <si>
    <t>KABEL NYY 2 X 2,5 MM</t>
  </si>
  <si>
    <t>TRM3931</t>
  </si>
  <si>
    <t>KABEL NYY 4 X 4 MM</t>
  </si>
  <si>
    <t>TRM1864</t>
  </si>
  <si>
    <t>KABEL NYYHY 2 X 1,5 (SUPRAME)</t>
  </si>
  <si>
    <t>TRM1865</t>
  </si>
  <si>
    <t>KABEL NYYHY 2 X 2,5 (SUPRAME)</t>
  </si>
  <si>
    <t>TRM1863</t>
  </si>
  <si>
    <t>KABEL NYYHY 4 X 4 (SUPRAME)</t>
  </si>
  <si>
    <t>TRM1895</t>
  </si>
  <si>
    <t>KABEL SUPRAME NYM NYY HY 2X2,5</t>
  </si>
  <si>
    <t>TRM3929</t>
  </si>
  <si>
    <t>KABEL SUPREME 5 X 6 MM NYY</t>
  </si>
  <si>
    <t>TRM1875</t>
  </si>
  <si>
    <t>KABEL TIST PANJANG 150MM</t>
  </si>
  <si>
    <t>PAK</t>
  </si>
  <si>
    <t>TRM1882</t>
  </si>
  <si>
    <t>KIPAS ANGIN WALL FAN 24 INCH DINDING EUROFAN DFF 600</t>
  </si>
  <si>
    <t>TRM1881</t>
  </si>
  <si>
    <t>KIPAS DINDING 16 INCH</t>
  </si>
  <si>
    <t>TRM1898</t>
  </si>
  <si>
    <t>KLEM KONDUWIT 1/2" (ISI 100)</t>
  </si>
  <si>
    <t>TRM1896</t>
  </si>
  <si>
    <t>KONDUWIT FLEXIBEL PUTIH 1/2" @50 M</t>
  </si>
  <si>
    <t>LOT</t>
  </si>
  <si>
    <t>TRM1878</t>
  </si>
  <si>
    <t>LAMPU PHILIPS 80 WATT</t>
  </si>
  <si>
    <t>TRM1893</t>
  </si>
  <si>
    <t>LAMPU TL PHILIP LED 120 COVER TANAM</t>
  </si>
  <si>
    <t>TRM1874</t>
  </si>
  <si>
    <t>LEGRAN ISI 4 MALE IP44 32 AMPERE</t>
  </si>
  <si>
    <t>PSG</t>
  </si>
  <si>
    <t>TRM3553</t>
  </si>
  <si>
    <t>MC BLUE UK 60 X 80 X 190</t>
  </si>
  <si>
    <t>TRM3550</t>
  </si>
  <si>
    <t>MC BLUE UK 90 X 100 X 180</t>
  </si>
  <si>
    <t>TRM3551</t>
  </si>
  <si>
    <t>MC BLUE UK 90 X 140 X 160</t>
  </si>
  <si>
    <t>TRM3552</t>
  </si>
  <si>
    <t>MC BLUE UK 90 X 90 X 155</t>
  </si>
  <si>
    <t>TRM1868</t>
  </si>
  <si>
    <t>MCB 1  PHASE 10 AMPERE (SCHENEIDER)</t>
  </si>
  <si>
    <t>TRM1869</t>
  </si>
  <si>
    <t>MCB 1  PHASE 16 AMPERE (SCHENEIDER)</t>
  </si>
  <si>
    <t>TRM1902</t>
  </si>
  <si>
    <t>MCB 1 PH 10.AMP</t>
  </si>
  <si>
    <t>TRM1867</t>
  </si>
  <si>
    <t>MCB 3  PHASE 32 AMPERE (SCHENEIDER)</t>
  </si>
  <si>
    <t>TRM1866</t>
  </si>
  <si>
    <t>MCCB 100 AMPERE (SCHENEIDER)</t>
  </si>
  <si>
    <t>TRM1725</t>
  </si>
  <si>
    <t>MESIN PROFIL B</t>
  </si>
  <si>
    <t>TRM1726</t>
  </si>
  <si>
    <t>MESIN PROFIL G</t>
  </si>
  <si>
    <t>TRM2746</t>
  </si>
  <si>
    <t>NUT BAJA M6</t>
  </si>
  <si>
    <t>TRM1768</t>
  </si>
  <si>
    <t>NUT WELDING M6X1.0</t>
  </si>
  <si>
    <t>TRM0503</t>
  </si>
  <si>
    <t>NUT WELDING M8</t>
  </si>
  <si>
    <t>TRM1901</t>
  </si>
  <si>
    <t>PANEL BOX 1.8 X 200 X 500 X 600</t>
  </si>
  <si>
    <t>TRM1876</t>
  </si>
  <si>
    <t>PANEL BOX UK 400 X 600</t>
  </si>
  <si>
    <t>TRM1872</t>
  </si>
  <si>
    <t>PILOT LAMP RST</t>
  </si>
  <si>
    <t>TRM1897</t>
  </si>
  <si>
    <t>PIPA KONDOIT 1/2"</t>
  </si>
  <si>
    <t>TRM1879</t>
  </si>
  <si>
    <t>PLEXIBLE KONDUIT 1/2 INCH (50 MTR)</t>
  </si>
  <si>
    <t>TRM2303</t>
  </si>
  <si>
    <t>POLYURETHANE KOTAK 12MMX55MMX100MM KARET PU</t>
  </si>
  <si>
    <t>TRM3122</t>
  </si>
  <si>
    <t>RATCHET TIE DOWN BELT LS-05-15 (25MM X 800KG X 3MTR) KONDOTEC</t>
  </si>
  <si>
    <t>TRM3717</t>
  </si>
  <si>
    <t>RATCHET TIE DOWN BELT LS-05-15 (25MM X 800KG X 6MTR) KONDOTEC</t>
  </si>
  <si>
    <t>TRM1873</t>
  </si>
  <si>
    <t>REL MCB</t>
  </si>
  <si>
    <t>TRM2037</t>
  </si>
  <si>
    <t>RING PER (M10)</t>
  </si>
  <si>
    <t>TRM2038</t>
  </si>
  <si>
    <t>RING PER (M6)</t>
  </si>
  <si>
    <t>TRM1903</t>
  </si>
  <si>
    <t>SAKLAR PHILIP PUTDOR 2 KONTAK</t>
  </si>
  <si>
    <t>TRM1900</t>
  </si>
  <si>
    <t>SKRUP KUNING PANJANG 10 (2000 PCS)</t>
  </si>
  <si>
    <t>DUS</t>
  </si>
  <si>
    <t>TRM1520</t>
  </si>
  <si>
    <t>SNEP RING RUAR DIA 14</t>
  </si>
  <si>
    <t>TRM1870</t>
  </si>
  <si>
    <t>STOP KONTAK OUTBOW ISI 4 (BROCO)</t>
  </si>
  <si>
    <t>TRM1521</t>
  </si>
  <si>
    <t>T SLOT M8</t>
  </si>
  <si>
    <t>TRM3933</t>
  </si>
  <si>
    <t>TERMINAL COLOKAN ISI 3 BROCO</t>
  </si>
  <si>
    <t>TRM1884</t>
  </si>
  <si>
    <t>TURBIN VENTILATOR ATAP 14 INCH</t>
  </si>
  <si>
    <t>TRM1522</t>
  </si>
  <si>
    <t>WASHER M30</t>
  </si>
  <si>
    <t>TRM0284</t>
  </si>
  <si>
    <t>FLANGE BOLT M14 X 1.5 X 15</t>
  </si>
  <si>
    <t>TRM1912</t>
  </si>
  <si>
    <t>SKRUP 5 X 50 TYPE LION STAR</t>
  </si>
  <si>
    <t>TRM0243</t>
  </si>
  <si>
    <t>NUT WELDING M.8X1.25</t>
  </si>
  <si>
    <t>TRM1387</t>
  </si>
  <si>
    <t>GERINDA AMPLAS SUSUN #80 4" BOX ISI 10</t>
  </si>
  <si>
    <t>ASAHI</t>
  </si>
  <si>
    <t>PCK</t>
  </si>
  <si>
    <t>TRM1385</t>
  </si>
  <si>
    <t>GERINDA CUTTING 4"X2MM WD ISI 20</t>
  </si>
  <si>
    <t>TRM1384</t>
  </si>
  <si>
    <t>GERINDA FLEXIBLE ULTRAFLEX 4X2MM BOX ISI 20</t>
  </si>
  <si>
    <t>TRM1386</t>
  </si>
  <si>
    <t>GERINDA POLES WD 4"X6MM BOX ISI 25</t>
  </si>
  <si>
    <t>TRM1289</t>
  </si>
  <si>
    <t>HAND WEEL FOLDING MACHINE</t>
  </si>
  <si>
    <t>TRM1408</t>
  </si>
  <si>
    <t>KARBON BRUSH UNTUK BOSCH GWS 060</t>
  </si>
  <si>
    <t>TRM1409</t>
  </si>
  <si>
    <t>KARBON BRUSH UNTUK MAKITA M9513B</t>
  </si>
  <si>
    <t>TRM1290</t>
  </si>
  <si>
    <t>MATERAI</t>
  </si>
  <si>
    <t>TRM3208</t>
  </si>
  <si>
    <t>PLASTIK PP 0.8 25X40CM</t>
  </si>
  <si>
    <t>TRM2048</t>
  </si>
  <si>
    <t>PLASTIK PP 08 12X20CM</t>
  </si>
  <si>
    <t>TRM1434</t>
  </si>
  <si>
    <t>PLASTIK PP 08X18X25CM</t>
  </si>
  <si>
    <t>TRM4045</t>
  </si>
  <si>
    <t>PLASTIK PP 08X25X40</t>
  </si>
  <si>
    <t>TRM1727</t>
  </si>
  <si>
    <t>PLASTIK PP 08X30X45CM</t>
  </si>
  <si>
    <t>TRM3971</t>
  </si>
  <si>
    <t>PLASTIK PP 18X25 0,8</t>
  </si>
  <si>
    <t>TRM3972</t>
  </si>
  <si>
    <t>PLASTIK PP 25X40 0,8</t>
  </si>
  <si>
    <t>TRM3207</t>
  </si>
  <si>
    <t>PLASTIK PP 30X45X0.3</t>
  </si>
  <si>
    <t>TRM4048</t>
  </si>
  <si>
    <t>PLASTIK SHRINK 12CM (10.6 + 10.25) KG @2 ROLL</t>
  </si>
  <si>
    <t>TRM1469</t>
  </si>
  <si>
    <t>PLASTIK SHRINK 12CM ROLL</t>
  </si>
  <si>
    <t>TRM2473</t>
  </si>
  <si>
    <t>PLASTIK SHRINK 15 CM</t>
  </si>
  <si>
    <t>TRM1435</t>
  </si>
  <si>
    <t>PLASTIK SHRINK 20CM</t>
  </si>
  <si>
    <t>TRM4046</t>
  </si>
  <si>
    <t>PLASTIK SHRINK 25 CM</t>
  </si>
  <si>
    <t>TRM1470</t>
  </si>
  <si>
    <t>PLASTIK SHRINK 25CM 1 ROLL 14.8</t>
  </si>
  <si>
    <t>TRM4047</t>
  </si>
  <si>
    <t>PLASTIK SHRINK 30 CM (14.55 + 15.95) KG @2 ROLL</t>
  </si>
  <si>
    <t>TRM2147</t>
  </si>
  <si>
    <t>PLASTIK SHRINK 30 CM 1 ROLL</t>
  </si>
  <si>
    <t>TRM4055</t>
  </si>
  <si>
    <t>STRAPING BAND EYZER UK 19MM</t>
  </si>
  <si>
    <t>TRM1358</t>
  </si>
  <si>
    <t>STRAPPING BAND EYZER UK 19MM</t>
  </si>
  <si>
    <t>TRM0281</t>
  </si>
  <si>
    <t>PAINT MARKER ARTLINE 400XF HIJAU</t>
  </si>
  <si>
    <t>CAC</t>
  </si>
  <si>
    <t>TRM2820</t>
  </si>
  <si>
    <t>PAINT MARKER ARTLINE 400XF WARNA LIGHT BLUE</t>
  </si>
  <si>
    <t>TRM0282</t>
  </si>
  <si>
    <t>PAINT MARKER ARTLINE 400XF WARNA PINK</t>
  </si>
  <si>
    <t>TRM0391</t>
  </si>
  <si>
    <t>PAINT MARKER SNOWMAN ORANGE</t>
  </si>
  <si>
    <t>TRM1720</t>
  </si>
  <si>
    <t>PAINT  MARKER ARTLINE K177N-YELLOW</t>
  </si>
  <si>
    <t>TRM3104</t>
  </si>
  <si>
    <t>ABATE BASF 1 KG</t>
  </si>
  <si>
    <t>DEHEUS</t>
  </si>
  <si>
    <t>TRM0356</t>
  </si>
  <si>
    <t>AGITA RACUN LALAT 10WG @400GRAM</t>
  </si>
  <si>
    <t>TRM0293</t>
  </si>
  <si>
    <t>AQUA 330ML</t>
  </si>
  <si>
    <t>TRM0294</t>
  </si>
  <si>
    <t>AQUA GELAS</t>
  </si>
  <si>
    <t>TRM0662</t>
  </si>
  <si>
    <t>BALLAST UNTUK LAMPU TL 18 WATT</t>
  </si>
  <si>
    <t>TRM0661</t>
  </si>
  <si>
    <t>BALLAST UNTUK LAMPU TL 60 WATT</t>
  </si>
  <si>
    <t>TRM1410</t>
  </si>
  <si>
    <t>BATERAI ALKALINE SIZE 9 VOLT</t>
  </si>
  <si>
    <t>TRM0581</t>
  </si>
  <si>
    <t>BATERAI ALKALINE SIZE AA</t>
  </si>
  <si>
    <t>TRM0582</t>
  </si>
  <si>
    <t>BATERAI ALKALINE SIZE AAA</t>
  </si>
  <si>
    <t>TRM1479</t>
  </si>
  <si>
    <t>BEARING 607</t>
  </si>
  <si>
    <t>TRM0696</t>
  </si>
  <si>
    <t>BODREX MIGRA</t>
  </si>
  <si>
    <t>TRM1800</t>
  </si>
  <si>
    <t>BOTOL PLASTIK 1500 ML UNTUK SAMPLING RM</t>
  </si>
  <si>
    <t>TRM0722</t>
  </si>
  <si>
    <t>BOTOL SAMPLE CAP 0.6 L</t>
  </si>
  <si>
    <t>TRM0721</t>
  </si>
  <si>
    <t>BOTOL SAMPLE CAP 1.4 L</t>
  </si>
  <si>
    <t>TRM0535</t>
  </si>
  <si>
    <t>CHEMICAL DISINFEKTAN</t>
  </si>
  <si>
    <t>LTR</t>
  </si>
  <si>
    <t>TRM0981</t>
  </si>
  <si>
    <t>CONNECTOR FLEXYBEL COUNDIT 3/4"</t>
  </si>
  <si>
    <t>TRM1198</t>
  </si>
  <si>
    <t>CONTACTOR - ELECTRIC - SCHNEIDER - LC1D09M7 24 VDC</t>
  </si>
  <si>
    <t>TRM1199</t>
  </si>
  <si>
    <t>CONTACTOR - ELECTRIC - SCHNEIDER - LC1D25M7 220VAC</t>
  </si>
  <si>
    <t>TRM1200</t>
  </si>
  <si>
    <t>CONTACTOR - ELECTRIC - SCHNEIDER - LC1D32M7 220VAC</t>
  </si>
  <si>
    <t>TRM1201</t>
  </si>
  <si>
    <t>CONTACTOR - ELECTRIC - SCHNEIDER - LC1D65AM7 220VAC</t>
  </si>
  <si>
    <t>TRM0380</t>
  </si>
  <si>
    <t>COVER LAMPU - PHILIPS - TL 18 WATT SIMBAT</t>
  </si>
  <si>
    <t>TRM1185</t>
  </si>
  <si>
    <t>COVER LAMPU - PHILIPS - TL 36 WATT SIMBAT</t>
  </si>
  <si>
    <t>TRM0692</t>
  </si>
  <si>
    <t>ENTROSTOP</t>
  </si>
  <si>
    <t>TRM0980</t>
  </si>
  <si>
    <t>FLECYBHEL COUNDIT 3/4" (METER)</t>
  </si>
  <si>
    <t>TRM1418</t>
  </si>
  <si>
    <t>FLOW METER MINYAK SERIS 800 C 1"</t>
  </si>
  <si>
    <t>TRM0660</t>
  </si>
  <si>
    <t>FUSE KRAMIK 4 AMPERE</t>
  </si>
  <si>
    <t>TRM0659</t>
  </si>
  <si>
    <t>FUSE KRAMIK 6 AMPERE</t>
  </si>
  <si>
    <t>TRM0384</t>
  </si>
  <si>
    <t>GAS 3KG</t>
  </si>
  <si>
    <t>TRM1486</t>
  </si>
  <si>
    <t>IMERSION HEATER 3 KW L300 DRAT INCH</t>
  </si>
  <si>
    <t>TRM0977</t>
  </si>
  <si>
    <t>INGCO SP3508 SPRAY GUN LISTRIK 450 W HEAVY DUTY</t>
  </si>
  <si>
    <t>TRM1070</t>
  </si>
  <si>
    <t>ISI STAPLES TEMBAK 1008J</t>
  </si>
  <si>
    <t>TRM1732</t>
  </si>
  <si>
    <t>JASA SABLON LOGO SANDAL DEHEUS</t>
  </si>
  <si>
    <t>TRM0691</t>
  </si>
  <si>
    <t>KARBOL WANGI 750 ML</t>
  </si>
  <si>
    <t>PC</t>
  </si>
  <si>
    <t>TRM0728</t>
  </si>
  <si>
    <t>KLAR STERN LIMIT SWITCH WLCA2-2</t>
  </si>
  <si>
    <t>TRM1420</t>
  </si>
  <si>
    <t>KLEM U DRAT PIPA 3"</t>
  </si>
  <si>
    <t>TRM1072</t>
  </si>
  <si>
    <t>KLEM UKURAN 10" STANLIS</t>
  </si>
  <si>
    <t>TRM1075</t>
  </si>
  <si>
    <t>KLEM UKURAN 2" STANLIS</t>
  </si>
  <si>
    <t>TRM1074</t>
  </si>
  <si>
    <t>KLEM UKURAN 4" STANLIS</t>
  </si>
  <si>
    <t>TRM1073</t>
  </si>
  <si>
    <t>KLEM UKURAN 8" STANLIS</t>
  </si>
  <si>
    <t>TRM0689</t>
  </si>
  <si>
    <t>KOPI KAPAL API 165 GRAM</t>
  </si>
  <si>
    <t>TRM1704</t>
  </si>
  <si>
    <t>KUAS ETERNA 633 (1INCH) 1 PACK ISI 12 PCS</t>
  </si>
  <si>
    <t>TRM1703</t>
  </si>
  <si>
    <t>KUAS ETERNA 633 (3INCH) 1 PACK ISI 12 PCS</t>
  </si>
  <si>
    <t>TRM0982</t>
  </si>
  <si>
    <t>LAMPU TEMBAK 1000 WATT HITATO</t>
  </si>
  <si>
    <t>TRM1544</t>
  </si>
  <si>
    <t>LAMPU TEMBAK 500 WATT HITATO</t>
  </si>
  <si>
    <t>TRM0378</t>
  </si>
  <si>
    <t>LAMPU TL 18 WATT PHILIPS</t>
  </si>
  <si>
    <t>TRM0656</t>
  </si>
  <si>
    <t>LAMPU TL 20 WATT PHILIPS</t>
  </si>
  <si>
    <t>TRM0379</t>
  </si>
  <si>
    <t>LAMPU TL 36 WATT PHILIPS</t>
  </si>
  <si>
    <t>TRM1057</t>
  </si>
  <si>
    <t>MESIN BOR PORTABLE DDF 484Z BATERAI + CHARGER</t>
  </si>
  <si>
    <t>TRM0695</t>
  </si>
  <si>
    <t>MILANTA TABLET</t>
  </si>
  <si>
    <t>TRM0979</t>
  </si>
  <si>
    <t>MULTICORE 6X1 MM (100 METER)</t>
  </si>
  <si>
    <t>TRM1125</t>
  </si>
  <si>
    <t>NAMPAN PLASTIK 36X28X5</t>
  </si>
  <si>
    <t>TRM1071</t>
  </si>
  <si>
    <t>OBENG ELECTRIC SET</t>
  </si>
  <si>
    <t>TRM1416</t>
  </si>
  <si>
    <t>ORING DIA 23 MM</t>
  </si>
  <si>
    <t>TRM1417</t>
  </si>
  <si>
    <t>ORING DIA 26 MM</t>
  </si>
  <si>
    <t>TRM1277</t>
  </si>
  <si>
    <t>P3K</t>
  </si>
  <si>
    <t>TRM0731</t>
  </si>
  <si>
    <t>PEMBELIAN KEBUTUHAN PANTRY</t>
  </si>
  <si>
    <t>TRM1016</t>
  </si>
  <si>
    <t>PEMBELIAN KEBUTUHAN PANTRY PERIODE AGUSTUS2023</t>
  </si>
  <si>
    <t>TRM0385</t>
  </si>
  <si>
    <t>PLASTIK KRESEK</t>
  </si>
  <si>
    <t>TRM2072</t>
  </si>
  <si>
    <t>PLASTIK SAMPLE CLIP 10X15</t>
  </si>
  <si>
    <t>TRM2071</t>
  </si>
  <si>
    <t>PLASTIK SAMPLE CLIP 12X20</t>
  </si>
  <si>
    <t>TRM1419</t>
  </si>
  <si>
    <t>PLASTIK WREP (ROLL)</t>
  </si>
  <si>
    <t>TRM0261</t>
  </si>
  <si>
    <t>PLC CPU UNIT, CPIE - N40 DTI D</t>
  </si>
  <si>
    <t>TRM0693</t>
  </si>
  <si>
    <t>PROMAG</t>
  </si>
  <si>
    <t>TRM1721</t>
  </si>
  <si>
    <t>SANDAL SELOP KARET SABLON LOGO</t>
  </si>
  <si>
    <t>TRM0663</t>
  </si>
  <si>
    <t>SENTER KEPALA</t>
  </si>
  <si>
    <t>TRM1431</t>
  </si>
  <si>
    <t>SEPATY SEFTY SNEAKERS SPORT UJUNG BESI ANTI PAKU</t>
  </si>
  <si>
    <t>TRM0658</t>
  </si>
  <si>
    <t>STARTER LAMPU 20 WATT</t>
  </si>
  <si>
    <t>TRM0657</t>
  </si>
  <si>
    <t>STARTER LAMPU TL 36 WATT</t>
  </si>
  <si>
    <t>TRM1774</t>
  </si>
  <si>
    <t>STECKER 3 PIN UNTUK ICP</t>
  </si>
  <si>
    <t>TRM0179</t>
  </si>
  <si>
    <t>SUSU MILKU COKLAT 200ML</t>
  </si>
  <si>
    <t>TRM2452</t>
  </si>
  <si>
    <t>SUSU ULTRA 125ML PLAIN</t>
  </si>
  <si>
    <t>TRM0269</t>
  </si>
  <si>
    <t>SUSU ULTRA 125ML RASA COKLAT</t>
  </si>
  <si>
    <t>TRM3882</t>
  </si>
  <si>
    <t>SUSU ULTRA 200ML RASA COKLAT</t>
  </si>
  <si>
    <t>TRM0354</t>
  </si>
  <si>
    <t>SUSU ULTRA 250ML RASA COKLAT</t>
  </si>
  <si>
    <t>TRM1778</t>
  </si>
  <si>
    <t>TANGGA OUTBOND (TANGGA MONYET)</t>
  </si>
  <si>
    <t>TRM0383</t>
  </si>
  <si>
    <t>TELUR</t>
  </si>
  <si>
    <t>TRM1076</t>
  </si>
  <si>
    <t>TEMPERATUR GAUGE</t>
  </si>
  <si>
    <t>TRM1067</t>
  </si>
  <si>
    <t>TEMPERATURE GAUGE - WIEBROCK 0 - 120 DEGREE CELCIUS INCLUDE KALIBRASI</t>
  </si>
  <si>
    <t>TRM2142</t>
  </si>
  <si>
    <t>TIMER H3CR AB 220 VAC + DUDUKAN NYA</t>
  </si>
  <si>
    <t>TRM0426</t>
  </si>
  <si>
    <t>TINTA RIBBON HITI CS-200E YMCKO ID 400 PRINT</t>
  </si>
  <si>
    <t>TRM0690</t>
  </si>
  <si>
    <t>TISSUE KOTAK PASEO</t>
  </si>
  <si>
    <t>TRM0694</t>
  </si>
  <si>
    <t>TOLAK ANGIN</t>
  </si>
  <si>
    <t>TRM2885</t>
  </si>
  <si>
    <t>VACUUM CLEANER ROUND BRUSH</t>
  </si>
  <si>
    <t>TRM3052</t>
  </si>
  <si>
    <t>VETANCID POWDER @5KG</t>
  </si>
  <si>
    <t>TRM3105</t>
  </si>
  <si>
    <t>VETANCID POWDER 1 PAIL @15 KG</t>
  </si>
  <si>
    <t>PAIL</t>
  </si>
  <si>
    <t>TRM1421</t>
  </si>
  <si>
    <t>WEBBING SLING KAP. 1 TON</t>
  </si>
  <si>
    <t>TRM3158</t>
  </si>
  <si>
    <t>WEIST BELT MERK EBOK SERIE 1052</t>
  </si>
  <si>
    <t>TRM0355</t>
  </si>
  <si>
    <t>SUSU BEAR BRAND</t>
  </si>
  <si>
    <t>TRM1752</t>
  </si>
  <si>
    <t>ACRILIC # 2L 000 MC</t>
  </si>
  <si>
    <t>EI</t>
  </si>
  <si>
    <t>TRM1329</t>
  </si>
  <si>
    <t>ACRYLIC # 3L 000 MC</t>
  </si>
  <si>
    <t>TRM4309</t>
  </si>
  <si>
    <t>ACRYLIC MC CLEAR T 3MM</t>
  </si>
  <si>
    <t>TRM1334</t>
  </si>
  <si>
    <t>ADJUSTER + KARET M10 X 100</t>
  </si>
  <si>
    <t>TRM3090</t>
  </si>
  <si>
    <t>AKRILIK (CLEAR) TEBEL 5MM MERK MC</t>
  </si>
  <si>
    <t>TRM3091</t>
  </si>
  <si>
    <t>AMBALAN RAK UK 1100 X 620 MM MATERIAL RAM KAWAT GALVANIS 3MM, LOBANG 5 X 5CM</t>
  </si>
  <si>
    <t>TRM2817</t>
  </si>
  <si>
    <t>APPLE IPAD PRO 11" 2022 M2 CHIP WIFI 256GB</t>
  </si>
  <si>
    <t>TRM1328</t>
  </si>
  <si>
    <t>AS DIA 16 X 1000 MM</t>
  </si>
  <si>
    <t>TRM4259</t>
  </si>
  <si>
    <t>BALL VALVE 1 1/2" SANKYO</t>
  </si>
  <si>
    <t>TRM4260</t>
  </si>
  <si>
    <t>BALL VALVE 2" SANKYO</t>
  </si>
  <si>
    <t>TRM2383</t>
  </si>
  <si>
    <t>BALL VALVE SOKET 1 1/2"</t>
  </si>
  <si>
    <t>TRM3279</t>
  </si>
  <si>
    <t>BALL VALVE SS 1" MERK SANKYO</t>
  </si>
  <si>
    <t>TRM2437</t>
  </si>
  <si>
    <t>BALL VALVE SS 1/2"</t>
  </si>
  <si>
    <t>TRM3380</t>
  </si>
  <si>
    <t>BALLPOINT STANDART RED COLOR</t>
  </si>
  <si>
    <t>TRM3385</t>
  </si>
  <si>
    <t>BATERE ALKALINE AA (PACK ISI 2)</t>
  </si>
  <si>
    <t>TRM3386</t>
  </si>
  <si>
    <t>BATERE ALKALINE AAA (PACK ISI 2)</t>
  </si>
  <si>
    <t>TRM2006</t>
  </si>
  <si>
    <t>BAUT HEXAGON M8X15</t>
  </si>
  <si>
    <t>TRM2442</t>
  </si>
  <si>
    <t>BOX PANEL 300X400X200</t>
  </si>
  <si>
    <t>TRM4117</t>
  </si>
  <si>
    <t>BOX PUSH BUTTON MERAH</t>
  </si>
  <si>
    <t>TRM3116</t>
  </si>
  <si>
    <t>BROCO STOP KONTAK 1 LUBANG</t>
  </si>
  <si>
    <t>TRM3667</t>
  </si>
  <si>
    <t>BROCO STOP KONTAK OUT BOW</t>
  </si>
  <si>
    <t>TRM2821</t>
  </si>
  <si>
    <t>CAT EPOXY LANTAI NIPPON PAINT</t>
  </si>
  <si>
    <t>TRM2770</t>
  </si>
  <si>
    <t>CAT JOTUN REFLETING TRAFFIC PAINT WHITE</t>
  </si>
  <si>
    <t>GLN</t>
  </si>
  <si>
    <t>TRM2771</t>
  </si>
  <si>
    <t>CAT JOTUN REFLETING TRAFFIC PAINT YELLOW</t>
  </si>
  <si>
    <t>TRM3921</t>
  </si>
  <si>
    <t>CATRID HP INK 955 XL 1 SET</t>
  </si>
  <si>
    <t>TRM2460</t>
  </si>
  <si>
    <t>CLAMP SELANG 2" SS</t>
  </si>
  <si>
    <t>TRM2484</t>
  </si>
  <si>
    <t>CLAMP SELANG 3/4"</t>
  </si>
  <si>
    <t>TRM2405</t>
  </si>
  <si>
    <t>CLAMP SELANG SS 1/2"</t>
  </si>
  <si>
    <t>TRM1579</t>
  </si>
  <si>
    <t>COTTON RAGS</t>
  </si>
  <si>
    <t>TRM2039</t>
  </si>
  <si>
    <t>COVER RAK UK 1010 X 410 X 1960 MM</t>
  </si>
  <si>
    <t>TRM1653</t>
  </si>
  <si>
    <t>CUSTER RODA PU MERAH 2" REM</t>
  </si>
  <si>
    <t>TRM2436</t>
  </si>
  <si>
    <t>DOUBLE NIPPLE 1/2" SS</t>
  </si>
  <si>
    <t>TRM3384</t>
  </si>
  <si>
    <t>DOUBLE TAPE 1/2"</t>
  </si>
  <si>
    <t>TRM2070</t>
  </si>
  <si>
    <t>DOUBLE TAPE DI 12 MM</t>
  </si>
  <si>
    <t>TRM3216</t>
  </si>
  <si>
    <t>DRIVER LAMPU PHILIPS</t>
  </si>
  <si>
    <t>TRM2456</t>
  </si>
  <si>
    <t>ELBOW PVC 1 1/4"</t>
  </si>
  <si>
    <t>TRM2645</t>
  </si>
  <si>
    <t>ELBOW PVC AW 2"</t>
  </si>
  <si>
    <t>TRM2459</t>
  </si>
  <si>
    <t>FLEXIBLE HOSE 1 1/4" PVC ABU2 (LENTUR)</t>
  </si>
  <si>
    <t>TRM2777</t>
  </si>
  <si>
    <t>FLOOR MARKING 3M - ORANGE 764</t>
  </si>
  <si>
    <t>TRM3674</t>
  </si>
  <si>
    <t>FLUSSO AFUR LANTAI SARINGAN SUDUT</t>
  </si>
  <si>
    <t>TRM3633</t>
  </si>
  <si>
    <t>FOLIO BOOK ISI 200 32X21CM PAPERLINE</t>
  </si>
  <si>
    <t>TRM2730</t>
  </si>
  <si>
    <t>GLASS WINDOWS DIA 146MM THICK 3MM</t>
  </si>
  <si>
    <t>TRM2729</t>
  </si>
  <si>
    <t>GLASS WINDOWS DIA 155MM THICK 3MM</t>
  </si>
  <si>
    <t>TRM3089</t>
  </si>
  <si>
    <t>HAND PALLET KRISBOW 2 TON RODA PU</t>
  </si>
  <si>
    <t>TRM3513</t>
  </si>
  <si>
    <t>HELM ASA KUNING INERBIASA</t>
  </si>
  <si>
    <t>TRM3376</t>
  </si>
  <si>
    <t>HP INK 955 XL BLACK</t>
  </si>
  <si>
    <t>TRM3378</t>
  </si>
  <si>
    <t>HP INK 955 XL BLUE</t>
  </si>
  <si>
    <t>TRM3379</t>
  </si>
  <si>
    <t>HP INK 955 XL RED</t>
  </si>
  <si>
    <t>TRM3377</t>
  </si>
  <si>
    <t>HP INK 955 XL YELLOW</t>
  </si>
  <si>
    <t>TRM2674</t>
  </si>
  <si>
    <t>HVS PAPER A4 70GR COLORE (PINK SIDU)</t>
  </si>
  <si>
    <t>RIM</t>
  </si>
  <si>
    <t>TRM1279</t>
  </si>
  <si>
    <t>HVS PAPER A4 70GR NON NAME</t>
  </si>
  <si>
    <t>TRM3248</t>
  </si>
  <si>
    <t>IMPRA BOARD 1000 X 1500 X 2 MM (MERAH)</t>
  </si>
  <si>
    <t>TRM3245</t>
  </si>
  <si>
    <t>IMPRA BOARD 2000 X 3000 X 3 MM (MERAH)</t>
  </si>
  <si>
    <t>TRM3246</t>
  </si>
  <si>
    <t>IMPRA BOARD 2000 X 3000 X 5 MM ( MERAH)</t>
  </si>
  <si>
    <t>TRM3247</t>
  </si>
  <si>
    <t>IMPRA BOARD 2000 X 3000 X 5 MM (PUTIH)</t>
  </si>
  <si>
    <t>TRM2385</t>
  </si>
  <si>
    <t>INSUFLEX 1 /14" QTY @ 1.2 MTR/BTG</t>
  </si>
  <si>
    <t>TRM2394</t>
  </si>
  <si>
    <t>INSUFLEX 1 5/8 X 3/8 SUPERLON</t>
  </si>
  <si>
    <t>TRM3281</t>
  </si>
  <si>
    <t>INSUFLEX 1" 1 BTG @ 1,8 MTR</t>
  </si>
  <si>
    <t>TRM2643</t>
  </si>
  <si>
    <t>INSUFLEX 2" / SUPERLON 2 3/8" ID X 3/8" TK 60MM</t>
  </si>
  <si>
    <t>TRM1801</t>
  </si>
  <si>
    <t>ISOLASI 2.5</t>
  </si>
  <si>
    <t>TRM2792</t>
  </si>
  <si>
    <t>JOTUN - INDUSTRY BLUE 5222 2,5 LTR</t>
  </si>
  <si>
    <t>TRM2801</t>
  </si>
  <si>
    <t>JOTUN - INDUSTRY BLUE 5222 JOTAPLAST</t>
  </si>
  <si>
    <t>TRM2791</t>
  </si>
  <si>
    <t>JOTUN - WILTSHIRE CREAM 1648 2,5 LTR</t>
  </si>
  <si>
    <t>TRM2800</t>
  </si>
  <si>
    <t>JOTUN - WILTSHIRE CREAM 1648 THOUGHSHIELD MAX</t>
  </si>
  <si>
    <t>TRM2408</t>
  </si>
  <si>
    <t>KABEL 1X6 SQMM</t>
  </si>
  <si>
    <t>TRM2401</t>
  </si>
  <si>
    <t>KABEL 4X16 SQMM</t>
  </si>
  <si>
    <t>TRM2393</t>
  </si>
  <si>
    <t>KABEL DUCT PVC 50X50</t>
  </si>
  <si>
    <t>TRM3540</t>
  </si>
  <si>
    <t>KABEL NYM 2X1,5 ETERNA</t>
  </si>
  <si>
    <t>TRM2789</t>
  </si>
  <si>
    <t>KABEL NYM 3X2,5SQM (ROLL 50METER)</t>
  </si>
  <si>
    <t>TRM2379</t>
  </si>
  <si>
    <t>KABEL NYY 4 X 10 SQMM SUPREME</t>
  </si>
  <si>
    <t>TRM2399</t>
  </si>
  <si>
    <t>KABEL NYY 4X2.5 SQM SUPRAME</t>
  </si>
  <si>
    <t>TRM2400</t>
  </si>
  <si>
    <t>KABEL NYY 4X4 SQM SUPRAME</t>
  </si>
  <si>
    <t>TRM2384</t>
  </si>
  <si>
    <t>KABEL NYY GROUND 1 X 4 SQMM</t>
  </si>
  <si>
    <t>TRM3666</t>
  </si>
  <si>
    <t>KABEL SERABUT 3X1,5SQMM @ 50 METER MERK ETERNA</t>
  </si>
  <si>
    <t>TRM3536</t>
  </si>
  <si>
    <t>KABEL SP NYY 4X1,5</t>
  </si>
  <si>
    <t>TRM3115</t>
  </si>
  <si>
    <t>KABEL SUPREME NYMHY 3X1.5 @50 MTR</t>
  </si>
  <si>
    <t>TRM3514</t>
  </si>
  <si>
    <t>KACAMATA KOTAK CLEAR</t>
  </si>
  <si>
    <t>TRM2005</t>
  </si>
  <si>
    <t>KARET</t>
  </si>
  <si>
    <t>TRM1581</t>
  </si>
  <si>
    <t>KARUNG PLASTIK POLOS 60X90</t>
  </si>
  <si>
    <t>TRM4034</t>
  </si>
  <si>
    <t>KAWAT BERDURI TYPE LURUS ANTISIPASI KEAMANAN AREA BELAKANG</t>
  </si>
  <si>
    <t>TRM3101</t>
  </si>
  <si>
    <t>KAWAT LAS 2MM</t>
  </si>
  <si>
    <t>TRM2760</t>
  </si>
  <si>
    <t>KEBUTUHAN CAT DAN TAPE MARKING</t>
  </si>
  <si>
    <t>TRM2994</t>
  </si>
  <si>
    <t>KEBUTUHAN FITTING/SAMBUNGAN PVC</t>
  </si>
  <si>
    <t>TRM2734</t>
  </si>
  <si>
    <t>KEBUTUHAN INSTAL POMPA CHILLER BESAR</t>
  </si>
  <si>
    <t>TRM2519</t>
  </si>
  <si>
    <t>KEBUTUHAN KONEKSI CHILLER NEW EWRS</t>
  </si>
  <si>
    <t>TRM3444</t>
  </si>
  <si>
    <t>KEBUTUHAN PART DRAIN OUT KOMPRESSOR</t>
  </si>
  <si>
    <t>TRM2431</t>
  </si>
  <si>
    <t>KEBUTUHAN SET UP UTILITY EWRS</t>
  </si>
  <si>
    <t>TRM2444</t>
  </si>
  <si>
    <t>KEBUTUHAN SET-UP  MESIN LASER FLASH UV BARU</t>
  </si>
  <si>
    <t>TRM3332</t>
  </si>
  <si>
    <t>KEBUTUHAN SETUP CHILLER HC6</t>
  </si>
  <si>
    <t>TRM3640</t>
  </si>
  <si>
    <t>KEBUTUHUHAN ATK SEPTEMBER 2025</t>
  </si>
  <si>
    <t>TRM1555</t>
  </si>
  <si>
    <t>KERTAS HVS 70Gr PINK</t>
  </si>
  <si>
    <t>TRM3278</t>
  </si>
  <si>
    <t>KLEM SELANG SS 1,25"</t>
  </si>
  <si>
    <t>TRM1333</t>
  </si>
  <si>
    <t>KOLAHAR MEJA PUTARAN 20 CM</t>
  </si>
  <si>
    <t>TRM1331</t>
  </si>
  <si>
    <t>KOLAHAR MEJA PUTARAN 30 CM</t>
  </si>
  <si>
    <t>TRM1332</t>
  </si>
  <si>
    <t>KOLAHAR MEJA PUTARAN 40 CM</t>
  </si>
  <si>
    <t>TRM1330</t>
  </si>
  <si>
    <t>KOLAHAR MEJA PUTARAN 50 CM</t>
  </si>
  <si>
    <t>TRM3324</t>
  </si>
  <si>
    <t>KRAN OTOMATIS MODEL ANGSA</t>
  </si>
  <si>
    <t>TRM3349</t>
  </si>
  <si>
    <t>KRAN OTOMATIS MODEL ANGSA, KRAN OTOMATIS WASTAFEL, BATERE TYPE AA</t>
  </si>
  <si>
    <t>TRM3325</t>
  </si>
  <si>
    <t>KRAN OTOMATIS WASTAFEL</t>
  </si>
  <si>
    <t>TRM3383</t>
  </si>
  <si>
    <t>KWITANSI KECIL</t>
  </si>
  <si>
    <t>TRM3277</t>
  </si>
  <si>
    <t>L PVC 1"</t>
  </si>
  <si>
    <t>TRM3425</t>
  </si>
  <si>
    <t>L PVC 3/4"</t>
  </si>
  <si>
    <t>TRM3300</t>
  </si>
  <si>
    <t>LAKBAN BENING 1" 24 MM</t>
  </si>
  <si>
    <t>TRM3375</t>
  </si>
  <si>
    <t>LAMINATING FILM A4</t>
  </si>
  <si>
    <t>TRM3217</t>
  </si>
  <si>
    <t>LAMPU LED PANEL COOL WHITE RC 091 40 W 30 X120</t>
  </si>
  <si>
    <t>TRM3639</t>
  </si>
  <si>
    <t>LAMPU PLAFON + INSTALISASI LISTRIK 3 PCS</t>
  </si>
  <si>
    <t>TRM3512</t>
  </si>
  <si>
    <t>LAMPU RC081V 30 X120 40W</t>
  </si>
  <si>
    <t>TRM3991</t>
  </si>
  <si>
    <t>LAMPU SPOT EMERGENCY (LED)</t>
  </si>
  <si>
    <t>TRM2260</t>
  </si>
  <si>
    <t>LEM ACRYLIC</t>
  </si>
  <si>
    <t>TRM3283</t>
  </si>
  <si>
    <t>LEM PVC</t>
  </si>
  <si>
    <t>CAN</t>
  </si>
  <si>
    <t>TRM3428</t>
  </si>
  <si>
    <t>MALE CONNECTOR 1/2 X PL8</t>
  </si>
  <si>
    <t>TRM3726</t>
  </si>
  <si>
    <t>MALE CONNECTOR 3/8" PL 6</t>
  </si>
  <si>
    <t>TRM3136</t>
  </si>
  <si>
    <t>MASKER HARMIT NP 306</t>
  </si>
  <si>
    <t>TRM3100</t>
  </si>
  <si>
    <t>MATA GERINDA KASAR 4 INCH</t>
  </si>
  <si>
    <t>TRM3099</t>
  </si>
  <si>
    <t>MATA GERINDA POTONG 4 INCH</t>
  </si>
  <si>
    <t>BOX</t>
  </si>
  <si>
    <t>TRM1651</t>
  </si>
  <si>
    <t>MEJA KERJA KEDATANGAN FRAME UK 150 (P) X 60 (L) X TINGGI 77 CM</t>
  </si>
  <si>
    <t>TRM3442</t>
  </si>
  <si>
    <t>MEJA KERJA UKURAN ( 2000X800X750 : 1, 1750X800X750 : 1, 1200X800X750 : 1 )</t>
  </si>
  <si>
    <t>TRM3280</t>
  </si>
  <si>
    <t>NEPEL SELANG SS 1 "</t>
  </si>
  <si>
    <t>TRM2483</t>
  </si>
  <si>
    <t>NEPPLE SELANG 3/4" X 1/2"</t>
  </si>
  <si>
    <t>TRM2406</t>
  </si>
  <si>
    <t>NIPLLE SELANG 1/2"SS</t>
  </si>
  <si>
    <t>TRM2773</t>
  </si>
  <si>
    <t>NIPPON PAINT ROADLINE GREEN @ 1 KG</t>
  </si>
  <si>
    <t>TRM2790</t>
  </si>
  <si>
    <t>NIPPONT PAINT - VINILEX (WHITE) 2.5 LTR</t>
  </si>
  <si>
    <t>TRM3537</t>
  </si>
  <si>
    <t>NITTO ISOLASI</t>
  </si>
  <si>
    <t>TRM3272</t>
  </si>
  <si>
    <t>NO DROP / AQUAPROOF ANTI BOCOR WARNA PUTIH @4 KG</t>
  </si>
  <si>
    <t>TRM2799</t>
  </si>
  <si>
    <t>NP VINILEX 300 SS</t>
  </si>
  <si>
    <t>TRM2631</t>
  </si>
  <si>
    <t>PALLET PLASTIK BEKAS UKURAN 110X100X15</t>
  </si>
  <si>
    <t>TRM3181</t>
  </si>
  <si>
    <t>PAPAN AKRILIK UNTUK COVER LAYOUT AREA WHAREHOUSE</t>
  </si>
  <si>
    <t>TRM2056</t>
  </si>
  <si>
    <t>PAPAN FSV 250 X 250 MM ACRILIC T3MM ACRILIC T2MM LEM ACRYLIC CUTTINGG LASER JASA</t>
  </si>
  <si>
    <t>TRM2259</t>
  </si>
  <si>
    <t>PAPAN INDIKASI RAK</t>
  </si>
  <si>
    <t>TRM2055</t>
  </si>
  <si>
    <t>PAPAN SF 750 X 600 MM PAPAN MELAMIN 5MM ACRYLIC CLEAR 2MM JASA</t>
  </si>
  <si>
    <t>TRM1280</t>
  </si>
  <si>
    <t>PAPER A5</t>
  </si>
  <si>
    <t>TRM3441</t>
  </si>
  <si>
    <t>PARTISI WHAREHOUSE FSV WAVE 250607</t>
  </si>
  <si>
    <t>TRM2395</t>
  </si>
  <si>
    <t>PIPA COUNDUIT 25MM</t>
  </si>
  <si>
    <t>TRM2390</t>
  </si>
  <si>
    <t>PIPA DN25 PPR</t>
  </si>
  <si>
    <t>TRM3275</t>
  </si>
  <si>
    <t>PIPA PVC 1" ABU ABU @1 BATANG 4 METER</t>
  </si>
  <si>
    <t>TRM2481</t>
  </si>
  <si>
    <t>PIPA PVC 3/4"</t>
  </si>
  <si>
    <t>TRM2382</t>
  </si>
  <si>
    <t>PIPA PVC AW 1 1/2" RUCIKA ABU</t>
  </si>
  <si>
    <t>TRM3543</t>
  </si>
  <si>
    <t>PIPA20</t>
  </si>
  <si>
    <t>TRM3284</t>
  </si>
  <si>
    <t>PIPE SUPERLON 1/2 X 3/8" @1 BTG 1,8 MTR</t>
  </si>
  <si>
    <t>TRM3395</t>
  </si>
  <si>
    <t>PLASTIK KLIP 16X20 CM</t>
  </si>
  <si>
    <t>TRM1580</t>
  </si>
  <si>
    <t>PLASTIK SAMPAH 90x120</t>
  </si>
  <si>
    <t>TRM2753</t>
  </si>
  <si>
    <t>PLASTIK WRAP DAIMARU</t>
  </si>
  <si>
    <t>TRM3493</t>
  </si>
  <si>
    <t>PLAT BORDES BESI TEBAL 5MM 1.2 X 2.4 METER</t>
  </si>
  <si>
    <t>TRM2998</t>
  </si>
  <si>
    <t>PPR DN25</t>
  </si>
  <si>
    <t>TRM2999</t>
  </si>
  <si>
    <t>PPR DN32</t>
  </si>
  <si>
    <t>TRM3964</t>
  </si>
  <si>
    <t>QUARTO BOOK ISI 100</t>
  </si>
  <si>
    <t>TRM3965</t>
  </si>
  <si>
    <t>QUARTO BOOK ISI 200</t>
  </si>
  <si>
    <t>TRM1650</t>
  </si>
  <si>
    <t>RAK BIN IN FRAME BERJALAN</t>
  </si>
  <si>
    <t>TRM1823</t>
  </si>
  <si>
    <t>RAK LACI DABAI</t>
  </si>
  <si>
    <t>TRM1862</t>
  </si>
  <si>
    <t>RAK LIGHT DUTY RR-250, UK PXLXT=200X60X250CM, 4 SUSUN, KAPASITAS PERSHELVING 250KG</t>
  </si>
  <si>
    <t>TRM2480</t>
  </si>
  <si>
    <t>REDUCER PVC 1 1/4" X 3/4"</t>
  </si>
  <si>
    <t>TRM3381</t>
  </si>
  <si>
    <t>REFIL-INK PERMANENT MARKING SNOWMAN BLACK COLOUR</t>
  </si>
  <si>
    <t>LSN</t>
  </si>
  <si>
    <t>TRM2412</t>
  </si>
  <si>
    <t>REL DIN ALUMINIUM 2 FUNGSI</t>
  </si>
  <si>
    <t>TRM3739</t>
  </si>
  <si>
    <t>RELAY FINDER 40.52 8A 250V</t>
  </si>
  <si>
    <t>TRM3458</t>
  </si>
  <si>
    <t>RESTORASI GUDANG  FSV - PLAFON GYPSUM, PEMINDAHAN LAMPU, PEMASANGAN LAMPU, PEMINDAHAN DUCTING AC WAVE 250607</t>
  </si>
  <si>
    <t>TRM3901</t>
  </si>
  <si>
    <t>REVISI PRINTING BOX UK 450 X 285 X 70 MM</t>
  </si>
  <si>
    <t>TRM3738</t>
  </si>
  <si>
    <t>RILAY FINDER 40.31 12A 250V</t>
  </si>
  <si>
    <t>TRM1203</t>
  </si>
  <si>
    <t>RODA PU JARI-JARI 4" RIM</t>
  </si>
  <si>
    <t>TRM3073</t>
  </si>
  <si>
    <t>ROLLER GULUNGAN LABEL BULK ORDER OWL</t>
  </si>
  <si>
    <t>TRM3515</t>
  </si>
  <si>
    <t>ROMPI JARING V ORANGE</t>
  </si>
  <si>
    <t>TRM3007</t>
  </si>
  <si>
    <t>SAFTY LOCKOUT HASP</t>
  </si>
  <si>
    <t>TRM1582</t>
  </si>
  <si>
    <t>SARUNG TANGAN KAIN KASAR</t>
  </si>
  <si>
    <t>TRM3382</t>
  </si>
  <si>
    <t>SCISSORS 5" KENKO 848</t>
  </si>
  <si>
    <t>TRM2410</t>
  </si>
  <si>
    <t>SCOON SC16</t>
  </si>
  <si>
    <t>TRM2411</t>
  </si>
  <si>
    <t>SCOON SC6</t>
  </si>
  <si>
    <t>TRM3270</t>
  </si>
  <si>
    <t>SCRAPPER/KAFE</t>
  </si>
  <si>
    <t>TRM2064</t>
  </si>
  <si>
    <t>SCREW PANJANG 10MM, DIA ULIR 3MM</t>
  </si>
  <si>
    <t>TRM2478</t>
  </si>
  <si>
    <t>SDD PPR 3/4 DN X 3/4"</t>
  </si>
  <si>
    <t>TRM3276</t>
  </si>
  <si>
    <t>SDD PVC 1"</t>
  </si>
  <si>
    <t>TRM2482</t>
  </si>
  <si>
    <t>SDD PVC AW 3/4"</t>
  </si>
  <si>
    <t>TRM2978</t>
  </si>
  <si>
    <t>SDL PVC 1"</t>
  </si>
  <si>
    <t>TRM2642</t>
  </si>
  <si>
    <t>SDL PVC 3" X 2" (drat 3" ke pipa 2")</t>
  </si>
  <si>
    <t>TRM3420</t>
  </si>
  <si>
    <t>SDL PVC AW 1 1/2"</t>
  </si>
  <si>
    <t>TRM2479</t>
  </si>
  <si>
    <t>SDL PVC AW 3/4"</t>
  </si>
  <si>
    <t>TRM2647</t>
  </si>
  <si>
    <t>SEAL TAPE ONDA</t>
  </si>
  <si>
    <t>TRM3044</t>
  </si>
  <si>
    <t>SELANG KAWAT TOYOSPRING 1 1/2"</t>
  </si>
  <si>
    <t>TRM3727</t>
  </si>
  <si>
    <t>SELANG POLYURETHANE PL6</t>
  </si>
  <si>
    <t>TRM3728</t>
  </si>
  <si>
    <t>SELANG POLYURETHANE PL8</t>
  </si>
  <si>
    <t>TRM2404</t>
  </si>
  <si>
    <t>SELANG SERABUT 1/2"</t>
  </si>
  <si>
    <t>TRM3374</t>
  </si>
  <si>
    <t>SELENOID VALVE 1 1/4-INCH KUNINGAN 220VAC</t>
  </si>
  <si>
    <t>TRM3427</t>
  </si>
  <si>
    <t>SELENOID VALVE BRASS 1/2" AC220V TECHNO</t>
  </si>
  <si>
    <t>TRM3271</t>
  </si>
  <si>
    <t>SERAT FIBER (NO DROP/AQUAPROOF)</t>
  </si>
  <si>
    <t>TRM3372</t>
  </si>
  <si>
    <t>SET HP INK CATRIDE 955XL</t>
  </si>
  <si>
    <t>TRM3944</t>
  </si>
  <si>
    <t>SET LAMPU PHILIPS 18 WATT,120 CM- STAND LAMPU TINGGI 2 METER,MATERIAL BESI HOLLOW 4X4</t>
  </si>
  <si>
    <t>TRM2004</t>
  </si>
  <si>
    <t>SIKU (CM4112)</t>
  </si>
  <si>
    <t>TRM3109</t>
  </si>
  <si>
    <t>SIKU 25 X 25 X 6M</t>
  </si>
  <si>
    <t>TRM3108</t>
  </si>
  <si>
    <t>SIKU 30 X 30 X 6M</t>
  </si>
  <si>
    <t>TRM2389</t>
  </si>
  <si>
    <t>SOCK 3/9 PPR</t>
  </si>
  <si>
    <t>TRM2981</t>
  </si>
  <si>
    <t>SOCK PVC 1"</t>
  </si>
  <si>
    <t>TRM2430</t>
  </si>
  <si>
    <t>SPAREPART DAN KOMPONEN UNTUK RELOKASI TINTING</t>
  </si>
  <si>
    <t>TRM3011</t>
  </si>
  <si>
    <t>STAND IDENTITAS UK 300 X 210 MATERIAL ACRYLIC CLEAR T 2MM</t>
  </si>
  <si>
    <t>TRM3634</t>
  </si>
  <si>
    <t>STICKER POST IT 7.5 X 7.5 CM (MIX COLOR)</t>
  </si>
  <si>
    <t>TRM2407</t>
  </si>
  <si>
    <t>STOP KONTAK BROCO 1 LUBANG DENGAN PENUTUP</t>
  </si>
  <si>
    <t>TRM3110</t>
  </si>
  <si>
    <t>STRIP 5 X 30 X 2M</t>
  </si>
  <si>
    <t>TRM3542</t>
  </si>
  <si>
    <t>T DUS 20</t>
  </si>
  <si>
    <t>TRM3419</t>
  </si>
  <si>
    <t>TEE PPR DN40</t>
  </si>
  <si>
    <t>TRM3430</t>
  </si>
  <si>
    <t>TEMPERATUR/HUMIDITY CONTROLLER AUTONICS TH4M-24R</t>
  </si>
  <si>
    <t>TRM1799</t>
  </si>
  <si>
    <t>THERMAL PAPER ROLL 80X140</t>
  </si>
  <si>
    <t>TRM3432</t>
  </si>
  <si>
    <t>THERMO CONTROL AUTHONICS</t>
  </si>
  <si>
    <t>TRM3992</t>
  </si>
  <si>
    <t>TIMBANGAN DIGITAL</t>
  </si>
  <si>
    <t>TRM3721</t>
  </si>
  <si>
    <t>TOSHIBA INVERTER TYPE VFS 15-2022 PM-W1 POWER 2,2 KW 3 HP VOLTASE 3 PHASE 220 VOLT</t>
  </si>
  <si>
    <t>TRM1861</t>
  </si>
  <si>
    <t>TROLLEY UK 460X460X1000MM PLAT BESI 1MM RODA 2 INCH</t>
  </si>
  <si>
    <t>TRM2982</t>
  </si>
  <si>
    <t>TRUE UNION 1"</t>
  </si>
  <si>
    <t>TRM3415</t>
  </si>
  <si>
    <t>TRUE UNION MODEL SANKING/SETARA 1 1/2"</t>
  </si>
  <si>
    <t>TRM3424</t>
  </si>
  <si>
    <t>TRUE UNION UPVC SANKONG 2" FITTING POLO MERK WF (PENGGANTI MERK SANKING)</t>
  </si>
  <si>
    <t>TRM2398</t>
  </si>
  <si>
    <t>TRUNKING KABEL GALVANISH LEBAR 100MMX100MM (INCLUDE TUTUP)</t>
  </si>
  <si>
    <t>TRM2441</t>
  </si>
  <si>
    <t>VISHER GYPSUM</t>
  </si>
  <si>
    <t>TRM2979</t>
  </si>
  <si>
    <t>VLOK RING 1" X 1,5 "</t>
  </si>
  <si>
    <t>TRM3725</t>
  </si>
  <si>
    <t>V-SOCK RING SS 3/4" X 1/2"</t>
  </si>
  <si>
    <t>TRM3724</t>
  </si>
  <si>
    <t>V-SOCK RING SS 3/4" X 3/8"</t>
  </si>
  <si>
    <t>TRM3282</t>
  </si>
  <si>
    <t>VYNYL AC NON TAPE</t>
  </si>
  <si>
    <t>TRM2980</t>
  </si>
  <si>
    <t>WATERMUR PVC 1"</t>
  </si>
  <si>
    <t>TRM2458</t>
  </si>
  <si>
    <t>Y REDUCER PVC 1 1/2" X 1 1/4"</t>
  </si>
  <si>
    <t>TRM3274</t>
  </si>
  <si>
    <t>YAMAMAX PRO MT 36</t>
  </si>
  <si>
    <t>TRM1731</t>
  </si>
  <si>
    <t>CONTAINER PLASTIK RAPAT 4068 (P:470 XL: 370X T:205 MM) WARNA BIRU BOX + TUTUP</t>
  </si>
  <si>
    <t>EVP</t>
  </si>
  <si>
    <t>TRM1798</t>
  </si>
  <si>
    <t>ROCKET BUBBLE PANJANG 300MTR x TINGGI 40CM</t>
  </si>
  <si>
    <t>TRM1780</t>
  </si>
  <si>
    <t>SARINGAN LUBANG 2MM, UKURAN 200X200X120MM</t>
  </si>
  <si>
    <t>TRM1779</t>
  </si>
  <si>
    <t>SARINGAN LUBANG 5MM, UKURAN 200X200X120MM</t>
  </si>
  <si>
    <t>TRM4119</t>
  </si>
  <si>
    <t>ROUTER WIFI EG8141A5</t>
  </si>
  <si>
    <t>FJA</t>
  </si>
  <si>
    <t>TRM4118</t>
  </si>
  <si>
    <t>ROUTER WIFI F609</t>
  </si>
  <si>
    <t>TRM0213</t>
  </si>
  <si>
    <t>MICROFIBER 6*6 INCH 180GSM</t>
  </si>
  <si>
    <t>BAG</t>
  </si>
  <si>
    <t>TRM1609</t>
  </si>
  <si>
    <t>PLASTIK MIKA UK. 34CM X 4 CM (CLAP)</t>
  </si>
  <si>
    <t>FK</t>
  </si>
  <si>
    <t>TRM0549</t>
  </si>
  <si>
    <t>BATU BABY GERINDA SHANK 6 25X25X6</t>
  </si>
  <si>
    <t>HKB</t>
  </si>
  <si>
    <t>TRM0497</t>
  </si>
  <si>
    <t>BAUT L M10 X 50 BAJA</t>
  </si>
  <si>
    <t>TRM0902</t>
  </si>
  <si>
    <t>BAUT L M12 X 10 BAJA</t>
  </si>
  <si>
    <t>TRM0330</t>
  </si>
  <si>
    <t>BAUT L M12 X 30 BAJA</t>
  </si>
  <si>
    <t>TRM0495</t>
  </si>
  <si>
    <t>BAUT L M12 X 40 BAJA</t>
  </si>
  <si>
    <t>TRM0496</t>
  </si>
  <si>
    <t>BAUT L M12 X 60 BAJA</t>
  </si>
  <si>
    <t>TRM0550</t>
  </si>
  <si>
    <t>BAUT L M14X60</t>
  </si>
  <si>
    <t>TRM0328</t>
  </si>
  <si>
    <t>BAUT L M5 X 50 BAJA</t>
  </si>
  <si>
    <t>TRM0329</t>
  </si>
  <si>
    <t>BAUT L M6 X 50 BAJA</t>
  </si>
  <si>
    <t>TRM1193</t>
  </si>
  <si>
    <t>BEARING 620422CM/5K.NTN</t>
  </si>
  <si>
    <t>TRM0332</t>
  </si>
  <si>
    <t>BODY COVER WATERPROOF</t>
  </si>
  <si>
    <t>TRM1507</t>
  </si>
  <si>
    <t>BOLT + NUT M 12 X 8 MM</t>
  </si>
  <si>
    <t>TRM1500</t>
  </si>
  <si>
    <t>BOLT + NUT M 4 X 10 MM</t>
  </si>
  <si>
    <t>TRM1501</t>
  </si>
  <si>
    <t>BOLT + NUT M 4 X 20 MM</t>
  </si>
  <si>
    <t>TRM1502</t>
  </si>
  <si>
    <t>BOLT + NUT M 5 X 10 MM</t>
  </si>
  <si>
    <t>TRM1503</t>
  </si>
  <si>
    <t>BOLT + NUT M 5 X 20 MM</t>
  </si>
  <si>
    <t>TRM1504</t>
  </si>
  <si>
    <t>BOLT + NUT M 6 X 20 MM</t>
  </si>
  <si>
    <t>TRM1505</t>
  </si>
  <si>
    <t>BOLT + NUT M 6 X 30 MM</t>
  </si>
  <si>
    <t>TRM1506</t>
  </si>
  <si>
    <t>BOLT + NUT M 6 X 40 MM</t>
  </si>
  <si>
    <t>TRM0551</t>
  </si>
  <si>
    <t>BOLT L + NUT 4X30</t>
  </si>
  <si>
    <t>TRM0554</t>
  </si>
  <si>
    <t>BOLT L + NUT 5X30</t>
  </si>
  <si>
    <t>TRM0552</t>
  </si>
  <si>
    <t>BOLT L + NUT 6X40</t>
  </si>
  <si>
    <t>TRM0553</t>
  </si>
  <si>
    <t>BOLT L + NUT 8X30</t>
  </si>
  <si>
    <t>TRM0555</t>
  </si>
  <si>
    <t>BOLT L + NUT 8X40</t>
  </si>
  <si>
    <t>TRM1170</t>
  </si>
  <si>
    <t>BOLT L M10 X 45 BAJA</t>
  </si>
  <si>
    <t>TRM1171</t>
  </si>
  <si>
    <t>BOLT L M12 X 50 BAJA</t>
  </si>
  <si>
    <t>TRM0209</t>
  </si>
  <si>
    <t>COUPLER NITTO 30 SH</t>
  </si>
  <si>
    <t>TRM0937</t>
  </si>
  <si>
    <t>DRILL HOLE SAW (16)</t>
  </si>
  <si>
    <t>TRM0556</t>
  </si>
  <si>
    <t>DRILL NACHI DIA 5MM</t>
  </si>
  <si>
    <t>TRM0557</t>
  </si>
  <si>
    <t>DRILL NACHI DIA 7MM</t>
  </si>
  <si>
    <t>TRM1495</t>
  </si>
  <si>
    <t>FANBEL 970-8M PICT 25MM</t>
  </si>
  <si>
    <t>TRM0331</t>
  </si>
  <si>
    <t>FLASHLIGHT SWAT</t>
  </si>
  <si>
    <t>TRM1497</t>
  </si>
  <si>
    <t>HK-BP 1203 KUNCI L TEKIRO PANJANG ISI 8 PCS</t>
  </si>
  <si>
    <t>TRM1496</t>
  </si>
  <si>
    <t>HK-BP 1204 KUNCI LO TEKIRO ISI 8 PCS</t>
  </si>
  <si>
    <t>TRM0499</t>
  </si>
  <si>
    <t>HOLESAW KUGEL DIA 16 SUS</t>
  </si>
  <si>
    <t>TRM1304</t>
  </si>
  <si>
    <t>HOLLOW 40X40 T 1.2 MM</t>
  </si>
  <si>
    <t>TRM1303</t>
  </si>
  <si>
    <t>HOLLOW 50X50 T 1.2 MM</t>
  </si>
  <si>
    <t>TRM0491</t>
  </si>
  <si>
    <t>ISOLASI LISTRIK HITAM - NITTO</t>
  </si>
  <si>
    <t>TRM0493</t>
  </si>
  <si>
    <t>ISOLASI LISTRIK KUNING - NITTO</t>
  </si>
  <si>
    <t>TRM0492</t>
  </si>
  <si>
    <t>ISOLASI LISTRIK MERAH - NITTO</t>
  </si>
  <si>
    <t>TRM0548</t>
  </si>
  <si>
    <t>KACAMATA WELDING HITAM</t>
  </si>
  <si>
    <t>TRM0174</t>
  </si>
  <si>
    <t>KERTAS CONTINOUS PAPER PRINT 9-1/2"X11/2"-6 PLY</t>
  </si>
  <si>
    <t>TRM3923</t>
  </si>
  <si>
    <t>KERTAS CONTINUOS + CETAK PAPER PRINS 9-1/2"X11"/2 - 6 PLY (MASTER MMKI)</t>
  </si>
  <si>
    <t>TRM3920</t>
  </si>
  <si>
    <t>KERTAS CONTINUOUS + CETAK PAPER PRINS 9-1/2"X11"/2 - 6 PLY</t>
  </si>
  <si>
    <t>TRM0498</t>
  </si>
  <si>
    <t>KIPAS ANGIN REGENCY 14" - DLX-14</t>
  </si>
  <si>
    <t>TRM0624</t>
  </si>
  <si>
    <t>KUNCI T TEKIRO SEGI ENAM T10</t>
  </si>
  <si>
    <t>TRM0625</t>
  </si>
  <si>
    <t>KUNCI T TEKIRO SEGI ENAM T14</t>
  </si>
  <si>
    <t>TRM0678</t>
  </si>
  <si>
    <t>MAKITA HP1630</t>
  </si>
  <si>
    <t>TRM0500</t>
  </si>
  <si>
    <t>MATABOR NACHI DIA 6.8</t>
  </si>
  <si>
    <t>TRM0631</t>
  </si>
  <si>
    <t>NOGA CHAMFERING &amp; DEBURING</t>
  </si>
  <si>
    <t>TRM1499</t>
  </si>
  <si>
    <t>OBENG - PH 2X200</t>
  </si>
  <si>
    <t>TRM1498</t>
  </si>
  <si>
    <t>OBENG + PH X2X00</t>
  </si>
  <si>
    <t>TRM1534</t>
  </si>
  <si>
    <t>OP 40 LH/RH LOWER BAUT  M16X150</t>
  </si>
  <si>
    <t>TRM1535</t>
  </si>
  <si>
    <t>OP 40 LH/RH UPER BAUT M12X60</t>
  </si>
  <si>
    <t>TRM1381</t>
  </si>
  <si>
    <t>PLAT 80X25 1MM</t>
  </si>
  <si>
    <t>TRM1337</t>
  </si>
  <si>
    <t>PLAT BESI T 1MM 80CMX25CM</t>
  </si>
  <si>
    <t>TRM3720</t>
  </si>
  <si>
    <t>SANDING PAD 5 " 5/16 THREAD</t>
  </si>
  <si>
    <t>TRM0630</t>
  </si>
  <si>
    <t>STEELBAND 3/4" - 90MTR</t>
  </si>
  <si>
    <t>TRM0629</t>
  </si>
  <si>
    <t>TANG JEPIT TEKIRO 10"</t>
  </si>
  <si>
    <t>TRM0628</t>
  </si>
  <si>
    <t>TANG LANCIP TEKIRO 6"</t>
  </si>
  <si>
    <t>TRM0627</t>
  </si>
  <si>
    <t>TANG POTONG TEKIRO 6"</t>
  </si>
  <si>
    <t>TRM0626</t>
  </si>
  <si>
    <t>TANG UNIVERSAL TEKIRO 8"</t>
  </si>
  <si>
    <t>TRM0494</t>
  </si>
  <si>
    <t>TIMAH SOLDER DIA 0.8MM MERK PANCING</t>
  </si>
  <si>
    <t>TRM0327</t>
  </si>
  <si>
    <t>TUNER SHANK 6X10</t>
  </si>
  <si>
    <t>TRM0138</t>
  </si>
  <si>
    <t>CLAMP STEEL BAND 50MMX50MM</t>
  </si>
  <si>
    <t>TRM1080</t>
  </si>
  <si>
    <t>KERTAS CONTINOUS PAPER PRINT 9-1/2"X11/2 PLY</t>
  </si>
  <si>
    <t>TRM1784</t>
  </si>
  <si>
    <t>KERTAS CONTINOUS PAPER PRINT 9-1/2"X11/3 PLY</t>
  </si>
  <si>
    <t>TRM0532</t>
  </si>
  <si>
    <t>KERTAS VCI (30 x 33CM)</t>
  </si>
  <si>
    <t>TRM1216</t>
  </si>
  <si>
    <t>NABAKEM</t>
  </si>
  <si>
    <t>TRM0214</t>
  </si>
  <si>
    <t>OIL SINGER 1 LITER</t>
  </si>
  <si>
    <t>BOTOL</t>
  </si>
  <si>
    <t>TRM0216</t>
  </si>
  <si>
    <t>PAD SANDER GOODHAND 5" - VELCRO</t>
  </si>
  <si>
    <t>TRM0382</t>
  </si>
  <si>
    <t>PLASTIK WAYANG 15X20</t>
  </si>
  <si>
    <t>TRM3651</t>
  </si>
  <si>
    <t>FLANGE BOLTS WITHOUT SERRATED, GRADE  8.8, TRIVALENT GALVANIZE BLUE ZINC, HEADMARKING "7"</t>
  </si>
  <si>
    <t xml:space="preserve">KAWASAKI </t>
  </si>
  <si>
    <t>TRM0623</t>
  </si>
  <si>
    <t>KERTAS HVS A4 75 GSM PAPER ONE</t>
  </si>
  <si>
    <t>TRM4135</t>
  </si>
  <si>
    <t>PLASTIK PE UK 18X25 T 0,8</t>
  </si>
  <si>
    <t>TRM0787</t>
  </si>
  <si>
    <t>REINFORCE CORNER M-02</t>
  </si>
  <si>
    <t>TRM0642</t>
  </si>
  <si>
    <t>REINFORCE CORNER M-03</t>
  </si>
  <si>
    <t>TRM0788</t>
  </si>
  <si>
    <t>REINFORCE MIDDLE M-02</t>
  </si>
  <si>
    <t>TRM0645</t>
  </si>
  <si>
    <t>REINFORCE MIDDLE M-03</t>
  </si>
  <si>
    <t>TRM0643</t>
  </si>
  <si>
    <t>REINFORCE TOP</t>
  </si>
  <si>
    <t>TRM0644</t>
  </si>
  <si>
    <t>SKID M-04</t>
  </si>
  <si>
    <t>TRM0650</t>
  </si>
  <si>
    <t>TRIPLEK IB TP 15X4X8 ALB</t>
  </si>
  <si>
    <t>TRM0764</t>
  </si>
  <si>
    <t>TRIPLEK IB TP 15X4X8 MC</t>
  </si>
  <si>
    <t>TRM0649</t>
  </si>
  <si>
    <t>TRIPLEK IB TP 3X4X8 ALB</t>
  </si>
  <si>
    <t>TRM0392</t>
  </si>
  <si>
    <t>SELANG 1/2 INCH (K1410-0045)</t>
  </si>
  <si>
    <t>TRM0487</t>
  </si>
  <si>
    <t>BOLT FLANGE 8X20 MC3 G7 (K1410-0025)</t>
  </si>
  <si>
    <t>TRM1318</t>
  </si>
  <si>
    <t>MICROPHONE SONY SN 87</t>
  </si>
  <si>
    <t>KI</t>
  </si>
  <si>
    <t>TRM2996</t>
  </si>
  <si>
    <t>90º REDUCING ELBOW 50AX40A(2"X1 1/2") (FcMB/Galvanized) (CH111)</t>
  </si>
  <si>
    <t>KWT</t>
  </si>
  <si>
    <t>TRM0002</t>
  </si>
  <si>
    <t>ACETONE (20LTR/TIN) (NB156)</t>
  </si>
  <si>
    <t>TIN</t>
  </si>
  <si>
    <t>TRM1960</t>
  </si>
  <si>
    <t>ADHESIVE SUPERLON 1 LTR (ISP-010)</t>
  </si>
  <si>
    <t>TRM3731</t>
  </si>
  <si>
    <t>ADJUSTER FOOT SS400 M16 (DIA 115X16TXM16X180L) (NB980)</t>
  </si>
  <si>
    <t>TRM0001</t>
  </si>
  <si>
    <t>ALCOHOL 100% (NB155)</t>
  </si>
  <si>
    <t>TRM0565</t>
  </si>
  <si>
    <t>ALUMUNIUM FOIL LEM BUNGKUS ROCK WOOL</t>
  </si>
  <si>
    <t>TRM2002</t>
  </si>
  <si>
    <t>AMPLAS ROLL C100 (10CMX50MTR)</t>
  </si>
  <si>
    <t>TRM0622</t>
  </si>
  <si>
    <t>BATERE LR44</t>
  </si>
  <si>
    <t>TRM3918</t>
  </si>
  <si>
    <t>BAUT (BAUT JP) M6XP1.0XL20MM (SUS304) (NB645)</t>
  </si>
  <si>
    <t>TRM1190</t>
  </si>
  <si>
    <t>BAUT ANGKUR M10XL50 MM (GALVANIZED) (NB1160)</t>
  </si>
  <si>
    <t>TRM2880</t>
  </si>
  <si>
    <t>BAUT ANGKUR M8XL50MM (GALVANIZED) (NB1159)</t>
  </si>
  <si>
    <t>TRM0090</t>
  </si>
  <si>
    <t>BAUT HEXAGONAL M10X60 SUS</t>
  </si>
  <si>
    <t>TRM0004</t>
  </si>
  <si>
    <t>BEAMWOOD (KAYU BALOK) L=150 W=8 T=5 (NB017)</t>
  </si>
  <si>
    <t>TRM0005</t>
  </si>
  <si>
    <t>BEAMWOOD (KAYU BALOK) L=200 x W=8 x T=5 (NB1343)</t>
  </si>
  <si>
    <t>TRM0006</t>
  </si>
  <si>
    <t>BEAMWOOD (KAYU BALOK) L=400 x W=8 x T=5 (NB1343-1)</t>
  </si>
  <si>
    <t>TRM2448</t>
  </si>
  <si>
    <t>BOLT ( BAUT HEXAGONAL) M16XP2.0XLL60MM (SUS304)(HC025)</t>
  </si>
  <si>
    <t>TRM0089</t>
  </si>
  <si>
    <t>BOLT (BAUT HEXAGONAL) M10XP1,5X100MM( SUS304) (NB338-1)</t>
  </si>
  <si>
    <t>TRM0411</t>
  </si>
  <si>
    <t>BOLT (BAUT HEXAGONAL) M12XP1.75X45MM (SUS304) (NB620)</t>
  </si>
  <si>
    <t>TRM2143</t>
  </si>
  <si>
    <t>BOLT (BAUT HEXAGONAL) M14XP2.0XL100MM (GALVANIZED) (HB545)</t>
  </si>
  <si>
    <t>TRM2355</t>
  </si>
  <si>
    <t>BOLT (BAUT HEXAGONAL) M14XP2.0XL140MM (GALVANOZED)</t>
  </si>
  <si>
    <t>TRM2354</t>
  </si>
  <si>
    <t>BOLT (BAUT HEXAGONAL) M14XP2.0XL90MM (GALVANOZED)</t>
  </si>
  <si>
    <t>TRM1033</t>
  </si>
  <si>
    <t>BOLT (BAUT HEXAGONAL) M16XP2.0XL110MM (GALVANIZED) (HA141)</t>
  </si>
  <si>
    <t>TRM4142</t>
  </si>
  <si>
    <t>BOLT (BAUT HEXAGONAL) M16XP2.0XL40MM (GALVANIZED) (NB561)</t>
  </si>
  <si>
    <t>TRM1733</t>
  </si>
  <si>
    <t>BOLT (BAUT HEXAGONAL) M16XP2.0XL90MM (GALVANIZED)</t>
  </si>
  <si>
    <t>TRM0543</t>
  </si>
  <si>
    <t>BOLT (BAUT HEXAGONAL) M6XP1.0XL15MM (GALVANIZED) (HA041)</t>
  </si>
  <si>
    <t>TRM0093</t>
  </si>
  <si>
    <t>BOLT (BAUT JP) M4XP0.7XL20MM (SUS304) (NB1106)</t>
  </si>
  <si>
    <t>TRM2663</t>
  </si>
  <si>
    <t>BOLT (BAUT JP) M4XP0.7XL25MM (SUS304) (NB1106-1)</t>
  </si>
  <si>
    <t>TRM2019</t>
  </si>
  <si>
    <t>BOLT (BAUT JP) M4XP0.7XL30MM (GALVANIZED)</t>
  </si>
  <si>
    <t>TRM0095</t>
  </si>
  <si>
    <t>BOLT (BAUT JP) M4XP0.7XL6MM (GALVANIZED) (NB388)</t>
  </si>
  <si>
    <t>TRM0103</t>
  </si>
  <si>
    <t>BOLT (BAUT JT) M5XL25MM (SUS304) (NB364)</t>
  </si>
  <si>
    <t>TRM0104</t>
  </si>
  <si>
    <t>BOLT (BAUT JT) M5XP0.8XL20MM (GALVANIZED) (NB547-1)</t>
  </si>
  <si>
    <t>TRM0106</t>
  </si>
  <si>
    <t>BOLT (BAUT L) M10XL35MM (GALVANIZED) (NB674)</t>
  </si>
  <si>
    <t>TRM0431</t>
  </si>
  <si>
    <t>BOLT (BAUT L) M10XP1.5X20MM (SUS304) (NB398)</t>
  </si>
  <si>
    <t>TRM0430</t>
  </si>
  <si>
    <t>BOLT (BAUT L) M10XP1.5XL25MM (SUS304) (NB274)</t>
  </si>
  <si>
    <t>TRM2462</t>
  </si>
  <si>
    <t>BOLT (BAUT L) M10XP1.5XL30MM (GALVANIZED)(NB391-1)</t>
  </si>
  <si>
    <t>TRM3979</t>
  </si>
  <si>
    <t>BOLT (BAUT L) M12XP1.75XL80MM (SUS304) (HC027)</t>
  </si>
  <si>
    <t>TRM0432</t>
  </si>
  <si>
    <t>BOLT (BAUT L) M14XP2.0XL30MM (HC022)</t>
  </si>
  <si>
    <t>TRM0420</t>
  </si>
  <si>
    <t>BOLT (BAUT L) M14XP2.0XL30MM (SUS304)</t>
  </si>
  <si>
    <t>TRM3924</t>
  </si>
  <si>
    <t>BOLT (BAUT L) M14XP2.0XL40MM (GALVANIZED) (HC021)</t>
  </si>
  <si>
    <t>TRM0108</t>
  </si>
  <si>
    <t>BOLT (BAUT L) M16XP2.0XL30MM (GALVANIZED) (NB1053)</t>
  </si>
  <si>
    <t>TRM0111</t>
  </si>
  <si>
    <t>BOLT (BAUT L) M5XP0.8XL12MM (GALVANIZED) (NB008-1)</t>
  </si>
  <si>
    <t>TRM0687</t>
  </si>
  <si>
    <t>BOLT (BAUT L) M5XP0.8XL130MM (GALVANIZED) (NC298)</t>
  </si>
  <si>
    <t>TRM0544</t>
  </si>
  <si>
    <t>BOLT (BAUT L) M5XP0.8XL15MM (SUS304) (NA188-1)</t>
  </si>
  <si>
    <t>TRM3026</t>
  </si>
  <si>
    <t>BOLT (BAUT L) M5XPO.8XL12MM (SUS304) (NB1125)</t>
  </si>
  <si>
    <t>TRM1294</t>
  </si>
  <si>
    <t>BOLT (BAUT L) M8XP1.25XL40MM (GALVANIZED) (NB941)</t>
  </si>
  <si>
    <t>TRM4081</t>
  </si>
  <si>
    <t>BOLT BOLT COUNTERSUNK / BAUT VERSENG M 10X20MM (SUS304)</t>
  </si>
  <si>
    <t>TRM1592</t>
  </si>
  <si>
    <t>BRACKET ST45L SZ18</t>
  </si>
  <si>
    <t>TRM2514</t>
  </si>
  <si>
    <t>BRASS BALL VALVE 32A (LONG HANDLE ORANGE) GALA MODEL BV-600(1 1/4") (CS098-2)</t>
  </si>
  <si>
    <t>TRM2673</t>
  </si>
  <si>
    <t>BRONSE SWING CHECK VALVE 40A(1 1/2") (CS068)</t>
  </si>
  <si>
    <t>TRM0575</t>
  </si>
  <si>
    <t>BRONZE GATE VALVE KITZ PN16 TYPE FH 40A (1 1/2") (CS214)</t>
  </si>
  <si>
    <t>TRM1756</t>
  </si>
  <si>
    <t>BRONZE GLOBE VALVE KITZ A-100 TYPE 40A ( 1 1/2")</t>
  </si>
  <si>
    <t>TRM0009</t>
  </si>
  <si>
    <t>BRONZE GLOBE VALVE KITZ A-100 TYPE 40A(1 1/2") (CS207)</t>
  </si>
  <si>
    <t>TRM0833</t>
  </si>
  <si>
    <t>BRONZE SWING CHECK VALVE 65A(2 1/2") (CS070)</t>
  </si>
  <si>
    <t>TRM0079</t>
  </si>
  <si>
    <t>BUBBLE SHEET (NB058)</t>
  </si>
  <si>
    <t>TRM2371</t>
  </si>
  <si>
    <t>BUBUT DRAT SWING BOLT M12</t>
  </si>
  <si>
    <t>TRM0080</t>
  </si>
  <si>
    <t>BUTTERFLY NUT (SUS304) M6X1.0 (NB617)</t>
  </si>
  <si>
    <t>TRM0134</t>
  </si>
  <si>
    <t>CABLE NYAF Ø1.50MM2 (WHITE) [100MTR/ROLL] (CC474-1)</t>
  </si>
  <si>
    <t>TRM1575</t>
  </si>
  <si>
    <t>CABLE NYAF Ø2.50MM2 (GREEN) [100MTR/ROLL]</t>
  </si>
  <si>
    <t>TRM0536</t>
  </si>
  <si>
    <t>CAMLOCK SUS316 ADAPTOR HOSE TAIL 1 1/2" (40A) TYPE E (ISPP004-018)</t>
  </si>
  <si>
    <t>TRM3083</t>
  </si>
  <si>
    <t>CARBON BRUSH (SPUL) (NB057)</t>
  </si>
  <si>
    <t>TRM1807</t>
  </si>
  <si>
    <t>CHAIN SLING 4 LEG CAPACITY 1 TON 8MMX300MM (NB548)</t>
  </si>
  <si>
    <t>TRM0780</t>
  </si>
  <si>
    <t>CLAMP HOSE BAND (KUNING) DIA 59 -  DIA 82 (DOUBLE WIRE CLAMP) (NB1129)</t>
  </si>
  <si>
    <t>TRM1152</t>
  </si>
  <si>
    <t>CLAMP HOSE BAND (KUNING) DIA 63 - DIA 68 (DOUBLE WIRE CLAMP) (NA400)</t>
  </si>
  <si>
    <t>TRM2158</t>
  </si>
  <si>
    <t>CLAMP HOSE BAND (SILVER) DIA 42 - DIA 48 (DOUBLE WIRE CLAMP) FOR PVC HOSE DIA 38 /SILICONE HOSE DIA 43 (SUNTRAC) (NB060-1)</t>
  </si>
  <si>
    <t>TRM2159</t>
  </si>
  <si>
    <t>CLAMP HOSE BAND (SILVER) DIA. 55 - DIA. 60 (DOUBLE WIRE CLAMP) FOR SILICONE HOSE DIA. 60 (SUNTRAC) (NB795-3)</t>
  </si>
  <si>
    <t>TRM1477</t>
  </si>
  <si>
    <t>CLAMP HOSE BAND (SILVER) Ø46 - Ø55 (DOUBLE WIRE CLAMP) FOR SILICOONE HOSE Ø50</t>
  </si>
  <si>
    <t>TRM1369</t>
  </si>
  <si>
    <t>CLAMP HOSE BAND SUS  Ø220 -  Ø240MM (IAL-708)</t>
  </si>
  <si>
    <t>TRM2342</t>
  </si>
  <si>
    <t>CLAMP HOSE BAND SUS 220 - 240 MM</t>
  </si>
  <si>
    <t>TRM3773</t>
  </si>
  <si>
    <t>CLAMP LATH  LOCK FOR PANEL (ADB/ADG-15-300Z) SUS304 (IAD0015-6403)</t>
  </si>
  <si>
    <t>TRM2502</t>
  </si>
  <si>
    <t>CLAMP SLING ROPE SIZE 5MM</t>
  </si>
  <si>
    <t>TRM1272</t>
  </si>
  <si>
    <t>CLAMP UNISTRUT GALVANIZED 1 " (31) (FOR PIPE Ø38MM) (DD0008)</t>
  </si>
  <si>
    <t>TRM4033</t>
  </si>
  <si>
    <t>CLOSE END WIRE CONNECTOR (LASDOP) KSS CE-5 (100PCS/PACK)</t>
  </si>
  <si>
    <t>TRM4073</t>
  </si>
  <si>
    <t>CONNECTOR FEMALE DB-9 (PASTIC HOUSING) (NCC21-9)</t>
  </si>
  <si>
    <t>TRM1494</t>
  </si>
  <si>
    <t>CORRUCATED FLEXIBLE CONDUIT HITAM ID0.7MM/OD.12MM TYPE FCP-7 [100MTR/ROLL]</t>
  </si>
  <si>
    <t>TRM0027</t>
  </si>
  <si>
    <t>CUTTING WHEEL FOR SS ULTRA 105X1X16MM @25PCS/BOX (NB1030)</t>
  </si>
  <si>
    <t>TRM0028</t>
  </si>
  <si>
    <t>DIAGONAL CUTTING PLIERS 5" (TEKIRO) (NA162)</t>
  </si>
  <si>
    <t>TRM3242</t>
  </si>
  <si>
    <t>DISPENSER GALON BAWAH SANEX ( HOT,NORMAL,COLD) (SA113)</t>
  </si>
  <si>
    <t>TRM2263</t>
  </si>
  <si>
    <t>DOWSIL 732 RTV SEALENT 90 ML</t>
  </si>
  <si>
    <t>TRM3080</t>
  </si>
  <si>
    <t>ELBOW HOSE NIPPLE 10A(3/8") X DIA 10 (BRASS BSPT) (CE003)</t>
  </si>
  <si>
    <t>TRM0425</t>
  </si>
  <si>
    <t>FITTING KQZFOG-O1A SMC</t>
  </si>
  <si>
    <t>TRM0434</t>
  </si>
  <si>
    <t>FLAT WASHER /  RING PLATE (SS400) M14 (GALVANIZED) (NB243)</t>
  </si>
  <si>
    <t>TRM0350</t>
  </si>
  <si>
    <t>FLAT WASHER / RING PLATE (S20C) M8 (ZINC PLATED) (JJ007)</t>
  </si>
  <si>
    <t>TRM3988</t>
  </si>
  <si>
    <t>FLAT WASHER / RING PLATE (SKD) M12 (BLACK) (HR563)</t>
  </si>
  <si>
    <t>TRM3943</t>
  </si>
  <si>
    <t>FLAT WASHER / RING PLATE (SS400) M16 (GALVANIZED)</t>
  </si>
  <si>
    <t>TRM0035</t>
  </si>
  <si>
    <t>FLAT WASHER/RING PLATE (S20C) M20 (ZINC PLATED) (JJ013)</t>
  </si>
  <si>
    <t>TRM0342</t>
  </si>
  <si>
    <t>FLAT WASHER/RING PLATE (SS400) M16 (GALVANIZED) (NB178)</t>
  </si>
  <si>
    <t>TRM1956</t>
  </si>
  <si>
    <t>FLAT WASHER/RING PLATE (SS400) M8 (GALVANIZED)</t>
  </si>
  <si>
    <t>TRM1133</t>
  </si>
  <si>
    <t>FLEXIBLE METAL CONDUIT 1/2" (OD 20MMXID 16MM) [50MTR./ROLL] (NB1047)</t>
  </si>
  <si>
    <t>TRM1944</t>
  </si>
  <si>
    <t>FLEXIBLE METAL CONDUIT 3/4" (OD 24 MMXID 21MM) [50MTR./ROLLL]</t>
  </si>
  <si>
    <t>TRM0451</t>
  </si>
  <si>
    <t>FLOOR MARKING TAPE (LAKBAN) WARNA KUNING (NB483-1)</t>
  </si>
  <si>
    <t>TRM1540</t>
  </si>
  <si>
    <t>FLOOR MARKING TAPE (LAKBAN) WARNA PUTIH</t>
  </si>
  <si>
    <t>TRM3446</t>
  </si>
  <si>
    <t>FLOW METER WIEBROCK FOR AIR  20°C 1 ATM NI/MIN (OP-DF15)</t>
  </si>
  <si>
    <t>TRM2993</t>
  </si>
  <si>
    <t>FLOW SWITCH HONEYWELL WFS-1001-H 15A 250VAC (ICW008-M03401)</t>
  </si>
  <si>
    <t>TRM3183</t>
  </si>
  <si>
    <t>FUSE GLASS 2A HANYOUNG (RF131-2)</t>
  </si>
  <si>
    <t>TRM0522</t>
  </si>
  <si>
    <t>HALL SAW KUGEL TCT 75MM</t>
  </si>
  <si>
    <t>TRM2655</t>
  </si>
  <si>
    <t>HEX. LOCK NUT / MUR (SS400) M18X1.5 (GALVANIZED) (JC159)</t>
  </si>
  <si>
    <t>TRM1585</t>
  </si>
  <si>
    <t>HEX. LOCK NUT / MUR (SUS304) M4X0.7</t>
  </si>
  <si>
    <t>TRM0164</t>
  </si>
  <si>
    <t>HEX. LOCK NUT/MUR (SUS304) M4X0.7 (JC154-1)</t>
  </si>
  <si>
    <t>TRM0165</t>
  </si>
  <si>
    <t>HEX. NIPPLE SUS304 20A(3/4") (CN097)</t>
  </si>
  <si>
    <t>TRM4143</t>
  </si>
  <si>
    <t>HEX. NUT / MUR (S20C) M16X2.0 (GALVANIZED) (JA010-1)</t>
  </si>
  <si>
    <t>TRM1052</t>
  </si>
  <si>
    <t>HEX. NUT / MUR (SS400) M14X1.5 (GALVANIZED)</t>
  </si>
  <si>
    <t>TRM3925</t>
  </si>
  <si>
    <t>HEX. NUT / MUR (SS400) M14X2.0 (GALVANIZED) (NB544)</t>
  </si>
  <si>
    <t>TRM1034</t>
  </si>
  <si>
    <t>HEX. NUT / MUR (SS400) M16X2.0 (GALVANIZED) (NB460)</t>
  </si>
  <si>
    <t>TRM2449</t>
  </si>
  <si>
    <t>HEX. NUT / MUR (SUS304) M16X2.0 (NB466)</t>
  </si>
  <si>
    <t>TRM0168</t>
  </si>
  <si>
    <t>HEX. NUT/MUR (SS400) M5X0.8 (GALVANIZED) (NB673)</t>
  </si>
  <si>
    <t>TRM3368</t>
  </si>
  <si>
    <t>HEX.NUT / MUR (SS400) M16X2.0 (GALVANIZED)</t>
  </si>
  <si>
    <t>TRM4146</t>
  </si>
  <si>
    <t>HIGH ANCHOR (BAUT ANGKUR KETOK) M12XL70MM (GALVANIZED)</t>
  </si>
  <si>
    <t>TRM0525</t>
  </si>
  <si>
    <t>HOLESAW DIA 75MM TCT (KUGEL) (NA150)</t>
  </si>
  <si>
    <t>TRM3084</t>
  </si>
  <si>
    <t>HOLESAW Ø22MM (NB010)</t>
  </si>
  <si>
    <t>TRM4279</t>
  </si>
  <si>
    <t>INSULATION PIPE INSUFLEX 1 1/4"X(ID.23MM) T9MM (BLACK) 1.8MTR/BTG</t>
  </si>
  <si>
    <t>TRM4036</t>
  </si>
  <si>
    <t>INSULATION PIPE INSUFLEX 1 1/8" X (ID.29MM) (BLACK) 1.8MTR/BTG (ISP-006)</t>
  </si>
  <si>
    <t>TRM4277</t>
  </si>
  <si>
    <t>INSULATION PIPE INSUFLEX 1 7/8"X(ID.40MM) T9MM (BLACK) 1.8MTR/BTG</t>
  </si>
  <si>
    <t>TRM4278</t>
  </si>
  <si>
    <t>INSULATION PIPE INSUFLEX 1"X (ID.16MM) T9MM (BLACK) 1.8MTR/BTG</t>
  </si>
  <si>
    <t>TRM4280</t>
  </si>
  <si>
    <t>INSULATION PIPE INSUFLEX 3/4"X(ID.10MM) T9MM (BLACK) 1.8MTR/BTG</t>
  </si>
  <si>
    <t>TRM3709</t>
  </si>
  <si>
    <t>INSULATION PIPE INSULFLEX 1 1/4"X (ID.23MM) T9MM (BLACK) 1.8 MTR/BTG (ISP-009)</t>
  </si>
  <si>
    <t>TRM3711</t>
  </si>
  <si>
    <t>INSULATION PIPE INSULFLEX 1 7/8"X (ID.40MM) T9MM (BLACK) 1.8MTR/BTG (ISP-012)</t>
  </si>
  <si>
    <t>TRM3707</t>
  </si>
  <si>
    <t>INSULATION PIPE INSULFLEX 1"X (ID.16MM) T9MM (BLACK) 1.8 MTR/BTG (ISP-007)</t>
  </si>
  <si>
    <t>TRM3710</t>
  </si>
  <si>
    <t>INSULATION PIPE INSULFLEX 3/4"X (ID.10MM) T9MM (BLACK) 1.8 MTR/BTG (ISP-005)</t>
  </si>
  <si>
    <t>TRM1961</t>
  </si>
  <si>
    <t>INSULATION PIPE SUPERLON 5/8"X(OD.25MMXID.16MM) T9MM (BLACK) 1.8MTR/BTG (ISP-004)</t>
  </si>
  <si>
    <t>TRM3708</t>
  </si>
  <si>
    <t>INSULATION SHEET INSULFLEX 3/8"XT9MM (BLACK) (1.2MTRX0.9MTR) (ISP-014)</t>
  </si>
  <si>
    <t>TRM3285</t>
  </si>
  <si>
    <t>JASA PLATING/BUBUT SWING BOLT M12</t>
  </si>
  <si>
    <t>TRM0944</t>
  </si>
  <si>
    <t>KABEL SUPPORT USB 1.5M (SA341-1)</t>
  </si>
  <si>
    <t>TRM3261</t>
  </si>
  <si>
    <t>KABEL TIES CV 100 2.5 KSS (100PCS/PACK)</t>
  </si>
  <si>
    <t>TRM2752</t>
  </si>
  <si>
    <t>KACAMATA SAFETY : GAGANG WARNA ORANGE (SA338)</t>
  </si>
  <si>
    <t>TRM0170</t>
  </si>
  <si>
    <t>KAIN MAJUN (NB047)</t>
  </si>
  <si>
    <t>TRM2258</t>
  </si>
  <si>
    <t>KAWAT LAS TEMBAGA DIA. 1,3MM BRASSING 0% HARRIS</t>
  </si>
  <si>
    <t>TRM3111</t>
  </si>
  <si>
    <t>KAWAT LAS TIG ARGON BESI TGS 50 1.6MMX1MTR KOBELCO @5KG (NB1011)</t>
  </si>
  <si>
    <t>TRM3112</t>
  </si>
  <si>
    <t>KAWAT LAS TIG ARGON STAINLESS STENLIS STEEL TG-308L DIA 1.6MMX1MTR @1KG (NB1012)</t>
  </si>
  <si>
    <t>TRM4127</t>
  </si>
  <si>
    <t>KAWAT TIG ARGON STAIENLES STEEL TG-308L 1,6MM X 1 METER @5 KG</t>
  </si>
  <si>
    <t>TRM3451</t>
  </si>
  <si>
    <t>KUNCI BOR (NB861-1)</t>
  </si>
  <si>
    <t>TRM4080</t>
  </si>
  <si>
    <t>KUNCI L TEKIRO SIZE : 2MM</t>
  </si>
  <si>
    <t>TRM2696</t>
  </si>
  <si>
    <t>KUNCI L TEKIRO SIZE : 5 (NB223)</t>
  </si>
  <si>
    <t>TRM0976</t>
  </si>
  <si>
    <t>KUNCI L TEKIRO SIZE : 6 (NA129)</t>
  </si>
  <si>
    <t>TRM2250</t>
  </si>
  <si>
    <t>KUNCI SHOCK "T" 10MM</t>
  </si>
  <si>
    <t>TRM0473</t>
  </si>
  <si>
    <t>LAKBAN MERAH VINYL 33M</t>
  </si>
  <si>
    <t>TRM0474</t>
  </si>
  <si>
    <t>LAKBAN PUTIH VYNIL</t>
  </si>
  <si>
    <t>TRM3767</t>
  </si>
  <si>
    <t>LEM EPOTEC</t>
  </si>
  <si>
    <t>TRM0042</t>
  </si>
  <si>
    <t>LEM EPOTEC (NB132)</t>
  </si>
  <si>
    <t>TRM3201</t>
  </si>
  <si>
    <t>LEM PVC 45GR (ESURON) NO.73S (CP005)</t>
  </si>
  <si>
    <t>TUBE</t>
  </si>
  <si>
    <t>TRM0043</t>
  </si>
  <si>
    <t>LIMIT SWITCH OMRON ZC-N2255 10A 250VAC (DL050)</t>
  </si>
  <si>
    <t>TRM4153</t>
  </si>
  <si>
    <t>LOAD CHAIN / RANTAI BAJA SIZE 6X18X2,5MTR</t>
  </si>
  <si>
    <t>TRM1808</t>
  </si>
  <si>
    <t>LOAD CHAIN / RANTAI BAJA SIZE 6X18X2.5MTR (NB549)</t>
  </si>
  <si>
    <t>TRM4305</t>
  </si>
  <si>
    <t>LONG DRAT M6X1.0 (GALVANIZED) [Q235] (1 METER/PC)(NA023)</t>
  </si>
  <si>
    <t>TRM4308</t>
  </si>
  <si>
    <t>LOTOTO PADLOCK L410 RED (NB277)</t>
  </si>
  <si>
    <t>TRM1322</t>
  </si>
  <si>
    <t>MARKER TUBE MOTP WHITE 10.0 (200MTR/ROL) (CC105-1)</t>
  </si>
  <si>
    <t>TRM2001</t>
  </si>
  <si>
    <t>MATA TAP / HAND TAP YAMAWA M3X0.5MM</t>
  </si>
  <si>
    <t>TRM1187</t>
  </si>
  <si>
    <t>MATA TAP / HAND TAP YAMAWA M5 X 0.8MM (3PCS/PCK) (NB334)</t>
  </si>
  <si>
    <t>TRM1188</t>
  </si>
  <si>
    <t>MATA TAP / HAND TAP YAMAWA M6 X 1MM (3PCS/PCK) (NB335)</t>
  </si>
  <si>
    <t>TRM1908</t>
  </si>
  <si>
    <t>METAL CONECTOR SINOCONTEC PLUG + FLANGE SOCKET 19M - 4A + 4E (4PIN) ZINC ALLOY</t>
  </si>
  <si>
    <t>TRM2011</t>
  </si>
  <si>
    <t>METAL CONNECTOR CONDUIT DKJ PT1 1/2" (48.9MM)</t>
  </si>
  <si>
    <t>TRM1943</t>
  </si>
  <si>
    <t>METAL CONNECTOR CONDUIT DPJ PT3/4" (26.4MM)</t>
  </si>
  <si>
    <t>TRM0049</t>
  </si>
  <si>
    <t>METAL CONNECTOR FEMALE SOCKET 2 PIN (NANABOSHI) NJC-202-PF (250 V 15A) (NCC21)</t>
  </si>
  <si>
    <t>TRM0802</t>
  </si>
  <si>
    <t>METAL CONNECTOR FEMALE TYPE "S" 2 PIN (NANABOSHI) NCS-162-P-CH (125V 5A) (NCC25)</t>
  </si>
  <si>
    <t>TRM2229</t>
  </si>
  <si>
    <t>METAL CONNECTOR FEMALE TYPE "S" 3PIN (NANABOSHI) NCS-163-P-CH (125V 5A)</t>
  </si>
  <si>
    <t>TRM4136</t>
  </si>
  <si>
    <t>METAL CONNECTOR FEMALE TYPE 4 PIN (VF) GX20-JW (250V/20A) (NCC62)</t>
  </si>
  <si>
    <t>TRM1370</t>
  </si>
  <si>
    <t>METAL CONNECTOR MALE &amp; FEMALE SINOCONTEC FLANGE SOCKET 19M-4 A CHROME 4 PIN (NCC20-4)</t>
  </si>
  <si>
    <t>TRM0803</t>
  </si>
  <si>
    <t>METAL CONNECTOR MALE SOCKET 2 PIN (NANABOSHI) NCS-162-ADF-CH (125V 5A) (NCC26)</t>
  </si>
  <si>
    <t>TRM4156</t>
  </si>
  <si>
    <t>METAL CONNECTOR MALE TYPE 4 PIN (VF) GX20-PW (250V/20A) (NCC63)</t>
  </si>
  <si>
    <t>TRM2732</t>
  </si>
  <si>
    <t>METAL CONNECTOR SINOCONTE PLUG + FLANGE SOCKET 19M-2A+2E-10 (2PIN) ZINC ALLOY</t>
  </si>
  <si>
    <t>TRM2865</t>
  </si>
  <si>
    <t>METAL CONNECTOR SINOCONTEC PLUG+FLANGE SOCKET 19M-3A+3E (3PIN) ZINC ALLOY</t>
  </si>
  <si>
    <t>TRM0771</t>
  </si>
  <si>
    <t>METAL CONNECTOR SINOCONTEC PLUG+FLANGE SOCKET 19M-3A+3E (3PIN) ZINC ALLOY (NCC20-3)</t>
  </si>
  <si>
    <t>TRM0050</t>
  </si>
  <si>
    <t>METCAL CONNECTOR PIN MALE 2 PIN (NANABOSHI) NJC-202-RM (250V 15A) (NCC22)</t>
  </si>
  <si>
    <t>TRM0051</t>
  </si>
  <si>
    <t>METERAN 5M (NB467)</t>
  </si>
  <si>
    <t>TRM1769</t>
  </si>
  <si>
    <t>MUR GIPI</t>
  </si>
  <si>
    <t>TRM0081</t>
  </si>
  <si>
    <t>NYLON CABLE GLAND PG-29 (BLACK) FOR (DIA. 37.0 HOLE) (NB490)</t>
  </si>
  <si>
    <t>TRM2639</t>
  </si>
  <si>
    <t>OBENG (-) 3.2X150MM (TEKIRO) (NA017)</t>
  </si>
  <si>
    <t>TRM2640</t>
  </si>
  <si>
    <t>OBENG (-) 4X150MM (TEKIRO) (NA0160)</t>
  </si>
  <si>
    <t>TRM2521</t>
  </si>
  <si>
    <t>OBENG (+) 6X200MM</t>
  </si>
  <si>
    <t>TRM2818</t>
  </si>
  <si>
    <t>OBENG (+) 6X200MM (NA158)</t>
  </si>
  <si>
    <t>TRM2650</t>
  </si>
  <si>
    <t>OIL BEBICON FOR COMPRESOR HITACHI (NB104)</t>
  </si>
  <si>
    <t>TRM0524</t>
  </si>
  <si>
    <t>OIL BEBICON FOR COMPRESSOR HITACHI (NB104)</t>
  </si>
  <si>
    <t>TRM0854</t>
  </si>
  <si>
    <t>OMRON H3Y-2 AC200-230 30M</t>
  </si>
  <si>
    <t>TRM1529</t>
  </si>
  <si>
    <t>PAKU RENG 4CM (NB464)</t>
  </si>
  <si>
    <t>TRM2370</t>
  </si>
  <si>
    <t>PANEL BOX STEEL TIBOX T-30X20X15 (IN DOOR) (NB930)</t>
  </si>
  <si>
    <t>TRM1077</t>
  </si>
  <si>
    <t>PE FOAM UK. 3CMX100CMX200CM</t>
  </si>
  <si>
    <t>TRM0375</t>
  </si>
  <si>
    <t>PELAMPUNG TOREN (NB802)</t>
  </si>
  <si>
    <t>TRM1755</t>
  </si>
  <si>
    <t>PILOT LAMP DIA 22M  AC 380 V (WHITE) FORT (RF704-1)</t>
  </si>
  <si>
    <t>TRM0547</t>
  </si>
  <si>
    <t>PIPE STEEL CONDUIT E-19 20MM (3/4" X 3.6MTR) GALVANIZED (NB1111)</t>
  </si>
  <si>
    <t>TRM1533</t>
  </si>
  <si>
    <t>PISAU POTONG CIRCLE</t>
  </si>
  <si>
    <t>TRM1302</t>
  </si>
  <si>
    <t>PISAU POTONG CIRCLE (NB357)</t>
  </si>
  <si>
    <t>TRM0053</t>
  </si>
  <si>
    <t>PLASTIC CHAIN STAR 6X50M YELLOW (NB161)</t>
  </si>
  <si>
    <t>TRM0055</t>
  </si>
  <si>
    <t>PLASTIC CLIP CLEAR 12CMX20CM (NB536)</t>
  </si>
  <si>
    <t>TRM1433</t>
  </si>
  <si>
    <t>PLASTICK PE 1.22M X 0.3 (1 ROL = 32M)</t>
  </si>
  <si>
    <t>TRM0221</t>
  </si>
  <si>
    <t>PLASTIK WRAPPING 20MICRON</t>
  </si>
  <si>
    <t>TRM0057</t>
  </si>
  <si>
    <t>PLYWOOD (KAYU TRIPLEK) L=240 W=120 T=9MM (NB019)</t>
  </si>
  <si>
    <t>TRM0667</t>
  </si>
  <si>
    <t>PNEUMATIC VIBRATORS VIBTEC GT-10 (NB050)</t>
  </si>
  <si>
    <t>TRM0265</t>
  </si>
  <si>
    <t>PUSH BUTTON HANYOUNG MRX-NA1 DO-G MAINTAINED (ALTERNATE)</t>
  </si>
  <si>
    <t>TRM0439</t>
  </si>
  <si>
    <t>PUSH BUTTON HANYOUNG MRX-NA1 DO-G MAINTAINED (ALTERNATE) (RJ060)</t>
  </si>
  <si>
    <t>TRM4128</t>
  </si>
  <si>
    <t>PVC SPRING HOSE (IDø100) (LOKAL) [30MTR/ROL] (BF040)</t>
  </si>
  <si>
    <t>TRM1478</t>
  </si>
  <si>
    <t>PYLOX : SILVER</t>
  </si>
  <si>
    <t>TRM0058</t>
  </si>
  <si>
    <t>PYLOX : SILVER (NB027)</t>
  </si>
  <si>
    <t>TRM0059</t>
  </si>
  <si>
    <t>REDUCING BUSHING/VLOK RING 25AX8A (1"X1/4") (SUS304) (CA154)</t>
  </si>
  <si>
    <t>TRM0060</t>
  </si>
  <si>
    <t>REDUCING BUSHING/VLOK RING 40AX 25A (1 1/2"X1") (SUS304) (CA153)</t>
  </si>
  <si>
    <t>TRM0223</t>
  </si>
  <si>
    <t>REDUCING TEE (SUS) 25X15A (1"X1/2") (CT108)</t>
  </si>
  <si>
    <t>TRM2373</t>
  </si>
  <si>
    <t>REVOLVING WARNING LIGHT (YELLOW) DV LTD-1101J MULTI VOLT 220VAC, 24DC, 12VDC C/W BUZZER (RG131)</t>
  </si>
  <si>
    <t>TRM4306</t>
  </si>
  <si>
    <t>RIVET NUT M6X1.0 (SILVER)(NA028)</t>
  </si>
  <si>
    <t>TRM0064</t>
  </si>
  <si>
    <t>ROCKWOOL FOR PIPE 2" (60) T.25MM (NB261)</t>
  </si>
  <si>
    <t>TRM0226</t>
  </si>
  <si>
    <t>ROTARY SWITCH DISCONNECTOR FORT GS04-32/3P (IEP09-02)</t>
  </si>
  <si>
    <t>TRM0227</t>
  </si>
  <si>
    <t>ROTARY SWITCH DISCONNECTOR FORT GS04-63/3P (IEP09-04)</t>
  </si>
  <si>
    <t>TRM1014</t>
  </si>
  <si>
    <t>RUBBER GROMMET DIA 20MM (CK003)</t>
  </si>
  <si>
    <t>TRM4085</t>
  </si>
  <si>
    <t>RUBBER GROMMET DIA 28MM (CK004)</t>
  </si>
  <si>
    <t>TRM1015</t>
  </si>
  <si>
    <t>RUBBER GROMMET DIA 34MM (CK005)</t>
  </si>
  <si>
    <t>TRM3752</t>
  </si>
  <si>
    <t>SCREW DRIVER (MATA OBENG + ) 5 XL 110 MM (NA699)</t>
  </si>
  <si>
    <t>TRM0943</t>
  </si>
  <si>
    <t>SHARING SWITCH PRINTER (SA341-1)</t>
  </si>
  <si>
    <t>TRM2721</t>
  </si>
  <si>
    <t>SKUN FIMALE 250</t>
  </si>
  <si>
    <t>TRM3260</t>
  </si>
  <si>
    <t>SKUN KABEL Y KSP 1.25-3.5 (100PCS/PACK)</t>
  </si>
  <si>
    <t>TRM2720</t>
  </si>
  <si>
    <t>SKUN MALE 250</t>
  </si>
  <si>
    <t>TRM2445</t>
  </si>
  <si>
    <t>SKUN PIN 1.25-18 (100PCS/PCK)(NC250)</t>
  </si>
  <si>
    <t>TRM3258</t>
  </si>
  <si>
    <t>SKUN PIN KSP 1.25-4 (100PCS/PCK)</t>
  </si>
  <si>
    <t>TRM3259</t>
  </si>
  <si>
    <t>SKUN PIN KSP 1.25-5 (100PCS/PCK)</t>
  </si>
  <si>
    <t>TRM1273</t>
  </si>
  <si>
    <t>SLOT UNISTRUT CHANNEL 41X41XT.2MMX3MTR (GALVANIZED) (DD0007)</t>
  </si>
  <si>
    <t>TRM4307</t>
  </si>
  <si>
    <t>SPACER NUT M6X18MM (GALVANIZED) FOR XF-400RA (CN050)</t>
  </si>
  <si>
    <t>TRM0471</t>
  </si>
  <si>
    <t>SPACER PCB M3 X 10</t>
  </si>
  <si>
    <t>TRM0421</t>
  </si>
  <si>
    <t>SPRING WASHER / RING PER (SS400) M14 (GALVANIZED)</t>
  </si>
  <si>
    <t>TRM2450</t>
  </si>
  <si>
    <t>SPRING WASHER / RING PER (SUS304) M16 (NB453)</t>
  </si>
  <si>
    <t>TRM3987</t>
  </si>
  <si>
    <t>SPRING WASHER / RING PER M12 (SKD) (BLACK) (HR564)</t>
  </si>
  <si>
    <t>TRM0433</t>
  </si>
  <si>
    <t>SPRING WASHER / RING PER M14  (SS400) (ZINC PLATED) (NB111)</t>
  </si>
  <si>
    <t>TRM3927</t>
  </si>
  <si>
    <t>SPRING WASHER / RING PER M14 (SS400) (ZINC PLATED) (NB111)</t>
  </si>
  <si>
    <t>TRM4145</t>
  </si>
  <si>
    <t>SPRING WASHER / RING PER M14 (SS400) (ZINC PLATED) (NB4145)</t>
  </si>
  <si>
    <t>TRM1035</t>
  </si>
  <si>
    <t>SPRING WASHER / RING PER M16 (SS400) (ZINC PLATED) (NB177)</t>
  </si>
  <si>
    <t>TRM0669</t>
  </si>
  <si>
    <t>SPRING WASHER / RING PER M4 (S20C) (ZINC PLATED) (JH054-1)</t>
  </si>
  <si>
    <t>TRM0345</t>
  </si>
  <si>
    <t>SPRING WASHER/RING PER M10 (SS400) (ZINC PLATED) (NB265)</t>
  </si>
  <si>
    <t>TRM0344</t>
  </si>
  <si>
    <t>SPRING WASHER/RING PER M12 (SS400) (GALVANIZED) (NB1020)</t>
  </si>
  <si>
    <t>TRM2772</t>
  </si>
  <si>
    <t>S-SWITCH ILLUMINATED LATCH PUSH BUTTON DIA.22MM 1 NC UI;660V ITH:10A [RED] (RF709)</t>
  </si>
  <si>
    <t>TRM2007</t>
  </si>
  <si>
    <t>STEEL SET SCREW COUPLING COUNDUIT 3/4"</t>
  </si>
  <si>
    <t>TRM0072</t>
  </si>
  <si>
    <t>STEREO FOAM 3MM (NB233)</t>
  </si>
  <si>
    <t>TRM2486</t>
  </si>
  <si>
    <t>STOPPER TERMINAL BLOK HANYOUNG HYBT-07 BLACK BESI (NB1118)</t>
  </si>
  <si>
    <t>TRM2077</t>
  </si>
  <si>
    <t>STRAIGHT CONNECTOR DPJ-38 (1-1/2")</t>
  </si>
  <si>
    <t>TRM0655</t>
  </si>
  <si>
    <t>STRAIGHT METAL CONNECTOR CONDUIT DJP-16 PT1/2" (DIA 21.3MM) (NB1048)</t>
  </si>
  <si>
    <t>TRM0743</t>
  </si>
  <si>
    <t>STRAPPING BAND 15MM X 0.6MM</t>
  </si>
  <si>
    <t>TRM1089</t>
  </si>
  <si>
    <t>STRAPPING BAND SIZE : 15MMW X 0.6MMT X 2.500MTR/ROLL (NB064)</t>
  </si>
  <si>
    <t>TRM1151</t>
  </si>
  <si>
    <t>STRIPPER KAWAT (JOKARI) LY25-3 (NB401)</t>
  </si>
  <si>
    <t>TRM1660</t>
  </si>
  <si>
    <t>SWING BOLT M12 Ø22XL45XL80MM (SS400) ZINK PLATING (IDFP015-R12)</t>
  </si>
  <si>
    <t>TRM1910</t>
  </si>
  <si>
    <t>SWING CHECK VALVE BRASS DOUBLE LIN DART 2 1/2"</t>
  </si>
  <si>
    <t>TRM0077</t>
  </si>
  <si>
    <t>TANG KOMBINASI (NB841)</t>
  </si>
  <si>
    <t>TRM1776</t>
  </si>
  <si>
    <t>TANG POTONG 5" SANTUS (NB514)</t>
  </si>
  <si>
    <t>TRM1777</t>
  </si>
  <si>
    <t>TANG POTONG 6" SANTUS</t>
  </si>
  <si>
    <t>TRM2592</t>
  </si>
  <si>
    <t>TANG SNAP RING (TEKIRO) (NA127)</t>
  </si>
  <si>
    <t>TRM0078</t>
  </si>
  <si>
    <t>TAPE CASSETTE 09MMX8M [WHITE] LM-TP309W (NB553-1)</t>
  </si>
  <si>
    <t>TRM1682</t>
  </si>
  <si>
    <t>TAPER SOCKET 2/4"</t>
  </si>
  <si>
    <t>TRM1714</t>
  </si>
  <si>
    <t>TAPER SOCKET 20A(3/4") C/W INTERNAL THREAD RC 3/4" (SUS304)</t>
  </si>
  <si>
    <t>TRM1959</t>
  </si>
  <si>
    <t>TAPING SCREW 4X3/8" GALVANIZED (NB551-1)</t>
  </si>
  <si>
    <t>TRM2741</t>
  </si>
  <si>
    <t>TEMPERATURE DISPLAY ELITECH STC-8080A+ 200/220VAC C/W SENSOR NTC (EP017)</t>
  </si>
  <si>
    <t>TRM2492</t>
  </si>
  <si>
    <t>TERMINAL HANYOUNG BLOCK HYBT 15A-2</t>
  </si>
  <si>
    <t>TRM3027</t>
  </si>
  <si>
    <t>TESPEN (NB109-1)</t>
  </si>
  <si>
    <t>TRM2014</t>
  </si>
  <si>
    <t>THREADED ROD M10 (GALVANIZED)</t>
  </si>
  <si>
    <t>TRM0537</t>
  </si>
  <si>
    <t>THREADED ROD M10 [GALVANIZED] [Q235] (1 METER/PC) FOR SHAFT HONEYCOMB DFG-SERIES (IDF0050-7314)</t>
  </si>
  <si>
    <t>TRM2997</t>
  </si>
  <si>
    <t>THREADED ROD M14x2.0 [GALVANIZED] [Q235] (1 METER/PC) (NA016)</t>
  </si>
  <si>
    <t>TRM3713</t>
  </si>
  <si>
    <t>TOGGLE SWITCH C513B (SPDT) ON/OFF/ON (CNTD) 15A 250VAC SELF-LOCKING (RC802)</t>
  </si>
  <si>
    <t>TRM1413</t>
  </si>
  <si>
    <t>TOWER LIGHT LED (Q-LIGHT) QTG50 LF-BZ 2- AC110/220V RY BRACKET TYPE QZ18 (COLOR= R A C/W BUZZER</t>
  </si>
  <si>
    <t>TRM0237</t>
  </si>
  <si>
    <t>TOWER LIGHT LED (Q-LIGHT) QTG50 LF-BZ 2-2 220-AC220V RA (RED, AMBER) BRACKET TYPE QZ18 C/W BUZZER (RG084)</t>
  </si>
  <si>
    <t>TRM0238</t>
  </si>
  <si>
    <t>TOWER LIGHT LED (Q-LIGHT) ST45L-BZ 3-3 220-AC220V RAG (RED, AMBER, GREEN) BRACKET TYPE SZ18 C/W BUZZER (RG080)</t>
  </si>
  <si>
    <t>TRM0239</t>
  </si>
  <si>
    <t>TOWER LIGHT LED (Q-LIGHT) ST56L AC/DC-12-24V BRACKET TYPE SZ18 (COLOR=GREEN, RED) C/W BUZZER (RG095-2)</t>
  </si>
  <si>
    <t>TRM2882</t>
  </si>
  <si>
    <t>U BOLT &amp; NUT SS41 2" PLATING (P=70MMXH=80MM ) FOR PIPE 60MM (NB230)</t>
  </si>
  <si>
    <t>TRM2487</t>
  </si>
  <si>
    <t>U BOLT 1 1/2" PLATING (P-57MMXH=68MM) FOR PIPE 48MM (NB445-1)</t>
  </si>
  <si>
    <t>TRM3211</t>
  </si>
  <si>
    <t>VINYL WIRE END V-38 (RED) [100PCS./PACK] (CC237-1)</t>
  </si>
  <si>
    <t>TRM0340</t>
  </si>
  <si>
    <t>WAINSCOT (KAYU LIST) L=250 W=7 T=2 (NB018)</t>
  </si>
  <si>
    <t>TRM2995</t>
  </si>
  <si>
    <t>WATER MUR 50A(2") (FcMB/Galvanized) (WMG-009)</t>
  </si>
  <si>
    <t>TRM0242</t>
  </si>
  <si>
    <t>WD 40 (NA013)</t>
  </si>
  <si>
    <t>TRM1640</t>
  </si>
  <si>
    <t>WING BOLT M6XL15MM (SUS304) (NB826)</t>
  </si>
  <si>
    <t>TRM0003</t>
  </si>
  <si>
    <t>ALUMINIUM TAPE : 65MM X 70MIC X 200MM WITH RELEASE PAPER (NB219)</t>
  </si>
  <si>
    <t>TRM4116</t>
  </si>
  <si>
    <t>BALL VALVE SS316 SCREW TAMOE ( TV1010-CF8M 1/4" )</t>
  </si>
  <si>
    <t>TRM4265</t>
  </si>
  <si>
    <t>BALL VALVE ZHILDA 1/4" MADE IN USA 600WOG</t>
  </si>
  <si>
    <t>TRM0546</t>
  </si>
  <si>
    <t>BAUT ANGKUR (DYNABOLT) M12XL70 MM (GALVANIZED) (NB1161)</t>
  </si>
  <si>
    <t>TRM1195</t>
  </si>
  <si>
    <t>BOLT (BAUT HEXAGONAL) M10XP1.5XL25MM (GALVANIZED) (HA078)</t>
  </si>
  <si>
    <t>TRM0945</t>
  </si>
  <si>
    <t>BOLT (BAUT HEXAGONAL) M10XP1.5XL60MM (SUS304) (NB474)</t>
  </si>
  <si>
    <t>TRM0091</t>
  </si>
  <si>
    <t>BOLT (BAUT HEXAGONAL) M12XP1.75XL50MM (GALVANIZED) (HA101)</t>
  </si>
  <si>
    <t>TRM1129</t>
  </si>
  <si>
    <t>BOLT (BAUT HEXAGONAL) M12XP1.75XL65MM (GALVANIZED) (HA102)</t>
  </si>
  <si>
    <t>TRM1051</t>
  </si>
  <si>
    <t>BOLT (BAUT HEXAGONAL) M14XP2.0XL40MM (GALVANIZED) (HC129)</t>
  </si>
  <si>
    <t>TRM0092</t>
  </si>
  <si>
    <t>BOLT (BAUT HEXAGONAL) M16XP2.0XL50MM (GALVANIZED) (NB890)</t>
  </si>
  <si>
    <t>TRM0094</t>
  </si>
  <si>
    <t>BOLT (BAUT HEXAGONAL) M16XP2.0XL60MM (GALVANIZED) (HA142)</t>
  </si>
  <si>
    <t>TRM2652</t>
  </si>
  <si>
    <t>BOLT (BAUT HEXAGONAL) M20XP2.5XL110MM (GALVANIZED) (NB448)</t>
  </si>
  <si>
    <t>TRM4041</t>
  </si>
  <si>
    <t>BOLT (BAUT HEXAGONAL) M20XP2.5XL60MM (GALVANIZED)(NB098)</t>
  </si>
  <si>
    <t>TRM2122</t>
  </si>
  <si>
    <t>BOLT (BAUT HEXAGONAL) M6XP1.0XL16MM (GALVANIZED)</t>
  </si>
  <si>
    <t>TRM1543</t>
  </si>
  <si>
    <t>BOLT (BAUT HEXAGONAL) M6XP1.0XL25MM (GALVANIZED)</t>
  </si>
  <si>
    <t>TRM0298</t>
  </si>
  <si>
    <t>BOLT (BAUT HEXAGONAL) M8XP1.25XL25MM (GALVANIZED) (HA059)</t>
  </si>
  <si>
    <t>TRM0341</t>
  </si>
  <si>
    <t>BOLT (BAUT JP) M3XP0.3XL60MM (GALVANIZED) (NB319)</t>
  </si>
  <si>
    <t>TRM0290</t>
  </si>
  <si>
    <t>BOLT (BAUT JP) M3XP0.5XL5MM (GALVANIZED) (NB043)</t>
  </si>
  <si>
    <t>TRM2657</t>
  </si>
  <si>
    <t>BOLT (BAUT JP) M4X25MM (GALVANIZED)</t>
  </si>
  <si>
    <t>TRM0097</t>
  </si>
  <si>
    <t>BOLT (BAUT JP) M4XP0.7XL10MM (GALVANIZED) (NB107-1)</t>
  </si>
  <si>
    <t>TRM0098</t>
  </si>
  <si>
    <t>BOLT (BAUT JP) M4XP0.7XL10MM (SUS304) (NB1028)</t>
  </si>
  <si>
    <t>TRM0099</t>
  </si>
  <si>
    <t>BOLT (BAUT JP) M4XP0.7XL50MM (GALVANIZED) (NB488-1)</t>
  </si>
  <si>
    <t>TRM0100</t>
  </si>
  <si>
    <t>BOLT (BAUT JP) M4XP0.7XL6MM (SUS304) (NB032)</t>
  </si>
  <si>
    <t>TRM0096</t>
  </si>
  <si>
    <t>BOLT (BAUT JP) M4XP0.7XL75MM (GALVANIZED) (NB088-1)</t>
  </si>
  <si>
    <t>TRM0810</t>
  </si>
  <si>
    <t>BOLT (BAUT JP) M5XP0.8XL10MM (GALVANIZED) (NB278)</t>
  </si>
  <si>
    <t>TRM0101</t>
  </si>
  <si>
    <t>BOLT (BAUT JP) M5XP0.8XL10MM (SUS304) (NB575)</t>
  </si>
  <si>
    <t>TRM0102</t>
  </si>
  <si>
    <t>BOLT (BAUT JP) M5XP0.8XL30MM (GALVANIZED) (NB250)</t>
  </si>
  <si>
    <t>TRM0853</t>
  </si>
  <si>
    <t>BOLT (BAUT JP) M5XP0.8XL6MM (SUS304) (NB241)</t>
  </si>
  <si>
    <t>TRM2348</t>
  </si>
  <si>
    <t>BOLT (BAUT JP) M6XP1.0XL10MM (GALVANIZED)(NB648)</t>
  </si>
  <si>
    <t>TRM3928</t>
  </si>
  <si>
    <t>BOLT (BAUT JP) M6XP1.0XL20MM (SUS304)</t>
  </si>
  <si>
    <t>TRM0545</t>
  </si>
  <si>
    <t>BOLT (BAUT JT PHILIP) M5XP0.8XL10MM (GALVANIZED) (NC387)</t>
  </si>
  <si>
    <t>TRM0672</t>
  </si>
  <si>
    <t>BOLT (BAUT JT) M4XP0.7XL12MM (GALVANIZED) (NB180-1)</t>
  </si>
  <si>
    <t>TRM2151</t>
  </si>
  <si>
    <t>BOLT (BAUT JT) M5X10</t>
  </si>
  <si>
    <t>TRM0811</t>
  </si>
  <si>
    <t>BOLT (BAUT JT) M6XP1.0XL10MM (GALVANIZED) (NB306-1)</t>
  </si>
  <si>
    <t>TRM1964</t>
  </si>
  <si>
    <t>BOLT (BAUT L) M10XP1.5X50MM (SUS304)</t>
  </si>
  <si>
    <t>TRM1965</t>
  </si>
  <si>
    <t>BOLT (BAUT L) M10XP1.5X70MM (SUS304)</t>
  </si>
  <si>
    <t>TRM0418</t>
  </si>
  <si>
    <t>BOLT (BAUT L) M10XP1.5XL25MM (SUS304)</t>
  </si>
  <si>
    <t>TRM1906</t>
  </si>
  <si>
    <t>BOLT (BAUT L) M10XP1.5XL40MM (GALVANIZED)</t>
  </si>
  <si>
    <t>TRM0611</t>
  </si>
  <si>
    <t>BOLT (BAUT L) M12XP1.25XL25MM (GALVANIZED) (NB151-1)</t>
  </si>
  <si>
    <t>TRM0107</t>
  </si>
  <si>
    <t>BOLT (BAUT L) M12XP1.75XL35MM (GALVANIZED) (NB179-1)</t>
  </si>
  <si>
    <t>TRM2686</t>
  </si>
  <si>
    <t>BOLT (BAUT L) M12XP1.75XL40MM (GALVANIZED) (NB005-1)</t>
  </si>
  <si>
    <t>TRM3917</t>
  </si>
  <si>
    <t>BOLT (BAUT L) M4XP0.7XL20MM (SUS304) (HC026)</t>
  </si>
  <si>
    <t>TRM0109</t>
  </si>
  <si>
    <t>BOLT (BAUT L) M4XP0.7XL75MM (GALVANIZED) (NB009-1)</t>
  </si>
  <si>
    <t>TRM2879</t>
  </si>
  <si>
    <t>BOLT (BAUT L) M5XP0.8XL80MM (GALVANIZED) (NC297-1)</t>
  </si>
  <si>
    <t>TRM0323</t>
  </si>
  <si>
    <t>BOLT (BAUT L) M5XP0.8XL8MM (SUS304) (HD500)</t>
  </si>
  <si>
    <t>TRM0110</t>
  </si>
  <si>
    <t>BOLT (BAUT L) M5XP0.8XL90MM (GALVANIZED) (NB501-1)</t>
  </si>
  <si>
    <t>TRM0113</t>
  </si>
  <si>
    <t>BOLT (BAUT L) M6XP1.0XL16MM (GALVANIZED) (NB030)</t>
  </si>
  <si>
    <t>TRM1361</t>
  </si>
  <si>
    <t>BOLT (BAUT L) M6XP1.0XL16MM (SUS304) (NB039-1)</t>
  </si>
  <si>
    <t>TRM0297</t>
  </si>
  <si>
    <t>BOLT (BAUT L) M6XP1.0XL20MM (GALVANIZED) (NB328)</t>
  </si>
  <si>
    <t>TRM0115</t>
  </si>
  <si>
    <t>BOLT (BAUT L) M6XP1.0XL25MM (SUS304) (NB038)</t>
  </si>
  <si>
    <t>TRM1728</t>
  </si>
  <si>
    <t>BOLT (BAUT L) M6XP1.0XL55MM (GALVANIZED) (NB1107-1)</t>
  </si>
  <si>
    <t>TRM2881</t>
  </si>
  <si>
    <t>BOLT (BAUT L) M6XP1.0XL8MM (GALVANIZED) (HC040)</t>
  </si>
  <si>
    <t>TRM3322</t>
  </si>
  <si>
    <t>BOLT (BAUT L) M8XP1.0XL55MM (GALVANIZED)</t>
  </si>
  <si>
    <t>TRM0117</t>
  </si>
  <si>
    <t>BOLT (BAUT L) M8XP1.25XL16MM (GALVANIZED) (NB139)</t>
  </si>
  <si>
    <t>TRM0299</t>
  </si>
  <si>
    <t>BOLT (BAUT L) M8XP1.25XL20MM (GALVANIZED) (NB360)</t>
  </si>
  <si>
    <t>TRM0116</t>
  </si>
  <si>
    <t>BOLT (BAUT L) M8XP1.25XL30MM (GALVANIZED) (NB407)</t>
  </si>
  <si>
    <t>TRM0120</t>
  </si>
  <si>
    <t>BOLT (BAUT L) M8XP1.25XL35MM (GALVANIZED) (HC069)</t>
  </si>
  <si>
    <t>TRM0121</t>
  </si>
  <si>
    <t>BOLT (BAUT L) M8XP1.25XL55MM (GALVANIZED) (NB1107-2)</t>
  </si>
  <si>
    <t>TRM1214</t>
  </si>
  <si>
    <t>BOLT (BAUT L) W11G M16X5/8"XL50MM (GALVANIZED) (HA039)</t>
  </si>
  <si>
    <t>TRM0366</t>
  </si>
  <si>
    <t>BRASS BALL VALVE 32A (LONG HANDLE ORANGE) MDT MODEL BV-600 (1 1/4") (CS098-1)</t>
  </si>
  <si>
    <t>TRM3030</t>
  </si>
  <si>
    <t>BRASS BALL VALVE 40A (LONG HANDLE ORANGE) MDT MODEL BV-600(1 1/2") (CS099-1)</t>
  </si>
  <si>
    <t>TRM0008</t>
  </si>
  <si>
    <t>BRASS BALL VALVE 50A (LONG HANDLE ORANGE) MDT MODEL BV-600 (2") (CS096-1)</t>
  </si>
  <si>
    <t>TRM4076</t>
  </si>
  <si>
    <t>BRONZE GLOBE VALVE KITZ A-100 TYPE 40A (1 1/2")</t>
  </si>
  <si>
    <t>TRM3778</t>
  </si>
  <si>
    <t>BRONZE SWING CHECK VALVE 20A (3/4") (CS065)</t>
  </si>
  <si>
    <t>TRM0126</t>
  </si>
  <si>
    <t>BRONZE SWING CHECK VALVE 40A(1 1/2") (CS068)</t>
  </si>
  <si>
    <t>TRM2522</t>
  </si>
  <si>
    <t>BRONZE SWING CHECK VALVE 40A(1 1/2") (DOUBLE LIN)</t>
  </si>
  <si>
    <t>TRM0353</t>
  </si>
  <si>
    <t>BRONZE SWING CHECK VALVE 50A(2") (CS069)</t>
  </si>
  <si>
    <t>TRM0128</t>
  </si>
  <si>
    <t>BUFFING NON WOVEN DISC 4"</t>
  </si>
  <si>
    <t>TRM1069</t>
  </si>
  <si>
    <t>BUTTERFLY NUT M10X1.5 (SS400) GALVANIZED (NB393)</t>
  </si>
  <si>
    <t>TRM2101</t>
  </si>
  <si>
    <t>BUTTERFLY NUT M12x1.75 (SS400) (GALVANIZED) (NB040)</t>
  </si>
  <si>
    <t>TRM0012</t>
  </si>
  <si>
    <t>CABLE NYAF Ø0.50MM2 (BLUE) [100MTR/ROLL] (CC481)</t>
  </si>
  <si>
    <t>TRM0131</t>
  </si>
  <si>
    <t>CABLE NYAF Ø0.50MM2 (YELLOW) [100MTR/ROLL] (CC491-1)</t>
  </si>
  <si>
    <t>TRM0151</t>
  </si>
  <si>
    <t>CABLE NYAF Ø1.00MM2 (BLUE) [100M/ROLLl] (CC483-1)</t>
  </si>
  <si>
    <t>TRM0132</t>
  </si>
  <si>
    <t>CABLE NYAF Ø1.00MM2 (GREEN) [100MTR/ROLL]</t>
  </si>
  <si>
    <t>TRM0133</t>
  </si>
  <si>
    <t>CABLE NYAF Ø1.00MM2 (RED) [100MTR/ROLL] (CC463)</t>
  </si>
  <si>
    <t>TRM2160</t>
  </si>
  <si>
    <t>CABLE NYAF Ø1.40MM2 (HITAM) [100M/ROLLl]</t>
  </si>
  <si>
    <t>TRM0152</t>
  </si>
  <si>
    <t>CABLE NYAF Ø2.50 MM2 (WHITE) (100MTR/ROLL) (CC476-1)</t>
  </si>
  <si>
    <t>TRM0014</t>
  </si>
  <si>
    <t>CABLE NYAF Ø2.50MM2 (BLUE) [100MTR/ROLL] (CC486-1)</t>
  </si>
  <si>
    <t>TRM0015</t>
  </si>
  <si>
    <t>CABLE NYAF Ø2.50MM2 (GREEN) (100MTR/ROLL) (CC456)</t>
  </si>
  <si>
    <t>TRM0016</t>
  </si>
  <si>
    <t>CABLE NYAF Ø2.50MM2 (RED) [100MTR/ROLL] (CC466)</t>
  </si>
  <si>
    <t>TRM0017</t>
  </si>
  <si>
    <t>CABLE NYAF Ø4.00MM2 (BLUE) [100MTR/ROLL] (CC489)</t>
  </si>
  <si>
    <t>TRM0153</t>
  </si>
  <si>
    <t>CABLE NYAF Ø4.00MM2 (WHITE) [100M/ROLL] (CC479)</t>
  </si>
  <si>
    <t>TRM1966</t>
  </si>
  <si>
    <t>CABLE NYAF Ø6.00MM2 (WHITE) [100M/ROLL] (CC480)</t>
  </si>
  <si>
    <t>TRM0018</t>
  </si>
  <si>
    <t>CABLE TIES 200MM (100PCS) (NB097)</t>
  </si>
  <si>
    <t>TRM1641</t>
  </si>
  <si>
    <t>CLAMP HOSE BAND (KUNING)  Ø34 - Ø38 (DOUBLE WIRE CLAMP) FOR SILICONE  HOSE Ø34</t>
  </si>
  <si>
    <t>TRM2731</t>
  </si>
  <si>
    <t>CLAMP HOSE BAND (KUNING) Ø60 - Ø75 (DOUBLE WIRE CLAMP)  FOR PVC SPRING HOSE Ø60 (NB014)</t>
  </si>
  <si>
    <t>TRM1088</t>
  </si>
  <si>
    <t>CLAMP HOSE BAND Ø75-Ø80 (DOUBLE WIRE CLAMP) (NB446)</t>
  </si>
  <si>
    <t>TRM0023</t>
  </si>
  <si>
    <t>CLAMP HOSE BAND(KUNING) Ø60-Ø65 (DOUBLE WIRE CLAMP ) FOR SILICONE HOSE Ø60  (NB446)</t>
  </si>
  <si>
    <t>TRM0024</t>
  </si>
  <si>
    <t>CLAMP LATCH LOCK SUS304 (FOR ADB/ADG-15-300Z) (IAD005-6403)</t>
  </si>
  <si>
    <t>TRM0025</t>
  </si>
  <si>
    <t>CLOSE END WIRE CONNECTOR (LASDOP) KSS CE-1 JOIN SKUN (100PCS/PACK) (NB134-1)</t>
  </si>
  <si>
    <t>TRM0026</t>
  </si>
  <si>
    <t>CLOSE END WIRE CONNECTOR (LASDOP) KSS CE-2 (100PCS/PACK) (NB135-1)</t>
  </si>
  <si>
    <t>TRM1215</t>
  </si>
  <si>
    <t>CORRUGATED FLEXIBLE CONDUIT HITAM ID DIA 10MM/OD.16MM TYPE FCP-10 (50MTR./ROLL) (NB115-1)</t>
  </si>
  <si>
    <t>TRM0029</t>
  </si>
  <si>
    <t>DIN RAIL ALUMINIUM (NC231-1)</t>
  </si>
  <si>
    <t>TRM0145</t>
  </si>
  <si>
    <t>DIODA IN4002 (DN001)</t>
  </si>
  <si>
    <t>TRM3226</t>
  </si>
  <si>
    <t>DUCT TAPE (TECOM) NON ADHESIVE (4.5MMX12MTR/ROLL) (COLOR CREAM) (NA688)</t>
  </si>
  <si>
    <t>TRM3225</t>
  </si>
  <si>
    <t>DUCT TAPE (TECOM) WITH ADHESIVE (4.5MMX12MTR/ROLL) (COLOR CREAM) (NA689)</t>
  </si>
  <si>
    <t>TRM0339</t>
  </si>
  <si>
    <t>EAR PLUG 3M (NB662)</t>
  </si>
  <si>
    <t>TRM3045</t>
  </si>
  <si>
    <t>ELBOW HOSE NIPPLE 15A(1/2") X DIA.13 (BRASS BSPT) (CE004)</t>
  </si>
  <si>
    <t>TRM3497</t>
  </si>
  <si>
    <t>ELBOW HOSE NIPPLE 20A(3/4") X DIA. 19 (BRASS BSPT) (CE005)</t>
  </si>
  <si>
    <t>TRM0031</t>
  </si>
  <si>
    <t>EYE BOLT M16X2.0XL20MM MATERIAL CASTING (ZINC PLATED) (HF004)</t>
  </si>
  <si>
    <t>TRM0148</t>
  </si>
  <si>
    <t>FAN AA8382HB-AT AC200-240V C/W COVER FRAME NMB BRAND (CQ021)</t>
  </si>
  <si>
    <t>TRM0149</t>
  </si>
  <si>
    <t>FAN BROTHER UNITE MODEL: BU 8038 HA2BA AC220/240V 50/60HZ C/W COVER FRAME BESAR</t>
  </si>
  <si>
    <t>TRM0033</t>
  </si>
  <si>
    <t>FIBERGLASS SLEEVING DIA. 10MM (WHITE) (NB136-1)</t>
  </si>
  <si>
    <t>TRM0155</t>
  </si>
  <si>
    <t>FILTER CARTRIDGE CLEAR (PURE TREX) FP-10" INCLUDE FILTER (BB038-3)</t>
  </si>
  <si>
    <t>TRM2476</t>
  </si>
  <si>
    <t>FILTER CATRIDGE (POLYSPUN SEDIMENT) 10" 5MICRON BLUE PENGUIN (BB034)</t>
  </si>
  <si>
    <t>TRM2654</t>
  </si>
  <si>
    <t>FLAT WASHER / RING PLATE (S20C) M20 (ZINC PLATED)</t>
  </si>
  <si>
    <t>TRM0671</t>
  </si>
  <si>
    <t>FLAT WASHER / RING PLATE (SS400) DIA 8 LEBAR (GALVANIZED) (NB419)</t>
  </si>
  <si>
    <t>TRM0422</t>
  </si>
  <si>
    <t>FLAT WASHER / RING PLATE (SS400) M14 (GALVANIZED) (NB243)</t>
  </si>
  <si>
    <t>TRM0588</t>
  </si>
  <si>
    <t>FLAT WASHER / RING PLATE (SS400) M5 GALVANIZED (JB002)</t>
  </si>
  <si>
    <t>TRM0348</t>
  </si>
  <si>
    <t>FLAT WASHER / RING PLATE (SS400) M6 (GALVANIZED) (NB033)</t>
  </si>
  <si>
    <t>TRM0593</t>
  </si>
  <si>
    <t>FLAT WASHER / RING PLATE (SS400) M6 GALVANIZED LEBAR (NB041)</t>
  </si>
  <si>
    <t>TRM4173</t>
  </si>
  <si>
    <t>FLAT WASHER / RING PLATE (SS400) M8 GALVANIZED (NB263)</t>
  </si>
  <si>
    <t>TRM1588</t>
  </si>
  <si>
    <t>FLAT WASHER / RING PLATE (SUS304) M10</t>
  </si>
  <si>
    <t>TRM2451</t>
  </si>
  <si>
    <t>FLAT WASHER / RING PLATE (SUS304) M16 (NB455)</t>
  </si>
  <si>
    <t>TRM0414</t>
  </si>
  <si>
    <t>FLAT WASHER / RING PLATE M12 (SUS304) (NB090-3)</t>
  </si>
  <si>
    <t>TRM0161</t>
  </si>
  <si>
    <t>FLAT WASHER / RING PLATE M6 (SUS304) (NB089-1)</t>
  </si>
  <si>
    <t>TRM0592</t>
  </si>
  <si>
    <t>FLAT WASHER / RING PLATE M8 (SUS304) (NB348)</t>
  </si>
  <si>
    <t>TRM0346</t>
  </si>
  <si>
    <t>FLAT WASHER/RING PLATE (SS400) M10 (GALVANIZED) (NB242)</t>
  </si>
  <si>
    <t>TRM0157</t>
  </si>
  <si>
    <t>FLAT WASHER/RING PLATE (SS400) M12 (GALVANIZED) (NB090-1)</t>
  </si>
  <si>
    <t>TRM0347</t>
  </si>
  <si>
    <t>FLAT WASHER/RING PLATE (SS400) M4 (GALVANIZED) (NB512)</t>
  </si>
  <si>
    <t>TRM1958</t>
  </si>
  <si>
    <t>FLAT WASHER/RING PLATE (SS400) M5 (GALVANIZED)</t>
  </si>
  <si>
    <t>TRM1957</t>
  </si>
  <si>
    <t>FLAT WASHER/RING PLATE (SS400) M6 (GALVANIZED)</t>
  </si>
  <si>
    <t>TRM0158</t>
  </si>
  <si>
    <t>FLAT WASHER/RING PLATE (SUS304) M10 (NB475)</t>
  </si>
  <si>
    <t>TRM0160</t>
  </si>
  <si>
    <t>FLAT WASHER/RING PLATE (SUS304) M5 (NB1039)</t>
  </si>
  <si>
    <t>TRM0159</t>
  </si>
  <si>
    <t>FLAT WASHER/RING PLATE M4 (SUS304) (NB828-1)</t>
  </si>
  <si>
    <t>TRM3042</t>
  </si>
  <si>
    <t>FUSE GLASS 1A HANYOUNG (RF131)</t>
  </si>
  <si>
    <t>TRM3041</t>
  </si>
  <si>
    <t>FUSE HOLDER HANYOUNG HY-15-1A (RF038-1)</t>
  </si>
  <si>
    <t>TRM0612</t>
  </si>
  <si>
    <t>HEX. MUR / NUT (S20C) M4X0.7 (GALVANIZED) (NB154-1)</t>
  </si>
  <si>
    <t>TRM0296</t>
  </si>
  <si>
    <t>HEX. NUT /  MUR (S20C) M6X1.0 (GALVANIZED) (JA006)</t>
  </si>
  <si>
    <t>TRM1584</t>
  </si>
  <si>
    <t>HEX. NUT / MUR (SS400) M10X1.5 (GALVANIZED)</t>
  </si>
  <si>
    <t>TRM2677</t>
  </si>
  <si>
    <t>HEX. NUT / MUR (SS400) M20X2.5 (GALVANIZED) (NB449)</t>
  </si>
  <si>
    <t>TRM0541</t>
  </si>
  <si>
    <t>HEX. NUT / MUR (SUS304) M10X1.5 (NB133-1)</t>
  </si>
  <si>
    <t>TRM0412</t>
  </si>
  <si>
    <t>HEX. NUT / MUR (SUS304) M12X1.75 (NB276)</t>
  </si>
  <si>
    <t>TRM0540</t>
  </si>
  <si>
    <t>HEX. NUT / MUR (SUS304) M8X1.25 (NB350)</t>
  </si>
  <si>
    <t>TRM0166</t>
  </si>
  <si>
    <t>HEX. NUT/MUR (S20C) M12X1.75 (GALVANIZED) (NB418)</t>
  </si>
  <si>
    <t>TRM0167</t>
  </si>
  <si>
    <t>HEX. NUT/MUR (SS400) M10X1.5 (GALVANIZED) (NB422)</t>
  </si>
  <si>
    <t>TRM2255</t>
  </si>
  <si>
    <t>HEX. NUT/MUR (SS400) M6X0.8 (GALVANIZED</t>
  </si>
  <si>
    <t>TRM0169</t>
  </si>
  <si>
    <t>HEX. NUT/MUR (SS400) M8X1.25 (GALVANIZED) (NB542)</t>
  </si>
  <si>
    <t>TRM0036</t>
  </si>
  <si>
    <t>INK RIBBON (BLACK) LETATWIN LM-1R300B (5PCS/BOX) FOR LETATWIN LM-370A (NB304-1)</t>
  </si>
  <si>
    <t>TRM0039</t>
  </si>
  <si>
    <t>KARET DOP Ø16 FOR DF/DFG TYPE 100-300 (NB701)</t>
  </si>
  <si>
    <t>TRM1184</t>
  </si>
  <si>
    <t>KARET KURSI 3/4" DIA 19MM FOR DOP COOLER DF/DFG-200-500Z (NB708)</t>
  </si>
  <si>
    <t>TRM2832</t>
  </si>
  <si>
    <t>KSS CLOSE END WIRE CONNECTOR CE-1</t>
  </si>
  <si>
    <t>TRM2833</t>
  </si>
  <si>
    <t>KSS CLOSE END WIRE CONNECTOR CE-2</t>
  </si>
  <si>
    <t>TRM2675</t>
  </si>
  <si>
    <t>LAKBAN BENING 2" DAIMARU 48MM X 72Y</t>
  </si>
  <si>
    <t>TRM1090</t>
  </si>
  <si>
    <t>LAKBAN COKLAT 2" DAIMARU (NB389)</t>
  </si>
  <si>
    <t>TRM0046</t>
  </si>
  <si>
    <t>MARKER TUBE MOTP WHITE 3.2 (200M/ROLL) (CC104-1)</t>
  </si>
  <si>
    <t>TRM0047</t>
  </si>
  <si>
    <t>MARKER TUBE MOTP WHITE 4.0 (200MTR/ROL) (NB353)</t>
  </si>
  <si>
    <t>TRM0048</t>
  </si>
  <si>
    <t>MASKER KAIN MERK "VPRO" (50PCS/BOX) (NB695)</t>
  </si>
  <si>
    <t>TRM0712</t>
  </si>
  <si>
    <t>METAL CONNECTOR N/B FLANGE 20MM CHROME 2 PIN</t>
  </si>
  <si>
    <t>TRM1091</t>
  </si>
  <si>
    <t>METAL CONNECTOR SINOCONTEC PLUG+ FLANGE SOCKET 19M-2A+2E-10 (2PIN) ZINC ALLOY (NCC20-2)</t>
  </si>
  <si>
    <t>TRM2170</t>
  </si>
  <si>
    <t>METAL CONNECTOR SINOCONTEC PLUG+FLANGE SOCKETT 19M-3A+3E (2PIN) ZINC ALLOY</t>
  </si>
  <si>
    <t>TRM2344</t>
  </si>
  <si>
    <t>NYLON CABLE GLAND PG-13.5 (BLACK) FOR (DIA.20.4 HOLE) (NB479-1)</t>
  </si>
  <si>
    <t>TRM0054</t>
  </si>
  <si>
    <t>PLASTIC CLIP CLEAR 10CMX7CM [100PCS/PCK] (NB067-1)</t>
  </si>
  <si>
    <t>TRM0056</t>
  </si>
  <si>
    <t>PLASTIC CLIP CLEAR 25CM X 16CM [100PCS/PCK] (NB066-1)</t>
  </si>
  <si>
    <t>TRM0052</t>
  </si>
  <si>
    <t>PLASTIC CLIP CLEAR 25CM X 35CM (NB413)</t>
  </si>
  <si>
    <t>TRM0220</t>
  </si>
  <si>
    <t>POLYFOAM 200CMX100CMX2.6CM (NB059)</t>
  </si>
  <si>
    <t>TRM1172</t>
  </si>
  <si>
    <t>RELAY NOISE FILTER TDK LAMBDA RSEL-2003A 2A</t>
  </si>
  <si>
    <t>TRM0062</t>
  </si>
  <si>
    <t>REVOLVING WARNING LIGHT LTE-1101 AC220V (RED) W/O BUZZER (RG091)</t>
  </si>
  <si>
    <t>TRM0063</t>
  </si>
  <si>
    <t>ROCK WOOL DIA. 16 X DIA. 26 (BESAR) (NB390)</t>
  </si>
  <si>
    <t>TRM0066</t>
  </si>
  <si>
    <t>SARUNG TANGAN KAIN 5 BENANG BULLDOZER (12 PSG/PACK) (NB643)</t>
  </si>
  <si>
    <t>TRM0697</t>
  </si>
  <si>
    <t>SARUNG TANGAN KARET SENSI SIZE : XL (NB145)</t>
  </si>
  <si>
    <t>TRM2883</t>
  </si>
  <si>
    <t>SEKRUP BAJA RINGAN (6MM X 12MM) (NA014-1)</t>
  </si>
  <si>
    <t>TRM2700</t>
  </si>
  <si>
    <t>SELANG AIR (CLEAR) OD DIA 12 (1MTR/ROLL) (BG009)</t>
  </si>
  <si>
    <t>TRM0475</t>
  </si>
  <si>
    <t>SELANG FLEXIBLE CONDUIT 10MM</t>
  </si>
  <si>
    <t>TRM0067</t>
  </si>
  <si>
    <t>SHEET RUBBER SILICONE, SIZE : 1MX1MXT.2MM (NB202-1)</t>
  </si>
  <si>
    <t>TRM0228</t>
  </si>
  <si>
    <t>SILICA GEL 250GR/PACK (NB282)</t>
  </si>
  <si>
    <t>TRM0068</t>
  </si>
  <si>
    <t>SMALL LATCH SUS304 FOR ADG-15-300Z (IAD005-6404)</t>
  </si>
  <si>
    <t>TRM0069</t>
  </si>
  <si>
    <t>SOCKET CONNECTOR 2 PIN FEMALE (NB471)</t>
  </si>
  <si>
    <t>TRM0070</t>
  </si>
  <si>
    <t>SOCKET CONNECTOR 2 PIN MALE (NB470)</t>
  </si>
  <si>
    <t>TRM0071</t>
  </si>
  <si>
    <t>SPIRAL WRAPPING BAND KSS KS-10 (NB143)</t>
  </si>
  <si>
    <t>TRM4042</t>
  </si>
  <si>
    <t>SPRING WADHER / RING PER M20 (S20C) (ZINC PLATED)</t>
  </si>
  <si>
    <t>TRM2653</t>
  </si>
  <si>
    <t>SPRING WASHER / RING PER (S20C) M20 (ZINC PLATED) (JH063)</t>
  </si>
  <si>
    <t>TRM3113</t>
  </si>
  <si>
    <t>SPRING WASHER / RING PER (SS304) M5</t>
  </si>
  <si>
    <t>TRM1909</t>
  </si>
  <si>
    <t>SPRING WASHER / RING PER (SS400) M10 (GALVANIZED)</t>
  </si>
  <si>
    <t>TRM2463</t>
  </si>
  <si>
    <t>SPRING WASHER / RING PER (SS400) M12 (GALVANIZED)</t>
  </si>
  <si>
    <t>TRM2252</t>
  </si>
  <si>
    <t>SPRING WASHER / RING PER (SS400) M8 GALVANIZED</t>
  </si>
  <si>
    <t>TRM1907</t>
  </si>
  <si>
    <t>SPRING WASHER / RING PER (SUS304) M10 (NB476)</t>
  </si>
  <si>
    <t>TRM0539</t>
  </si>
  <si>
    <t>SPRING WASHER / RING PER (SUS304) M8 (NB347)</t>
  </si>
  <si>
    <t>TRM0413</t>
  </si>
  <si>
    <t>SPRING WASHER / RING PER M12 (SUS304) (NB090-4)</t>
  </si>
  <si>
    <t>TRM0590</t>
  </si>
  <si>
    <t>SPRING WASHER / RING PER M4 (SUS304)  (NB829-1)</t>
  </si>
  <si>
    <t>TRM0670</t>
  </si>
  <si>
    <t>SPRING WASHER / RING PER M5 (S20C) (ZINC PLATED) (JB003)</t>
  </si>
  <si>
    <t>TRM0301</t>
  </si>
  <si>
    <t>SPRING WASHER / RING PER M6 (SS400) (ZINC PLATED) (NB345)</t>
  </si>
  <si>
    <t>TRM0591</t>
  </si>
  <si>
    <t>SPRING WASHER / RING PER M6 (SUS304) (JH156)</t>
  </si>
  <si>
    <t>TRM0542</t>
  </si>
  <si>
    <t>SPRING WASHER / RING PER M8 (S20C) (ZINC PLATED) (JH057)</t>
  </si>
  <si>
    <t>TRM0343</t>
  </si>
  <si>
    <t>SPRING WASHER/RING PER (S20C) M16 (ZINC PLATED) (JH061)</t>
  </si>
  <si>
    <t>TRM0073</t>
  </si>
  <si>
    <t>SUPER SEAL SIZE : 7MMX3MMX15M (15MTR/ROLL) (NB356-1)</t>
  </si>
  <si>
    <t>TRM0074</t>
  </si>
  <si>
    <t>SUPPORTING TERMINAL BLOCK UPUN UTD-10G (ENC235)</t>
  </si>
  <si>
    <t>TRM0076</t>
  </si>
  <si>
    <t>SUS304 BALL VALVE MODENTIC 8A (1/4") C/W YELLOW LONG HANDLE (CS102-2)</t>
  </si>
  <si>
    <t>TRM0333</t>
  </si>
  <si>
    <t>SWING CHECK VALVE 2 " BRASS MDT (DN15-DN50)</t>
  </si>
  <si>
    <t>TRM1911</t>
  </si>
  <si>
    <t>SWING CHECK VALVE BRASS DOUBLE LIN DART 2"</t>
  </si>
  <si>
    <t>TRM0673</t>
  </si>
  <si>
    <t>TAPING SCREW 8X3/8" GALVANIZED (NB368)</t>
  </si>
  <si>
    <t>TRM3496</t>
  </si>
  <si>
    <t>TEE 15A(1/2"XL51MM) (FCMB/GALVANIZED) (CT010)</t>
  </si>
  <si>
    <t>TRM0230</t>
  </si>
  <si>
    <t>TERMINAL BLOCK HANYOUNG HYBT15-2 FOR ADG-SERIES (RD203)</t>
  </si>
  <si>
    <t>TRM0232</t>
  </si>
  <si>
    <t>TERMINAL BLOCK UPUN UTD 15 (RD207)</t>
  </si>
  <si>
    <t>TRM0233</t>
  </si>
  <si>
    <t>TERMINAL BLOCK UPUN UTD 24 (NB159)</t>
  </si>
  <si>
    <t>TRM0234</t>
  </si>
  <si>
    <t>TERMINAL LUG RING R1.25-3 (SPECIAL) (NB901)</t>
  </si>
  <si>
    <t>TRM0235</t>
  </si>
  <si>
    <t>TERMINAL LUG RING R1.25-4 (SPECIAL) (NB982)</t>
  </si>
  <si>
    <t>TRM1213</t>
  </si>
  <si>
    <t>TERMINAL LUG RING TYPE KSS R1.25-6 [100PCS./PACK] (SKUN RING POLOR FOR WIRE 0.50-1.50MM) (NB144-1)</t>
  </si>
  <si>
    <t>TRM0236</t>
  </si>
  <si>
    <t>TERMINAL LUG RING TYPE KSS R3.5-6 [100PCS/PACK] (SKUN RING POLOS FOR WIRE 2.50-4.00MM2) (CC029)</t>
  </si>
  <si>
    <t>TRM1194</t>
  </si>
  <si>
    <t>THREADED ROD M8 [SUS304] (1METER/PC) FOR SHAFT HONEYCOMB DFG-SERIES (IDF0050-7315)</t>
  </si>
  <si>
    <t>TRM2374</t>
  </si>
  <si>
    <t>TIMING BELT 150-MT-S5M-1225 FOR HONEYCOMB DFG-200/300Z (IDF0200-7012)</t>
  </si>
  <si>
    <t>TRM3714</t>
  </si>
  <si>
    <t>TOGGLE SWITCH TAB 1021  2 KAKI  ON-OFF</t>
  </si>
  <si>
    <t>TRM1010</t>
  </si>
  <si>
    <t>TOWER LIGHT LED (Q-LIGHT) ST45L-BZ 2-2 220-AC220V RAG BRACKET TYPE QZ18 (COLOR=RED, BLUE) C/W BUZZER</t>
  </si>
  <si>
    <t>TRM1341</t>
  </si>
  <si>
    <t>TOWER LIGHT LED (Q-LIGHT) ST56L AC/DC-12-24V QTG50KF-BZ-2-110/220 BRACKET TYPE SZ18 (COLOR=YELLOW, RED) C/W BUZZER</t>
  </si>
  <si>
    <t>TRM0271</t>
  </si>
  <si>
    <t>U  BOLT &amp; NUT SS41 1" (BESAR) PLATING [THREAD X W X H = 1/4" (PITCH M8) X 48.26 X 7]</t>
  </si>
  <si>
    <t>TRM0912</t>
  </si>
  <si>
    <t>U BOLT &amp; NUT SS41 1 1/4" PLATING (P=50mmxH=57mm) for Pipe Dia 38mm (NB615)</t>
  </si>
  <si>
    <t>TRM1196</t>
  </si>
  <si>
    <t>U BOLT GALVANIZED 11/2" (5/16"X1/2"X3/4"X1"X11/2"X2 M8)</t>
  </si>
  <si>
    <t>TRM0154</t>
  </si>
  <si>
    <t>UNDERSINK WATER FILTER (BLUE PENGUIN) FP-10" C/W CATRIDGE (POLYSPUN SEDIMENT) (BB038-5)</t>
  </si>
  <si>
    <t>TRM3210</t>
  </si>
  <si>
    <t>VINYL WIRE KSS V-38 (BLACK) [100PCS./PACK] (CC239)</t>
  </si>
  <si>
    <t>TRM3209</t>
  </si>
  <si>
    <t>VINYL WIRE KSS V-38 (GREEN) [100PCS./PACK] (CC241)</t>
  </si>
  <si>
    <t>TRM3157</t>
  </si>
  <si>
    <t>WARNING LIGHTT LTD-1101MJ / RED MULTI 220V + BUZZER</t>
  </si>
  <si>
    <t>TRM1782</t>
  </si>
  <si>
    <t>WATER MUR 25A(1") (FCMB/GALVANIZED) (WMG-005)</t>
  </si>
  <si>
    <t>TRM0240</t>
  </si>
  <si>
    <t>UPUN STEEL END STOPPER (NB142)</t>
  </si>
  <si>
    <t>TRM0118</t>
  </si>
  <si>
    <t>BOLT (BAUT L) M8XP1.25XL25MM (GALVANIZED) (NB031-1)</t>
  </si>
  <si>
    <t>TRM0130</t>
  </si>
  <si>
    <t>CABLE AWG26 Ø0. 20 MM2 (BLUE) (600M/ROLL) (CC481A-1)</t>
  </si>
  <si>
    <t>TRM0030</t>
  </si>
  <si>
    <t>EYE BOLT M12X1.75XL20MM MATERIAL CASTING (ZINC PLATED) (HF003-1)</t>
  </si>
  <si>
    <t>TRM0241</t>
  </si>
  <si>
    <t>TIMING BELT S5M-800 FOR HONEYCOMB DFG-15/150Z (IDF0050-7313)</t>
  </si>
  <si>
    <t>TRM1929</t>
  </si>
  <si>
    <t>TOWER LIGHT LED (Q-LIGHT) ST45LF-BZ 3-3 220-AC220V RAG (RED, AMBER, GREEN) BRACKET TYPE SZ18 C/W BUZZER (FLASHING) FOR DRYER TYPE (RG087)</t>
  </si>
  <si>
    <t>TRM1723</t>
  </si>
  <si>
    <t>BOLT (BAUT HEXAGONAL) M10XP1.5XL100MM (SUS304)</t>
  </si>
  <si>
    <t>TRM1135</t>
  </si>
  <si>
    <t>CLAMP HOSE BAND (KUNING) Ø76 - Ø80 (DOUBLE WIRE CLAMP) (NB1152)</t>
  </si>
  <si>
    <t>TRM0065</t>
  </si>
  <si>
    <t>RTV MULTI PERPOSE SEALENT DOW CORNING 732 CLEAR 300ML (ANB026)</t>
  </si>
  <si>
    <t>TRM1008</t>
  </si>
  <si>
    <t>TOWER LIGHT LED (Q-LIGHT) ST45L-BZ 2-2 220-AC220V RG BRACKET TYPE QZ18 (COLOR=RED, GREEN) C/W BUZZER (RG085)</t>
  </si>
  <si>
    <t>TRM0376</t>
  </si>
  <si>
    <t>HEX. LOCK NUT / MUR (SUS304) M8X1.25 (JC155)</t>
  </si>
  <si>
    <t>TRM0034</t>
  </si>
  <si>
    <t>FIBERGLASS SLEEVING DIA. 15MM (WHITE) (NB619)</t>
  </si>
  <si>
    <t>TRM0041</t>
  </si>
  <si>
    <t>KNOB STAR COLOR BLACK FOR FILTER CASE (M10) (IDR0015-6401)</t>
  </si>
  <si>
    <t>TRM0231</t>
  </si>
  <si>
    <t>TERMINAL BLOCK UPUN UTD 10 (RD201)</t>
  </si>
  <si>
    <t>TRM3124</t>
  </si>
  <si>
    <t>TOWER LIGHT (Q-LIGHT) QTG50LF-BZ 2-2 220-AC220V RA (RED,AMBER) BRACKET TYPE SZ18 C/W BUZZER FOR MTA TYPE</t>
  </si>
  <si>
    <t>TRM0114</t>
  </si>
  <si>
    <t>BOLT (BAUT L) M6XP1.0XL20MM (SUS304) (NB204)</t>
  </si>
  <si>
    <t>TRM0020</t>
  </si>
  <si>
    <t>CASTER WHEEL NYLON (KASTOR RODA) 4" W/O BRAKE (ODØ 101.6MM) SWIPEL FLANGE (SLOT 70MMX85MM Ø12) (CD037)</t>
  </si>
  <si>
    <t>TRM1158</t>
  </si>
  <si>
    <t>CLAMP HOSE BAND (SILVER) Ø50-Ø55 (DOUBLE WIRE CLAMP) FOR SILICON HOSE Ø51 (SUNTRAC) (NB065)</t>
  </si>
  <si>
    <t>TRM0010</t>
  </si>
  <si>
    <t>BRONZE SWING CHECK VALVE 25A KUNINGAN PN16 DRAT "DOUBLE LIN" (1") (CS066)</t>
  </si>
  <si>
    <t>TRM0075</t>
  </si>
  <si>
    <t>SURGE KILLER TNR140471 (CZ001)</t>
  </si>
  <si>
    <t>TRM0061</t>
  </si>
  <si>
    <t>REVOLVING WARNING LIGHT (RED) DV LTD-1101J MULTI VOLT 220VAC, 24VDC, 12VDC C/W BUZZER (RG141)</t>
  </si>
  <si>
    <t>TRM0040</t>
  </si>
  <si>
    <t>KEYLESS CAM LOCK TYPE MS720 (CL005)</t>
  </si>
  <si>
    <t>TRM0044</t>
  </si>
  <si>
    <t>LOCTITE 565 GLUE (FOR MTC) (NB182)</t>
  </si>
  <si>
    <t>TRM0038</t>
  </si>
  <si>
    <t>HINGE (ENGSEL PANEL) BLACK 40X40X9MM (IDR0015-6400)</t>
  </si>
  <si>
    <t>TRM0105</t>
  </si>
  <si>
    <t>BOLT (BAUT L) M10XP1.5XL25MM (GALVANIZED) (HC089)</t>
  </si>
  <si>
    <t>TRM0019</t>
  </si>
  <si>
    <t>CASTER WHEEL NYLON (KASTOR RODA) 4" C/W BRAKE (ODØ 101.6MM) SWIPEL FLANGE (SLOT 70MMX85MM Ø12) (CD038)</t>
  </si>
  <si>
    <t>TRM0119</t>
  </si>
  <si>
    <t>BOLT (BAUT L) M8XP1.25XL25MM (SUS304) (NB037-1)</t>
  </si>
  <si>
    <t>TRM0229</t>
  </si>
  <si>
    <t>TERMINAL BLOCK COVER BLOX ACRILIC F/FJ 30W TRANSPARAN (GREEN) (RD206)</t>
  </si>
  <si>
    <t>TRM0349</t>
  </si>
  <si>
    <t>V-BELT HONEY COMB 150-MT-55M-1225 FOR DFG-200/300Z (IDF0200-7012)</t>
  </si>
  <si>
    <t>TRM0137</t>
  </si>
  <si>
    <t>CABLE TIES 100MM (1000PCS/PCK) (NB051)</t>
  </si>
  <si>
    <t>TRM0037</t>
  </si>
  <si>
    <t>HASP (LOCK DOOR HOPPER) TYPE PP-21-2 (SUS304) (DJ004)</t>
  </si>
  <si>
    <t>TRM0007</t>
  </si>
  <si>
    <t>BRASS BALL VALVE 25A (LONG HANDLE ORANGE) MDT MODEL BV-600 (1") (CS095-1)</t>
  </si>
  <si>
    <t>TRM1157</t>
  </si>
  <si>
    <t>CLAMP HOSE BAND (SILVER) Ø53-Ø58 (DOUBLE WIRE CLAMP) FOR PVC HOSE DIA 48 (SUNTRAC) (NB061-2)</t>
  </si>
  <si>
    <t>TRM0021</t>
  </si>
  <si>
    <t>CLAMP HOSE BAND(SILVER) Ø34 - Ø38 (DOUBLE WIRE CLAMP) FOR SILICONE HOSE DIA 34 (SUNTRAC) (NB339-1)</t>
  </si>
  <si>
    <t>TRM0295</t>
  </si>
  <si>
    <t>BRONZE SWING CHECK VALVE 32A (1 1/4")</t>
  </si>
  <si>
    <t>TRM0518</t>
  </si>
  <si>
    <t>CLAMP HOSE BAND Ø43 - Ø48 (DOUBLE WIRE CLAMP) (NB060)</t>
  </si>
  <si>
    <t>TRM0045</t>
  </si>
  <si>
    <t>MAGNETIC SENSOR LEAD SWITCH SENSOR SNS CSI-U DC 12-24V 2 WIRE (DL030)</t>
  </si>
  <si>
    <t>TRM0022</t>
  </si>
  <si>
    <t>CLAMP HOSE BAND Ø50-Ø60 (DOUBLE WIRE CLAMP) (NB795)</t>
  </si>
  <si>
    <t>TRM2152</t>
  </si>
  <si>
    <t>U BOLT 11/2" PLATING (P-57MMXH-68MM) FOR PIPE 48MM</t>
  </si>
  <si>
    <t>TRM0032</t>
  </si>
  <si>
    <t>FAN BROTHER UNITE MODEL: BU 8038 HA2BA AC220/240V 50/60HZ C/W COVER FRAME (CQ026)</t>
  </si>
  <si>
    <t>TRM1255</t>
  </si>
  <si>
    <t>3M STRICKER REFLEKTOR MERAH COPRSU559</t>
  </si>
  <si>
    <t xml:space="preserve">MCM </t>
  </si>
  <si>
    <t>TRM1251</t>
  </si>
  <si>
    <t>ALAS MEKANIK WIPRO SPTOOL93</t>
  </si>
  <si>
    <t>TRM1367</t>
  </si>
  <si>
    <t>ANTI SPATER NABAKEM SPA-ZERO SP400 COPRSU144N</t>
  </si>
  <si>
    <t>TRM1252</t>
  </si>
  <si>
    <t>ANTING BAMPER SHACKLE 1/2 MTC-SP615</t>
  </si>
  <si>
    <t>TRM1246</t>
  </si>
  <si>
    <t>BESI NAKO 10MMX6000 RMBARX081</t>
  </si>
  <si>
    <t>TRM2120</t>
  </si>
  <si>
    <t>BUKU HANDOVER LOGBOOK</t>
  </si>
  <si>
    <t>TRM1595</t>
  </si>
  <si>
    <t>BUKU INSPEKSI PESAWWAT ANGKAT &amp; ANGKUT FORKLIFT</t>
  </si>
  <si>
    <t>TRM1594</t>
  </si>
  <si>
    <t>BUKU INSPEKSI PESAWWAT ANGKAT &amp; ANGKUT HAND PALLET</t>
  </si>
  <si>
    <t>TRM1597</t>
  </si>
  <si>
    <t>BUKU INSPEKSI PESAWWAT ANGKAT &amp; ANGKUT MOTORIZE</t>
  </si>
  <si>
    <t>TRM1596</t>
  </si>
  <si>
    <t>BUKU INSPEKSI PESAWWAT ANGKAT &amp; ANGKUT REACHTRUCK</t>
  </si>
  <si>
    <t>TRM1598</t>
  </si>
  <si>
    <t>BUKU KERJA OPERATOR</t>
  </si>
  <si>
    <t>TRM1794</t>
  </si>
  <si>
    <t>BUKU SAFETY DAN QUALITY TRIGGER</t>
  </si>
  <si>
    <t>TRM1368</t>
  </si>
  <si>
    <t>CARBON BRUSHES, BOSH COPRSU365N</t>
  </si>
  <si>
    <t>TRM1254</t>
  </si>
  <si>
    <t>CAT DUCO PENTA MERAH 5460-34023 COCATX036</t>
  </si>
  <si>
    <t>TRM2121</t>
  </si>
  <si>
    <t>CELLOTAPE PANFIX</t>
  </si>
  <si>
    <t>TRM01203</t>
  </si>
  <si>
    <t>CLAMP C TEKIRO 8" MTC-SP856</t>
  </si>
  <si>
    <t>TRM1292</t>
  </si>
  <si>
    <t>EHS CARDS</t>
  </si>
  <si>
    <t>TRM2040</t>
  </si>
  <si>
    <t>EMERGENCY EXIT</t>
  </si>
  <si>
    <t>TRM2089</t>
  </si>
  <si>
    <t>EMERGENCY EXIT UNTUK DINDING</t>
  </si>
  <si>
    <t>TRM2090</t>
  </si>
  <si>
    <t>EMERGENCY EXIT UNTUK LANTAI</t>
  </si>
  <si>
    <t>TRM2044</t>
  </si>
  <si>
    <t>EMERGENCY EXIT, GLOW IN THE DARK</t>
  </si>
  <si>
    <t>TRM2171</t>
  </si>
  <si>
    <t>ERT CARD PVC</t>
  </si>
  <si>
    <t>TRM2041</t>
  </si>
  <si>
    <t>FORKLIFT, ASAHU REFLECTIVE</t>
  </si>
  <si>
    <t>TRM0268</t>
  </si>
  <si>
    <t>GATEPASS HMS (KARAWANG)</t>
  </si>
  <si>
    <t>TRM0267</t>
  </si>
  <si>
    <t>GATEPASS PMID</t>
  </si>
  <si>
    <t>TRM1264</t>
  </si>
  <si>
    <t>HANDOVER LOGBOOK</t>
  </si>
  <si>
    <t>TRM1238</t>
  </si>
  <si>
    <t>HOLLOW 40 X 40 X 1.5MM X 6000 MTC-SP419N</t>
  </si>
  <si>
    <t>TRM2656</t>
  </si>
  <si>
    <t>KAPE DEMPUL (COPRSU748)</t>
  </si>
  <si>
    <t>TRM1342</t>
  </si>
  <si>
    <t>KEDOK LAS FULL FACE (GAGANG) COPRSU373</t>
  </si>
  <si>
    <t>TRM1343</t>
  </si>
  <si>
    <t>KEDOK LAS FULL FACE COPRSU038N</t>
  </si>
  <si>
    <t>TRM1248</t>
  </si>
  <si>
    <t>KUNCI TEKIRO KOMBINASI PASRING 13 SPTOOL95</t>
  </si>
  <si>
    <t>TRM1249</t>
  </si>
  <si>
    <t>KUNCI TEKIRO KOMBINASI PASRING 17 SPTOOL94</t>
  </si>
  <si>
    <t>TRM1250</t>
  </si>
  <si>
    <t>LOCTITE THRADLOCKER 243 BIRU COPRSU566</t>
  </si>
  <si>
    <t>TRM2043</t>
  </si>
  <si>
    <t>MANUFER FORKLIFT, ASAHI REFLECTIVE</t>
  </si>
  <si>
    <t>TRM2045</t>
  </si>
  <si>
    <t>MOTORIZED, ASAHI REFLECTIVE</t>
  </si>
  <si>
    <t>TRM2046</t>
  </si>
  <si>
    <t>PEJALAN KAKI DAN FORKLIFT ASAHI</t>
  </si>
  <si>
    <t>TRM2042</t>
  </si>
  <si>
    <t>PEJALAN KAKI, ASAHI REFLECTIVE</t>
  </si>
  <si>
    <t>TRM1160</t>
  </si>
  <si>
    <t>PERMIT GENERAL A3</t>
  </si>
  <si>
    <t>TRM1159</t>
  </si>
  <si>
    <t>PERMIT KETINGGIAN_VERSI LAMA</t>
  </si>
  <si>
    <t>TRM1263</t>
  </si>
  <si>
    <t>PERMIT RUANG TERBATAS</t>
  </si>
  <si>
    <t>TRM1161</t>
  </si>
  <si>
    <t>QUALITY TRIGGER FL KRW PLANT</t>
  </si>
  <si>
    <t>TRM1247</t>
  </si>
  <si>
    <t>RING PER M10 PUTIH COPRSU565</t>
  </si>
  <si>
    <t>TRM3319</t>
  </si>
  <si>
    <t>RODA BESI 4 INCH BENTUK V MTC-SP103N</t>
  </si>
  <si>
    <t>TRM3535</t>
  </si>
  <si>
    <t>RODA BESI 4" BENTUK V</t>
  </si>
  <si>
    <t>TRM3321</t>
  </si>
  <si>
    <t>RODA KARET 2 INCH MATI</t>
  </si>
  <si>
    <t>TRM3320</t>
  </si>
  <si>
    <t>RODA KARET 2" (HIDUP + REM ) @1 SET MTC-SP584</t>
  </si>
  <si>
    <t>TRM1239</t>
  </si>
  <si>
    <t>RODA KARET UK 4" MTC-SP103N</t>
  </si>
  <si>
    <t>TRM1321</t>
  </si>
  <si>
    <t>SAFETY TRIGGER</t>
  </si>
  <si>
    <t>TRM01202</t>
  </si>
  <si>
    <t>SELANG VACUM CLEANER, FLEXIBLE DUCT HOSE 2" BRAND TRILLIUN MTC-SP855</t>
  </si>
  <si>
    <t>TRM3682</t>
  </si>
  <si>
    <t>SELNAG VACUM CLEANER , FLEXIBLE DUCT HOSE 2" BRAND TRILIUN</t>
  </si>
  <si>
    <t>TRM2248</t>
  </si>
  <si>
    <t>STICKER 9 ITEM BAHAN CUTTING ASAHI REFLECTOR</t>
  </si>
  <si>
    <t>TRM01038</t>
  </si>
  <si>
    <t>STICKER 9 ITEM; 15 x 21CM</t>
  </si>
  <si>
    <t>TRM01041</t>
  </si>
  <si>
    <t>STICKER 9 ITEM; 3 x 3CM</t>
  </si>
  <si>
    <t>TRM01040</t>
  </si>
  <si>
    <t>STICKER 9 ITEM; 5 x 5CM</t>
  </si>
  <si>
    <t>TRM01039</t>
  </si>
  <si>
    <t>STICKER 9 ITEM; 6 x 5CM</t>
  </si>
  <si>
    <t>TRM2172</t>
  </si>
  <si>
    <t>STICKER BAHAYA BENDA JATUH</t>
  </si>
  <si>
    <t>TRM1796</t>
  </si>
  <si>
    <t>STICKER GEMBOK DAN KOTAK (BIRU)</t>
  </si>
  <si>
    <t>TRM2266</t>
  </si>
  <si>
    <t>STICKER LIMBAH B3+ CUTTING</t>
  </si>
  <si>
    <t>TRM1939</t>
  </si>
  <si>
    <t>STICKER STOP, THINK, ACT</t>
  </si>
  <si>
    <t>TRM1827</t>
  </si>
  <si>
    <t>STICKER UNTUK LANTAI SEGI TIGA SAMA SISI 75CM</t>
  </si>
  <si>
    <t>EA</t>
  </si>
  <si>
    <t>TRM2047</t>
  </si>
  <si>
    <t>STOP ASAHI REFLECTIVE</t>
  </si>
  <si>
    <t>TRM2091</t>
  </si>
  <si>
    <t>TAG - DO NOT OPERATE</t>
  </si>
  <si>
    <t>TRM1344</t>
  </si>
  <si>
    <t>TALI TRACKBELT WH-SP001</t>
  </si>
  <si>
    <t>TRM1253</t>
  </si>
  <si>
    <t>TOWING BALL 2" 6000LBS SPTOOL92</t>
  </si>
  <si>
    <t>TRM1204</t>
  </si>
  <si>
    <t>DEMPUL, SANPOLAC (COPRSU053N)</t>
  </si>
  <si>
    <t>TRM3314</t>
  </si>
  <si>
    <t>OBAT DEMPUL COPRSUU935</t>
  </si>
  <si>
    <t>TRM4093</t>
  </si>
  <si>
    <t>ALARM BELL 4"</t>
  </si>
  <si>
    <t>MDA</t>
  </si>
  <si>
    <t>TRM3866</t>
  </si>
  <si>
    <t>ALAT POTONG PLAT WIPRO TYPE 3-6R</t>
  </si>
  <si>
    <t>TRM3622</t>
  </si>
  <si>
    <t>ALKOHOL</t>
  </si>
  <si>
    <t>TRM3599</t>
  </si>
  <si>
    <t>ALPARA / MOLEXFLU</t>
  </si>
  <si>
    <t>TRM3611</t>
  </si>
  <si>
    <t>AMBROXOL</t>
  </si>
  <si>
    <t>TRM3598</t>
  </si>
  <si>
    <t>ANTASIDA DOEN</t>
  </si>
  <si>
    <t>TRM3476</t>
  </si>
  <si>
    <t>ANTI STATIC GLOVES</t>
  </si>
  <si>
    <t>TRM3981</t>
  </si>
  <si>
    <t>APAR  1KG</t>
  </si>
  <si>
    <t>TRM3236</t>
  </si>
  <si>
    <t>APAR ABC DRY CHEMICAL POWDER 3,5KG TONATA</t>
  </si>
  <si>
    <t>TRM3235</t>
  </si>
  <si>
    <t>APAR CHECKSHEET A5</t>
  </si>
  <si>
    <t>TRM3833</t>
  </si>
  <si>
    <t>APRON</t>
  </si>
  <si>
    <t>TRM3589</t>
  </si>
  <si>
    <t>APRON DENGAN LENGAN</t>
  </si>
  <si>
    <t>TRM3588</t>
  </si>
  <si>
    <t>BACK SUPPORT</t>
  </si>
  <si>
    <t>TRM3619</t>
  </si>
  <si>
    <t>BETADINE</t>
  </si>
  <si>
    <t>TRM3604</t>
  </si>
  <si>
    <t>CAVIPLEX</t>
  </si>
  <si>
    <t>TRM3401</t>
  </si>
  <si>
    <t>COTTON GLOVES</t>
  </si>
  <si>
    <t>TRM3624</t>
  </si>
  <si>
    <t>COTTON MEDICAL</t>
  </si>
  <si>
    <t>TRM3607</t>
  </si>
  <si>
    <t>CTM</t>
  </si>
  <si>
    <t>TRM3601</t>
  </si>
  <si>
    <t>DEXAMETHASONE</t>
  </si>
  <si>
    <t>TRM3621</t>
  </si>
  <si>
    <t>DOUBLE SPIKE</t>
  </si>
  <si>
    <t>TRM3402</t>
  </si>
  <si>
    <t>EAR PLUG</t>
  </si>
  <si>
    <t>TRM4087</t>
  </si>
  <si>
    <t>EMERGENCY BELL</t>
  </si>
  <si>
    <t>TRM4094</t>
  </si>
  <si>
    <t>EMERGENCY PANIC BUTTON</t>
  </si>
  <si>
    <t>TRM3706</t>
  </si>
  <si>
    <t>EMERGENCY ROTARY LAMP RED</t>
  </si>
  <si>
    <t>TRM3615</t>
  </si>
  <si>
    <t>EYE FLUSH</t>
  </si>
  <si>
    <t>TRM3606</t>
  </si>
  <si>
    <t>FEMINAX</t>
  </si>
  <si>
    <t>TRM3595</t>
  </si>
  <si>
    <t>FILTER MASKER CHEMICAL</t>
  </si>
  <si>
    <t>TRM3403</t>
  </si>
  <si>
    <t>FLOORING TAPE RED, TESSA</t>
  </si>
  <si>
    <t>TRM3238</t>
  </si>
  <si>
    <t>FRIE BLANKET 1.2 X 1.8 GOSAVE</t>
  </si>
  <si>
    <t>TRM3240</t>
  </si>
  <si>
    <t>GLOVES CUTTON</t>
  </si>
  <si>
    <t>TRM3608</t>
  </si>
  <si>
    <t>HISTIGO</t>
  </si>
  <si>
    <t>TRM3596</t>
  </si>
  <si>
    <t>IBUPROFEN</t>
  </si>
  <si>
    <t>TRM4097</t>
  </si>
  <si>
    <t>KABEL POWER</t>
  </si>
  <si>
    <t>TRM4096</t>
  </si>
  <si>
    <t>KABEL PUWING 2X0,75</t>
  </si>
  <si>
    <t>TRM3768</t>
  </si>
  <si>
    <t>KACA CLEAR</t>
  </si>
  <si>
    <t>TRM3406</t>
  </si>
  <si>
    <t>KACAMATA WELDING  WHITE</t>
  </si>
  <si>
    <t>TRM3405</t>
  </si>
  <si>
    <t>KACAMATA WELDING BLACK</t>
  </si>
  <si>
    <t>TRM3429</t>
  </si>
  <si>
    <t>KNIT GLOVES COTTON/RAJUT</t>
  </si>
  <si>
    <t>TRM3616</t>
  </si>
  <si>
    <t>KOTAK OBAT</t>
  </si>
  <si>
    <t>TRM3585</t>
  </si>
  <si>
    <t>LAB GOWN</t>
  </si>
  <si>
    <t>TRM3600</t>
  </si>
  <si>
    <t>LANSOPRAZOLE</t>
  </si>
  <si>
    <t>TRM3478</t>
  </si>
  <si>
    <t>LAP MICROFIBER</t>
  </si>
  <si>
    <t>TRM3583</t>
  </si>
  <si>
    <t>LATEX GLOVES</t>
  </si>
  <si>
    <t>TRM3590</t>
  </si>
  <si>
    <t>MASKER CHEMICAL</t>
  </si>
  <si>
    <t>TRM3408</t>
  </si>
  <si>
    <t>MEDICAL ABSORBENT COTTON</t>
  </si>
  <si>
    <t>TRM3586</t>
  </si>
  <si>
    <t>MEDICAL MASK</t>
  </si>
  <si>
    <t>TRM3612</t>
  </si>
  <si>
    <t>MINYAK KAYU PUTIH</t>
  </si>
  <si>
    <t>TRM3602</t>
  </si>
  <si>
    <t>MOLAGIT</t>
  </si>
  <si>
    <t>TRM3620</t>
  </si>
  <si>
    <t>NaCL</t>
  </si>
  <si>
    <t>TRM3605</t>
  </si>
  <si>
    <t>ONDANSETERON</t>
  </si>
  <si>
    <t>TRM3625</t>
  </si>
  <si>
    <t>PAINT PEN TOYO GREY WHITE</t>
  </si>
  <si>
    <t>TRM3671</t>
  </si>
  <si>
    <t>PAINT PEN WHITE, GREY</t>
  </si>
  <si>
    <t>TRM3597</t>
  </si>
  <si>
    <t>PARACETAMOL</t>
  </si>
  <si>
    <t>TRM3592</t>
  </si>
  <si>
    <t>PENUTUP KEPALA</t>
  </si>
  <si>
    <t>TRM3618</t>
  </si>
  <si>
    <t>PLESTER CEPAT</t>
  </si>
  <si>
    <t>TRM3617</t>
  </si>
  <si>
    <t>PLESTER ROLL</t>
  </si>
  <si>
    <t>TRM3409</t>
  </si>
  <si>
    <t>POLYSTER COTTON GLOVES / POLYSTER KATUN PUTIH</t>
  </si>
  <si>
    <t>TRM3593</t>
  </si>
  <si>
    <t>SAFETY EAR PROTECTION / EAR MUFF</t>
  </si>
  <si>
    <t>TRM3591</t>
  </si>
  <si>
    <t>SAFETY GLASSES BENING</t>
  </si>
  <si>
    <t>TRM3587</t>
  </si>
  <si>
    <t>SAFETY HARNESS</t>
  </si>
  <si>
    <t>TRM3239</t>
  </si>
  <si>
    <t>SAFETY HELMET PUTIH</t>
  </si>
  <si>
    <t>TRM3237</t>
  </si>
  <si>
    <t>SAFETY LINE</t>
  </si>
  <si>
    <t>TRM3241</t>
  </si>
  <si>
    <t>SAFETY SHOES RDS SHOES</t>
  </si>
  <si>
    <t>TRM3758</t>
  </si>
  <si>
    <t>SAFETY TAPE FLOOR</t>
  </si>
  <si>
    <t>TRM3609</t>
  </si>
  <si>
    <t>SALEP BIOPLACENTON</t>
  </si>
  <si>
    <t>TRM310</t>
  </si>
  <si>
    <t>SALEP THROMBOPHOB</t>
  </si>
  <si>
    <t>TRM3614</t>
  </si>
  <si>
    <t>SALONPAS GEL</t>
  </si>
  <si>
    <t>TRM3603</t>
  </si>
  <si>
    <t>SANGOBION</t>
  </si>
  <si>
    <t>TRM3404</t>
  </si>
  <si>
    <t>SARUNG TANGAN CUT RESISTANCE COMET</t>
  </si>
  <si>
    <t>TRM3411</t>
  </si>
  <si>
    <t>SARUNG TANGAN KANVAS</t>
  </si>
  <si>
    <t>TRM3407</t>
  </si>
  <si>
    <t>SARUNG TANGAN LAS PANJANG</t>
  </si>
  <si>
    <t>TRM3412</t>
  </si>
  <si>
    <t>SARUNG TANGAN PU HITAM</t>
  </si>
  <si>
    <t>TRM3477</t>
  </si>
  <si>
    <t>SARUNG TANGAN PU PUTIH</t>
  </si>
  <si>
    <t>TRM3757</t>
  </si>
  <si>
    <t>SEGITIGA APAR</t>
  </si>
  <si>
    <t>TRM3850</t>
  </si>
  <si>
    <t>STRAPING BAND 15 MM</t>
  </si>
  <si>
    <t>TRM4095</t>
  </si>
  <si>
    <t>TB 1512 - 1503 CMA-RA-115</t>
  </si>
  <si>
    <t>TRM3626</t>
  </si>
  <si>
    <t>VASELINE</t>
  </si>
  <si>
    <t>TRM3648</t>
  </si>
  <si>
    <t>VASELINE INDUSTRI (FOR MACHINE) WHITE</t>
  </si>
  <si>
    <t>TRM3613</t>
  </si>
  <si>
    <t>VITACIMIN</t>
  </si>
  <si>
    <t>TRM3594</t>
  </si>
  <si>
    <t>WELDING MASK</t>
  </si>
  <si>
    <t>TRM3623</t>
  </si>
  <si>
    <t>WHITE ELECTRICITY STAIN REMOVER OIL</t>
  </si>
  <si>
    <t>BTL</t>
  </si>
  <si>
    <t>TRM3584</t>
  </si>
  <si>
    <t>WRISTRAP</t>
  </si>
  <si>
    <t>TRM3184</t>
  </si>
  <si>
    <t>HOSE ROCKY-Y UK 9,5 1 ROLL 100METER</t>
  </si>
  <si>
    <t>MDH</t>
  </si>
  <si>
    <t>TRM0360</t>
  </si>
  <si>
    <t>HOUSING 3 LAMPU TL LED</t>
  </si>
  <si>
    <t>MI</t>
  </si>
  <si>
    <t>TRM0311</t>
  </si>
  <si>
    <t>MESIN PEMBERSIH PIPA MAMPET MODEL GQ 75 20 METER</t>
  </si>
  <si>
    <t>TRM0256</t>
  </si>
  <si>
    <t>URINAL TOTO UW447JNM (COMPLETE SET TOTO)</t>
  </si>
  <si>
    <t>TRM0260</t>
  </si>
  <si>
    <t>WASTAVEL TOTO LW 829 CJ</t>
  </si>
  <si>
    <t>TRM1412</t>
  </si>
  <si>
    <t>AC ADAPTOR 12V 3A DVR/CCTV</t>
  </si>
  <si>
    <t>NOMOS</t>
  </si>
  <si>
    <t>TRM1601</t>
  </si>
  <si>
    <t>AIR FILTER REGULATOR BFC 3000 (2TABUNG)</t>
  </si>
  <si>
    <t>TRM0602</t>
  </si>
  <si>
    <t>ALLENT BOLT M3 X 15 MM</t>
  </si>
  <si>
    <t>TRM0600</t>
  </si>
  <si>
    <t>ALLENT BOLT M4X40MM-COMPLETE</t>
  </si>
  <si>
    <t>TRM1029</t>
  </si>
  <si>
    <t>ALLENT BOLT M6 X 10</t>
  </si>
  <si>
    <t>TRM0893</t>
  </si>
  <si>
    <t>ALLENT BOLT M6 X 30MM</t>
  </si>
  <si>
    <t>TRM0911</t>
  </si>
  <si>
    <t>ALLENT BOLT M8 X 40MM (COMPLETE)</t>
  </si>
  <si>
    <t>TRM1600</t>
  </si>
  <si>
    <t>ARMATURE ANGER DISC GRINDER MAKITA M0900</t>
  </si>
  <si>
    <t>TRM1030</t>
  </si>
  <si>
    <t>AS DRAT M5 X 1000MM STAINLESS</t>
  </si>
  <si>
    <t>TRM0896</t>
  </si>
  <si>
    <t>BALL VALVE BUTTERFLY 1/2" CLASS 175 BRASS KITZ</t>
  </si>
  <si>
    <t>TRM1364</t>
  </si>
  <si>
    <t>BEARING 2213 EK/CE SKF</t>
  </si>
  <si>
    <t>TRM0393</t>
  </si>
  <si>
    <t>BOLT &amp; NUT M10X20</t>
  </si>
  <si>
    <t>TRM0909</t>
  </si>
  <si>
    <t>BOLT + NUT 1/2 X 4 1/2 COMPLETE</t>
  </si>
  <si>
    <t>TRM0908</t>
  </si>
  <si>
    <t>BOLT + NUT 1/2" X 1 1/2" - COMPLETE</t>
  </si>
  <si>
    <t>TRM0930</t>
  </si>
  <si>
    <t>BOLT + NUT M4X20 - SS - COMPLETE (L BAJA)</t>
  </si>
  <si>
    <t>TRM0894</t>
  </si>
  <si>
    <t>BOLT COUNTERSUNK M6 X 25</t>
  </si>
  <si>
    <t>TRM0895</t>
  </si>
  <si>
    <t>BOLT COUNTERSUNK M6 X 40MM</t>
  </si>
  <si>
    <t>TRM0891</t>
  </si>
  <si>
    <t>BOLT COUNTERSUNK M8 X 30MM (L)</t>
  </si>
  <si>
    <t>TRM0374</t>
  </si>
  <si>
    <t>CENTRIFUGAL BLOWER TYPE DE 125X2 (DOUBLE) DIRECT-410CM 2800RPM</t>
  </si>
  <si>
    <t>TRM1935</t>
  </si>
  <si>
    <t>CERAMIC WATER FILTER CANDLE</t>
  </si>
  <si>
    <t>TRM1933</t>
  </si>
  <si>
    <t>CLEAL CP FILTER</t>
  </si>
  <si>
    <t>TRM1604</t>
  </si>
  <si>
    <t>CLEM ARDE JEPITAN GROUNDING BUAYA ALUMUNIUM</t>
  </si>
  <si>
    <t>TRM0758</t>
  </si>
  <si>
    <t>CONTAINER BOX HANATA HNT-2003 BLUE</t>
  </si>
  <si>
    <t>TRM0759</t>
  </si>
  <si>
    <t>CONTAINER BOX HANATA HNT-2003 YELLOW</t>
  </si>
  <si>
    <t>TRM0760</t>
  </si>
  <si>
    <t>CONTAINER BOX HANATA HNT-2102 BLUE</t>
  </si>
  <si>
    <t>TRM0716</t>
  </si>
  <si>
    <t>CONTAINER BOX HNT-2100M GREEN</t>
  </si>
  <si>
    <t>TRM0717</t>
  </si>
  <si>
    <t>CONTAINER BOX HNT-2100M YELLOW</t>
  </si>
  <si>
    <t>TRM0337</t>
  </si>
  <si>
    <t>CUTTING WHEEL 100X3X16 (NIPPON RESIBON)</t>
  </si>
  <si>
    <t>TRM0515</t>
  </si>
  <si>
    <t>DYNA BOLT M10 X 60MM</t>
  </si>
  <si>
    <t>TRM0933</t>
  </si>
  <si>
    <t>DYNABOLT M12MM X 50MM</t>
  </si>
  <si>
    <t>TRM0637</t>
  </si>
  <si>
    <t>ELECTRICAL TAPE - NITTO TAPE</t>
  </si>
  <si>
    <t>TRM0892</t>
  </si>
  <si>
    <t>END MILL DIA 16MM NACHI</t>
  </si>
  <si>
    <t>TRM0527</t>
  </si>
  <si>
    <t>EXHAUSE FAN (AXIAL ROTARY) MODEL : 120 X 120 X 38HSL 220V</t>
  </si>
  <si>
    <t>TRM0603</t>
  </si>
  <si>
    <t>EXHAUST FAN (6") DIA 15 CM 220V ESN-D06/1-YL</t>
  </si>
  <si>
    <t>TRM1474</t>
  </si>
  <si>
    <t>FILTER AIR SUMUR 4SSGC-KINOYAMA</t>
  </si>
  <si>
    <t>TRM1166</t>
  </si>
  <si>
    <t>FILTER MERK GARUDA</t>
  </si>
  <si>
    <t>TRM1165</t>
  </si>
  <si>
    <t>FILTER MERK T33</t>
  </si>
  <si>
    <t>TRM1932</t>
  </si>
  <si>
    <t>FILTER MERK T33 (TASTE &amp; ODOR REMOVAL)</t>
  </si>
  <si>
    <t>TRM1541</t>
  </si>
  <si>
    <t>FLOAT  SWITCH DRAKOS (X3MYTS TSZ) 3  METER KABEL</t>
  </si>
  <si>
    <t>TRM1363</t>
  </si>
  <si>
    <t>HOUSING BEARING SNL 513-611 SKF</t>
  </si>
  <si>
    <t>TRM0935</t>
  </si>
  <si>
    <t>INBUS M6 X 10MM HITAM</t>
  </si>
  <si>
    <t>TRM1411</t>
  </si>
  <si>
    <t>INBUS M6 X 8MM</t>
  </si>
  <si>
    <t>TRM0477</t>
  </si>
  <si>
    <t>INLET VALVE SPRING - 2031</t>
  </si>
  <si>
    <t>TRM0476</t>
  </si>
  <si>
    <t>INLET VALVE SPRING - 2041</t>
  </si>
  <si>
    <t>TRM0638</t>
  </si>
  <si>
    <t>INTERNAL SNAP RING (H) DIA 50MM</t>
  </si>
  <si>
    <t>TRM1473</t>
  </si>
  <si>
    <t>ISI STAPLES AIR NILLER 1022J</t>
  </si>
  <si>
    <t>TRM1602</t>
  </si>
  <si>
    <t>KABEL LISTRIK 1 X 4MM (TUNGGAL)</t>
  </si>
  <si>
    <t>TRM1475</t>
  </si>
  <si>
    <t>KAIN POLAR KATUN PUTIH RX-8"/BUUFFING COTTON POLISHING WHEEL</t>
  </si>
  <si>
    <t>TRM1476</t>
  </si>
  <si>
    <t>KOMPON LONGSOL (BATU HIJAU METAL POLISH)</t>
  </si>
  <si>
    <t>TRM0813</t>
  </si>
  <si>
    <t>KRISBOW EMERGENCY LAMP 23 WATT</t>
  </si>
  <si>
    <t>TRM0934</t>
  </si>
  <si>
    <t>LAMPU (BOLAM) LED, 10.5 WATT - PHILIPS</t>
  </si>
  <si>
    <t>TRM1599</t>
  </si>
  <si>
    <t>LAMPU DOWNLIGHT (PHILIPS) DN027C G3 9W D15 6INCH</t>
  </si>
  <si>
    <t>TRM0514</t>
  </si>
  <si>
    <t>LAMPU PJU - LED COBRA 50 WATT SA-7006</t>
  </si>
  <si>
    <t>TRM0512</t>
  </si>
  <si>
    <t>LAMPU TEMBAK LED 60/50 WATT 220V</t>
  </si>
  <si>
    <t>TRM0513</t>
  </si>
  <si>
    <t>LAMPU TL 16 WATT - LED</t>
  </si>
  <si>
    <t>TRM0526</t>
  </si>
  <si>
    <t>LEMARI UNO UST-1533B 79X40X116 CM</t>
  </si>
  <si>
    <t>TRM0601</t>
  </si>
  <si>
    <t>LOCK NUT - M4</t>
  </si>
  <si>
    <t>TRM0636</t>
  </si>
  <si>
    <t>MATA PISAU PELUBANG KERTAS KANGARO HDP-2320N</t>
  </si>
  <si>
    <t>TRM0423</t>
  </si>
  <si>
    <t>MECHANICAL SEAL M32N 24/4SR-AQ166 ALLWEILER</t>
  </si>
  <si>
    <t>TRM0812</t>
  </si>
  <si>
    <t>MEJA KAYU LIPAT PUTIH SINGLE 120 X 40CM</t>
  </si>
  <si>
    <t>TRM0441</t>
  </si>
  <si>
    <t>MEJA KERJA UEOD 3031 120X60X75CM (MEJA LACI)</t>
  </si>
  <si>
    <t>TRM0467</t>
  </si>
  <si>
    <t>MESIN BOR LISTRIK 6412 - MAKITA</t>
  </si>
  <si>
    <t>TRM0809</t>
  </si>
  <si>
    <t>MESIN POTONG RUMPUT TASCO 2 TAK</t>
  </si>
  <si>
    <t>TRM0338</t>
  </si>
  <si>
    <t>MOTOR BLOWER 2" CKE</t>
  </si>
  <si>
    <t>TRM0929</t>
  </si>
  <si>
    <t>NIPLE 1/8" GREAS L CRUOM</t>
  </si>
  <si>
    <t>TRM0910</t>
  </si>
  <si>
    <t>NUT M20</t>
  </si>
  <si>
    <t>TRM1031</t>
  </si>
  <si>
    <t>NUT M5 STAINLESS</t>
  </si>
  <si>
    <t>TRM0479</t>
  </si>
  <si>
    <t>OUTLET VALVE PLATE - 2531</t>
  </si>
  <si>
    <t>TRM0478</t>
  </si>
  <si>
    <t>OUTLET VALVE SPRING - 2541</t>
  </si>
  <si>
    <t>TRM0617</t>
  </si>
  <si>
    <t>PLASTIK PVC CURTAIN 0.5MM X 1200MM</t>
  </si>
  <si>
    <t>TRM0123</t>
  </si>
  <si>
    <t>PROXIMITY SWITCH DMSJ-020 2 WIRE</t>
  </si>
  <si>
    <t>TRM0615</t>
  </si>
  <si>
    <t>RANTAI PLASTIK 8MM X 25MTR - KUNING</t>
  </si>
  <si>
    <t>TRM1366</t>
  </si>
  <si>
    <t>RING FRB 10/120 SKF</t>
  </si>
  <si>
    <t>TRM0395</t>
  </si>
  <si>
    <t>RING PER M10</t>
  </si>
  <si>
    <t>TRM0394</t>
  </si>
  <si>
    <t>RING PLAT M10 T=2MM</t>
  </si>
  <si>
    <t>TRM1032</t>
  </si>
  <si>
    <t>RING PLATE SIZE 1/4" M6</t>
  </si>
  <si>
    <t>TRM0613</t>
  </si>
  <si>
    <t>RODA NYLON 6" REM</t>
  </si>
  <si>
    <t>TRM0936</t>
  </si>
  <si>
    <t>ROLLER GRAVITY 38MM X 450MM X SHAFT AS 12MM</t>
  </si>
  <si>
    <t>TRM0618</t>
  </si>
  <si>
    <t>SCOTTLIGHT 45CM X 15 MTR BAHAN VYNIL-PROFIX (BLACK)</t>
  </si>
  <si>
    <t>TRM0620</t>
  </si>
  <si>
    <t>SCOTTLIGHT 45CM X 15 MTR BAHAN VYNIL-PROFIX (GREEN)</t>
  </si>
  <si>
    <t>TRM0619</t>
  </si>
  <si>
    <t>SCOTTLIGHT 45CM X 15 MTR BAHAN VYNIL-PROFIX (RED)</t>
  </si>
  <si>
    <t>TRM0621</t>
  </si>
  <si>
    <t>SCOTTLIGHT 45CM X 15 MTR BAHAN VYNIL-PROFIX (YELLOW)</t>
  </si>
  <si>
    <t>TRM0436</t>
  </si>
  <si>
    <t>SEAL TAPE HIGH TEMP (PACKING)-NITTOTAPE CES</t>
  </si>
  <si>
    <t>TRM1365</t>
  </si>
  <si>
    <t>SEAL TSN513 C SKF</t>
  </si>
  <si>
    <t>TRM1934</t>
  </si>
  <si>
    <t>SEDIMENT FILTER</t>
  </si>
  <si>
    <t>TRM0814</t>
  </si>
  <si>
    <t>SNAP RING PLIERS 7 INCH (UJUNG BENGKOK)</t>
  </si>
  <si>
    <t>TRM0815</t>
  </si>
  <si>
    <t>SPINDLE KEY FOR ACETYLINE</t>
  </si>
  <si>
    <t>TRM0616</t>
  </si>
  <si>
    <t>STICK CONE TINGGI 115CM</t>
  </si>
  <si>
    <t>TRM1603</t>
  </si>
  <si>
    <t>STIK AS GROUNDING ARDE TEMBAGA 1/2" X 1MTR</t>
  </si>
  <si>
    <t>TRM1542</t>
  </si>
  <si>
    <t>VALVE KUNINGAN 1/4" ONDA</t>
  </si>
  <si>
    <t>TRM1182</t>
  </si>
  <si>
    <t>PALLET 1100X1100X120MM - CP 112 BIRU</t>
  </si>
  <si>
    <t>OPI</t>
  </si>
  <si>
    <t>TRM1183</t>
  </si>
  <si>
    <t>PALLET 1100X1100X120MM - CP 112 HITAM</t>
  </si>
  <si>
    <t>TRM1362</t>
  </si>
  <si>
    <t>RAK FRAME DAN LENSA 810X765X1760</t>
  </si>
  <si>
    <t>TRM1210</t>
  </si>
  <si>
    <t>TROLEY SUPPLY KARTON 1100X780X1150</t>
  </si>
  <si>
    <t>TRM3081</t>
  </si>
  <si>
    <t>FRAME ALUMUNIUM PANJANG 6000 MM</t>
  </si>
  <si>
    <t>PAT</t>
  </si>
  <si>
    <t>TRM2977</t>
  </si>
  <si>
    <t>KERTAS POLOS TEBAL B4 UK 27X36.8 MM</t>
  </si>
  <si>
    <t>TRM2976</t>
  </si>
  <si>
    <t>PLASTIK MAP BESAR B4 27X36.8 MM</t>
  </si>
  <si>
    <t>TRM0336</t>
  </si>
  <si>
    <t>AIR BLOW GUN</t>
  </si>
  <si>
    <t>PI</t>
  </si>
  <si>
    <t>TRM3311</t>
  </si>
  <si>
    <t>BALL VALVE KITZ 1 1/4 INCH (PID0000301)</t>
  </si>
  <si>
    <t>TRM3310</t>
  </si>
  <si>
    <t>BALL VALVE KITZ 1 INCH (PID0000300)</t>
  </si>
  <si>
    <t>TRM3307</t>
  </si>
  <si>
    <t>BITS PH2 100MM DIA. 5MM (PID0000295)</t>
  </si>
  <si>
    <t>TRM0778</t>
  </si>
  <si>
    <t>CABLE NYYHY 4 X 2.5 MM</t>
  </si>
  <si>
    <t>TRM1631</t>
  </si>
  <si>
    <t>CABLE TIES 20CM</t>
  </si>
  <si>
    <t>TRM2711</t>
  </si>
  <si>
    <t>CABLE TIES 250X4,8MM</t>
  </si>
  <si>
    <t>TRM1632</t>
  </si>
  <si>
    <t>CABLE TIES 40CM</t>
  </si>
  <si>
    <t>TRM2710</t>
  </si>
  <si>
    <t>CABLE TIES 500X8MM</t>
  </si>
  <si>
    <t>TRM0779</t>
  </si>
  <si>
    <t>COUPLER 2 WAY + CONNECTOR 3/4</t>
  </si>
  <si>
    <t>TRM0334</t>
  </si>
  <si>
    <t>CUTTING WHEEL 100X1.5X16</t>
  </si>
  <si>
    <t>TRM1586</t>
  </si>
  <si>
    <t>DIE GRINDER WOL WAX COMPLETE 3INC/8CM</t>
  </si>
  <si>
    <t>TRM1587</t>
  </si>
  <si>
    <t>DIE GRINDER WOL WAX COMPLETE 5INC/13CM</t>
  </si>
  <si>
    <t>TRM2704</t>
  </si>
  <si>
    <t>DUCT TAPE LEM</t>
  </si>
  <si>
    <t>TRM2703</t>
  </si>
  <si>
    <t>DUCT TAPE NON LEM</t>
  </si>
  <si>
    <t>TRM3574</t>
  </si>
  <si>
    <t>ELECTRICAL WIRE CONNECTION CE2 AWG 16-14</t>
  </si>
  <si>
    <t>TRM3575</t>
  </si>
  <si>
    <t>ELECTRICAL WIRE CONNECTION CE5 AWG 12-10</t>
  </si>
  <si>
    <t>TRM2706</t>
  </si>
  <si>
    <t>EXTENTION ELECTRIC POWER 6 HOLES 16A</t>
  </si>
  <si>
    <t>TRM0255</t>
  </si>
  <si>
    <t>FLASH DISK BOX FOR KEEPING FLASH DISK</t>
  </si>
  <si>
    <t>TRM2702</t>
  </si>
  <si>
    <t>HANDLE SHOCK L 3/4 X 20 INCH</t>
  </si>
  <si>
    <t>TRM2705</t>
  </si>
  <si>
    <t>INSULATION PIPE CT-T0222</t>
  </si>
  <si>
    <t>TRM2713</t>
  </si>
  <si>
    <t>L KEY 3MM T HANDLE BALLPOINT</t>
  </si>
  <si>
    <t>TRM2837</t>
  </si>
  <si>
    <t>LABORATY BOTTLE 250 ML</t>
  </si>
  <si>
    <t>TRM3563</t>
  </si>
  <si>
    <t>LED LAMP 11W 11001M 3000K (YELLOW)</t>
  </si>
  <si>
    <t>TRM0252</t>
  </si>
  <si>
    <t>LED PANEL LIGHT L:1200MM 220-240V 36-44W</t>
  </si>
  <si>
    <t>TRM0772</t>
  </si>
  <si>
    <t>LOCK OUT TAG OUT</t>
  </si>
  <si>
    <t>TRM3161</t>
  </si>
  <si>
    <t>LONG FUNNEL (PID0000275)</t>
  </si>
  <si>
    <t>TRM0775</t>
  </si>
  <si>
    <t>MCB 3P, 16 A</t>
  </si>
  <si>
    <t>TRM0335</t>
  </si>
  <si>
    <t>MCB SCHNEIDER 3P/40A</t>
  </si>
  <si>
    <t>TRM2712</t>
  </si>
  <si>
    <t>MICRO AIR GRINDER</t>
  </si>
  <si>
    <t>TRM0250</t>
  </si>
  <si>
    <t>NBR SEAL RING KIT NITRILE RUBBER O-RING</t>
  </si>
  <si>
    <t>TRM3989</t>
  </si>
  <si>
    <t>OIL CASTROL GEAR 80W-90</t>
  </si>
  <si>
    <t>TRM0249</t>
  </si>
  <si>
    <t>POLYURETHANE TUBE DIA 16X12MM</t>
  </si>
  <si>
    <t>TRM2715</t>
  </si>
  <si>
    <t>PORTABLE GAS CYLINDER</t>
  </si>
  <si>
    <t>TRM1545</t>
  </si>
  <si>
    <t>PRESSING MACHINE FAN PANEL AC 220/240V</t>
  </si>
  <si>
    <t>TRM0248</t>
  </si>
  <si>
    <t>PROTECTION FOAM 150X150X10MM</t>
  </si>
  <si>
    <t>TRM3287</t>
  </si>
  <si>
    <t>QUICK COUPLER PM 20 (1/4 INCH) (PID0000290)</t>
  </si>
  <si>
    <t>TRM3288</t>
  </si>
  <si>
    <t>QUICK COUPLER SF 30 (3/8 INCH) (PID0000291)</t>
  </si>
  <si>
    <t>TRM3286</t>
  </si>
  <si>
    <t>QUICK COUPLER SM 20 (1/4 INCH) (PID0000289)</t>
  </si>
  <si>
    <t>TRM0291</t>
  </si>
  <si>
    <t>RIBBON CARTRIDGE PRINTER STAR SP700 SP7</t>
  </si>
  <si>
    <t>TRM2822</t>
  </si>
  <si>
    <t>RUBBER COUPLING</t>
  </si>
  <si>
    <t>TRM1822</t>
  </si>
  <si>
    <t>SCRAPER 3M</t>
  </si>
  <si>
    <t>TRM2826</t>
  </si>
  <si>
    <t>SCREW BIT PH2 (+) L.100MM</t>
  </si>
  <si>
    <t>TRM2827</t>
  </si>
  <si>
    <t>SCREW BIT PH2 (+) L.65MM</t>
  </si>
  <si>
    <t>TRM2836</t>
  </si>
  <si>
    <t>SEALENT SHINETSU KE45W-100 WHITE</t>
  </si>
  <si>
    <t>TRM2835</t>
  </si>
  <si>
    <t>SEALENT SIKASIL 701 BLACK</t>
  </si>
  <si>
    <t>TRM3289</t>
  </si>
  <si>
    <t>SEALENT TEROSON MS 930 WHITE 310ML (PID0000292)</t>
  </si>
  <si>
    <t>TRM0597</t>
  </si>
  <si>
    <t>SHENPAI NYLON 6" RIGID</t>
  </si>
  <si>
    <t>TRM2707</t>
  </si>
  <si>
    <t>SILVER SPRAY PAINT 300CC</t>
  </si>
  <si>
    <t>TRM2714</t>
  </si>
  <si>
    <t>SILVER WELDING</t>
  </si>
  <si>
    <t>TRM0776</t>
  </si>
  <si>
    <t>SOCKET FEMALE 20 A / BOSS B56SO520</t>
  </si>
  <si>
    <t>TRM0773</t>
  </si>
  <si>
    <t>SPRAY GUN S-2-08F</t>
  </si>
  <si>
    <t>TRM2708</t>
  </si>
  <si>
    <t>STOP CONTACT 2 HOLES 16A</t>
  </si>
  <si>
    <t>TRM2709</t>
  </si>
  <si>
    <t>STOP CONTACT 4 HOLES 16A</t>
  </si>
  <si>
    <t>TRM0253</t>
  </si>
  <si>
    <t>TERMINAL BLOCK CABLE 0.08-4MM 3 LINE 32A</t>
  </si>
  <si>
    <t>TRM0251</t>
  </si>
  <si>
    <t>THERMAL OVERLOAD SCHNEIDER LRD14 7A-10A</t>
  </si>
  <si>
    <t>TRM3371</t>
  </si>
  <si>
    <t>TL LED LAMP (PID0000303)</t>
  </si>
  <si>
    <t>TRM2716</t>
  </si>
  <si>
    <t>TOOL BIT T30 L20MM WITH HOLES</t>
  </si>
  <si>
    <t>TRM0254</t>
  </si>
  <si>
    <t>TRAY CABLE + COVER 100MMX50MM 18M</t>
  </si>
  <si>
    <t>TRM1684</t>
  </si>
  <si>
    <t>WATER JET CLEANER &amp; SUPPORTING TOOLS</t>
  </si>
  <si>
    <t>TRM3309</t>
  </si>
  <si>
    <t>WATER MUR 1 1/4 INCH (PID0000299)</t>
  </si>
  <si>
    <t>TRM3308</t>
  </si>
  <si>
    <t>WATER MUR 1 INCH (PID0000298)</t>
  </si>
  <si>
    <t>TRM3990</t>
  </si>
  <si>
    <t>WOOL FELT POLISHING AS 2.3MM</t>
  </si>
  <si>
    <t>TRM3074</t>
  </si>
  <si>
    <t>PAPER TRAY MEAT MARKET (P195XL125XT25MM) BROWN KRAFT 350 GSM, POLOS</t>
  </si>
  <si>
    <t>PPR</t>
  </si>
  <si>
    <t>TRM2301</t>
  </si>
  <si>
    <t>PAPER TRAY MEAT MARKET (P195XL125XT25)</t>
  </si>
  <si>
    <t>TRM0855</t>
  </si>
  <si>
    <t>BAUT + MUR + RING 1CM X 4 MM</t>
  </si>
  <si>
    <t>PRC</t>
  </si>
  <si>
    <t>TRM0856</t>
  </si>
  <si>
    <t>BAUT + MUR + RING 2CM X 4 MM</t>
  </si>
  <si>
    <t>TRM0857</t>
  </si>
  <si>
    <t>BAUT + MUR + RING 3CM X 4MM</t>
  </si>
  <si>
    <t>TRM0858</t>
  </si>
  <si>
    <t>BAUT + MUR + RING 4CM X 4MM</t>
  </si>
  <si>
    <t>TRM0913</t>
  </si>
  <si>
    <t>BOX PANEL 20X17X12 TEBAL 1.2MM</t>
  </si>
  <si>
    <t>TRM0876</t>
  </si>
  <si>
    <t>CONECTOR 15KW 32A - 3 PHASE SCHNEIDER</t>
  </si>
  <si>
    <t>TRM0875</t>
  </si>
  <si>
    <t>CONTACTOR 11KW 32A SCHNEIDER</t>
  </si>
  <si>
    <t>TRM0995</t>
  </si>
  <si>
    <t>DOUBLE TAPE TAHAN PANAS SAMPAI 80 DERAJAT</t>
  </si>
  <si>
    <t>TRM0867</t>
  </si>
  <si>
    <t>ELCB 40A 3PHASE SCHNEIDER</t>
  </si>
  <si>
    <t>TRM1039</t>
  </si>
  <si>
    <t>ISOLASI KABEL NITTO 3/4 INCH X 25M</t>
  </si>
  <si>
    <t>TRM1713</t>
  </si>
  <si>
    <t>KAP HDK 30CN SET BOX TRAFO SEGI 8 SET HPIT 250W CN KOMPONEN PHILIPS (HPIT LAMP)</t>
  </si>
  <si>
    <t>TRM1455</t>
  </si>
  <si>
    <t>KONEKTOR POWER</t>
  </si>
  <si>
    <t>TRM1456</t>
  </si>
  <si>
    <t>KONEKTOR VIIDO SET</t>
  </si>
  <si>
    <t>TRM0914</t>
  </si>
  <si>
    <t>LAKBAN KUNING 5 CM X 33 CM</t>
  </si>
  <si>
    <t>TRM1481</t>
  </si>
  <si>
    <t>LAMPU DOWNLIGHT 9W PHILIPS</t>
  </si>
  <si>
    <t>TRM1480</t>
  </si>
  <si>
    <t>LAMPU LED 80 WATT PHILIPS</t>
  </si>
  <si>
    <t>TRM0872</t>
  </si>
  <si>
    <t>LAMPU PANEL ( KUNING )</t>
  </si>
  <si>
    <t>TRM0871</t>
  </si>
  <si>
    <t>LAMPU PANEL ( MERAH )</t>
  </si>
  <si>
    <t>TRM1559</t>
  </si>
  <si>
    <t>LIMIT SWITCH CZ-7120 10A 250V AC FORT</t>
  </si>
  <si>
    <t>TRM1560</t>
  </si>
  <si>
    <t>LIMIT SWITCH CZ-7311 AC-15 10A 250 VAC DC-13 0,3A/220VDC EN60947 FORT</t>
  </si>
  <si>
    <t>TRM0859</t>
  </si>
  <si>
    <t>MATA BOR  BESI 4 MM</t>
  </si>
  <si>
    <t>TRM1620</t>
  </si>
  <si>
    <t>MATA BOR HOLE SAW STAINLESS 100MM</t>
  </si>
  <si>
    <t>TRM0865</t>
  </si>
  <si>
    <t>MCCB 100 A 3 PHASE SCHNEIDER</t>
  </si>
  <si>
    <t>TRM0866</t>
  </si>
  <si>
    <t>MCCB 200A 3 PHASE SCHNEIDER</t>
  </si>
  <si>
    <t>TRM1471</t>
  </si>
  <si>
    <t>MCCB 25A 3P 7.5KA SCHNEIDER</t>
  </si>
  <si>
    <t>TRM0915</t>
  </si>
  <si>
    <t>MODUL HYDROLIK W800801-1 DC 12V</t>
  </si>
  <si>
    <t>TRM0901</t>
  </si>
  <si>
    <t>PANEL BOX PLAT 2MM 40X20X30 T.2</t>
  </si>
  <si>
    <t>TRM0900</t>
  </si>
  <si>
    <t>PANEL BOX PLAT 2MM 40X60X20 T.2</t>
  </si>
  <si>
    <t>TRM1562</t>
  </si>
  <si>
    <t>PILOT LAMP HIJAU AC 22 16 DS (kecil) ( 20 Pcs / Box)</t>
  </si>
  <si>
    <t>TRM1561</t>
  </si>
  <si>
    <t>PILOT LAMP HIJAU AC 220 20Ma (besar)  ( 10 Pcs/Box )</t>
  </si>
  <si>
    <t>TRM1563</t>
  </si>
  <si>
    <t>POWER PUSH BUTTON TBSS-330 3P 30A 3,7Kw FORT</t>
  </si>
  <si>
    <t>TRM0868</t>
  </si>
  <si>
    <t>PUSH BOTTOM START / CHEMCO</t>
  </si>
  <si>
    <t>TRM0869</t>
  </si>
  <si>
    <t>PUSH BOTTOM STOP / CHEMCO</t>
  </si>
  <si>
    <t>TRM1472</t>
  </si>
  <si>
    <t>SELANG FLEXIBLE 20MM MERK BOSS</t>
  </si>
  <si>
    <t>TRM0874</t>
  </si>
  <si>
    <t>SELECTOR VOLTMETER</t>
  </si>
  <si>
    <t>TRM0861</t>
  </si>
  <si>
    <t>SKUN KABEL 10MM</t>
  </si>
  <si>
    <t>TRM0864</t>
  </si>
  <si>
    <t>SKUN KABEL RING 3MM</t>
  </si>
  <si>
    <t>TRM0863</t>
  </si>
  <si>
    <t>SKUN KABEL RING 6MM</t>
  </si>
  <si>
    <t>TRM1038</t>
  </si>
  <si>
    <t>SOLATIF BAKAR (HITAM) 1.5MM</t>
  </si>
  <si>
    <t>TRM1036</t>
  </si>
  <si>
    <t>SOLATIF BAKAR (HITAM) 10MM</t>
  </si>
  <si>
    <t>TRM1037</t>
  </si>
  <si>
    <t>SOLATIF BAKAR (HITAM) 2.5MM</t>
  </si>
  <si>
    <t>TRM0877</t>
  </si>
  <si>
    <t>STOP KONTAK 4 LUBANG BROCO</t>
  </si>
  <si>
    <t>TRM0862</t>
  </si>
  <si>
    <t>STOP KONTAK OUTBOW</t>
  </si>
  <si>
    <t>TRM1639</t>
  </si>
  <si>
    <t>TIMER MESIN L-BAR (OMRON H3BA N8H)</t>
  </si>
  <si>
    <t>TRM0873</t>
  </si>
  <si>
    <t>VOLT METER ( 1.5 - 500 V - AK.96 )</t>
  </si>
  <si>
    <t>TRM1004</t>
  </si>
  <si>
    <t>WILECTRIC 3P 100A</t>
  </si>
  <si>
    <t>TRM0459</t>
  </si>
  <si>
    <t>LAKBAN BENING (104) 48MM X 500M</t>
  </si>
  <si>
    <t>TRM0506</t>
  </si>
  <si>
    <t>ACRYLIC # 2L</t>
  </si>
  <si>
    <t>PWI</t>
  </si>
  <si>
    <t>TRM0257</t>
  </si>
  <si>
    <t>CONSUMER CARD CASE A5 (196 MM X 216 MM)</t>
  </si>
  <si>
    <t>TRM0946</t>
  </si>
  <si>
    <t>CONSUMER LAKBAN LANTAI BLUE</t>
  </si>
  <si>
    <t>TRM0947</t>
  </si>
  <si>
    <t>CONSUMER LAKBAN LANTAI GREEN</t>
  </si>
  <si>
    <t>TRM0472</t>
  </si>
  <si>
    <t>COVER TROLLEY DIMENSION : L 78.5 CM X W 49.5 CM</t>
  </si>
  <si>
    <t>TRM0614</t>
  </si>
  <si>
    <t>MONITOR DELL SE2222H 22"</t>
  </si>
  <si>
    <t>TRM0482</t>
  </si>
  <si>
    <t>PASSCARD BOARD APSF 800 X 530</t>
  </si>
  <si>
    <t>TRM0481</t>
  </si>
  <si>
    <t>PASSCARD BOARD B1 1650 X 1360</t>
  </si>
  <si>
    <t>TRM0483</t>
  </si>
  <si>
    <t>PASSCARD BOARD B2 950 X 1360</t>
  </si>
  <si>
    <t>TRM0484</t>
  </si>
  <si>
    <t>PASSCARD BOARD B5 1150 X 1360</t>
  </si>
  <si>
    <t>TRM0485</t>
  </si>
  <si>
    <t>PASSCARD BOARD STOCKFIT 1100 X X1360</t>
  </si>
  <si>
    <t>TRM0486</t>
  </si>
  <si>
    <t>PASSCARD BOARD TREATMENT 1150 X 1360</t>
  </si>
  <si>
    <t>TRM0410</t>
  </si>
  <si>
    <t>PROJECTION SCREEN REMOTE CONTROL</t>
  </si>
  <si>
    <t>TRM0377</t>
  </si>
  <si>
    <t>SSD V-GEN PLATINUM 256GB</t>
  </si>
  <si>
    <t>TRM0407</t>
  </si>
  <si>
    <t>TANG SALERY</t>
  </si>
  <si>
    <t>TRM0516</t>
  </si>
  <si>
    <t>TEFLON SILER 60 CM</t>
  </si>
  <si>
    <t>TRM0142</t>
  </si>
  <si>
    <t>CONSUMER LAKBAN LANTAI NEON YELLOW/923</t>
  </si>
  <si>
    <t>TRM0141</t>
  </si>
  <si>
    <t>CONSUMER LAKBAN LANTAI WHITE</t>
  </si>
  <si>
    <t>TRM0140</t>
  </si>
  <si>
    <t>CONSUMER LAKBAN LANTAI RED</t>
  </si>
  <si>
    <t>TRM0176</t>
  </si>
  <si>
    <t>KNIFE HZ3XL</t>
  </si>
  <si>
    <t>TRM1428</t>
  </si>
  <si>
    <t>BOX OF BRISTLE BLOCKS FX-FP/IX - Q25 Q=250 (704234)</t>
  </si>
  <si>
    <t>Pcs</t>
  </si>
  <si>
    <t>TRM0177</t>
  </si>
  <si>
    <t>KNIFE HZ3XL1P</t>
  </si>
  <si>
    <t>TRM3454</t>
  </si>
  <si>
    <t>KARET KUMIS TRANSPARAN 5CM (COKLAT)</t>
  </si>
  <si>
    <t>SAI</t>
  </si>
  <si>
    <t>TRM3852</t>
  </si>
  <si>
    <t>KERTAS STICKER DOFF A4 ISI 100 LEMBAR</t>
  </si>
  <si>
    <t>TRM3980</t>
  </si>
  <si>
    <t>MATE-0017626 KARET KUMIS LIGHT BROWN</t>
  </si>
  <si>
    <t>TRM3745</t>
  </si>
  <si>
    <t>MATE-0017627 KARET KUMIS YELLOW</t>
  </si>
  <si>
    <t>TRM0400</t>
  </si>
  <si>
    <t>(6439) KREZT K200-TGM (RX) AUDIO GUIDE SYSTEM</t>
  </si>
  <si>
    <t>SANOH</t>
  </si>
  <si>
    <t>TRM0401</t>
  </si>
  <si>
    <t>(7407) KREZT KR-09E12 BLACK (POUCH) EARPHONE</t>
  </si>
  <si>
    <t>TRM1422</t>
  </si>
  <si>
    <t>BALL VALVE LOCKOUT V-VB 03</t>
  </si>
  <si>
    <t>TRM2347</t>
  </si>
  <si>
    <t>BRACKET TV GANTUNG</t>
  </si>
  <si>
    <t>TRM1425</t>
  </si>
  <si>
    <t>BX PHN 75G BLICKLE RODA FIXED</t>
  </si>
  <si>
    <t>TRM0925</t>
  </si>
  <si>
    <t>BX-PHN 100G BLICKLE RODA FIXED</t>
  </si>
  <si>
    <t>TRM1068</t>
  </si>
  <si>
    <t>CABLE HANDY CUTTERS SCISSORS</t>
  </si>
  <si>
    <t>TRM1202</t>
  </si>
  <si>
    <t>CHON12 WING NUTS</t>
  </si>
  <si>
    <t>TRM2423</t>
  </si>
  <si>
    <t>CLAMP STRAPING BRAND</t>
  </si>
  <si>
    <t>TRM1532</t>
  </si>
  <si>
    <t>EMBER BESAR</t>
  </si>
  <si>
    <t>TRM0437</t>
  </si>
  <si>
    <t>HANDY TALKY</t>
  </si>
  <si>
    <t>TRM1153</t>
  </si>
  <si>
    <t>HANWGT-ST3W-M12-30 FORGED WING SCREW, CLASS 1</t>
  </si>
  <si>
    <t>TRM1180</t>
  </si>
  <si>
    <t>KARET HIJAU BESAR CAP GAJAH</t>
  </si>
  <si>
    <t>TRM0326</t>
  </si>
  <si>
    <t>KARPET</t>
  </si>
  <si>
    <t>TRM1797</t>
  </si>
  <si>
    <t>KOMPRESOSSOR CHILLER ZB76KQ-TFD-551</t>
  </si>
  <si>
    <t>TRM0399</t>
  </si>
  <si>
    <t>KREZT K200-TGM AUDIO GUIDE SYSTEM KREZT</t>
  </si>
  <si>
    <t>TRM1734</t>
  </si>
  <si>
    <t>KUAS CAT AIR LEMBUT (PRETONOIL)</t>
  </si>
  <si>
    <t>TRM1487</t>
  </si>
  <si>
    <t>LCB LOCKOUT LOTO V-LB12</t>
  </si>
  <si>
    <t>TRM1424</t>
  </si>
  <si>
    <t>LIX PHN 75G BLICKLE RODA FIXED</t>
  </si>
  <si>
    <t>TRM0924</t>
  </si>
  <si>
    <t>LIX-PHN 100G BLICKLE RODA SWIVLE</t>
  </si>
  <si>
    <t>TRM1045</t>
  </si>
  <si>
    <t>MATA BOR NACHI DIA 17.5</t>
  </si>
  <si>
    <t>TRM1423</t>
  </si>
  <si>
    <t>MCB LOCKOUT LOTO V-MCB-E</t>
  </si>
  <si>
    <t>TRM0504</t>
  </si>
  <si>
    <t>MINI CUPLA 33 PFB</t>
  </si>
  <si>
    <t>TRM1547</t>
  </si>
  <si>
    <t>MINI CUPLA 33SH</t>
  </si>
  <si>
    <t>TRM1323</t>
  </si>
  <si>
    <t>NAS-34-C ASK BEARING</t>
  </si>
  <si>
    <t>TRM1488</t>
  </si>
  <si>
    <t>PNEUMATIC LOCKOUT LOTO V-SPL-B</t>
  </si>
  <si>
    <t>TRM0313</t>
  </si>
  <si>
    <t>PP BOARD 2000 X 1500 X 5MM</t>
  </si>
  <si>
    <t>TRM1553</t>
  </si>
  <si>
    <t>PROCKEY WSL / GEMBOK</t>
  </si>
  <si>
    <t>TRM1489</t>
  </si>
  <si>
    <t>PROLOCK KEY CBL14</t>
  </si>
  <si>
    <t>TRM1490</t>
  </si>
  <si>
    <t>PROLOCK KEY CBL41</t>
  </si>
  <si>
    <t>TRM1491</t>
  </si>
  <si>
    <t>PROLOCK KEY P38SRED</t>
  </si>
  <si>
    <t>TRM1989</t>
  </si>
  <si>
    <t>R88D-WT2H SERVO DRIVER</t>
  </si>
  <si>
    <t>TRM0978</t>
  </si>
  <si>
    <t>REGULATOR C2H2 ACETYLENE</t>
  </si>
  <si>
    <t>TRM0834</t>
  </si>
  <si>
    <t>REGULATOR O2 OKSIGEN</t>
  </si>
  <si>
    <t>TRM1627</t>
  </si>
  <si>
    <t>SGMAH-02AAA41SERVO MOTOR</t>
  </si>
  <si>
    <t>TRM1266</t>
  </si>
  <si>
    <t>SGMPS-08A2A21-E MOTOR YASKAWA</t>
  </si>
  <si>
    <t>TRM0309</t>
  </si>
  <si>
    <t>SIKAT KAWAT TEMBAGA GAGANG BESI</t>
  </si>
  <si>
    <t>TRM1591</t>
  </si>
  <si>
    <t>SWITCH LB3S-2T6 IDEC</t>
  </si>
  <si>
    <t>TRM0397</t>
  </si>
  <si>
    <t>AMPLAS BESI</t>
  </si>
  <si>
    <t>TRM1414</t>
  </si>
  <si>
    <t>FOAM SHEET 3MM</t>
  </si>
  <si>
    <t>TRM0633</t>
  </si>
  <si>
    <t>LAKBAN MERAH 1"</t>
  </si>
  <si>
    <t>TRM0390</t>
  </si>
  <si>
    <t>POWER GLUE</t>
  </si>
  <si>
    <t>TRM3877</t>
  </si>
  <si>
    <t>ADJUSTER BAHAN STENLESS M16 X 120</t>
  </si>
  <si>
    <t>SBM</t>
  </si>
  <si>
    <t>TRM1813</t>
  </si>
  <si>
    <t>ADJUSTER PAD GALVANIS M10X100</t>
  </si>
  <si>
    <t>TRM2013</t>
  </si>
  <si>
    <t>ADJUSTER PAD M10 X 100</t>
  </si>
  <si>
    <t>TRM3029</t>
  </si>
  <si>
    <t>ADJUSTER PAD M16 PANJANG 100 STAINLES</t>
  </si>
  <si>
    <t>TRM4134</t>
  </si>
  <si>
    <t>ADJUSTER PAD M16 PANJANG 100 STAINLESS</t>
  </si>
  <si>
    <t>TRM2012</t>
  </si>
  <si>
    <t>ADJUSTER PAD M16 X 120</t>
  </si>
  <si>
    <t>TRM3345</t>
  </si>
  <si>
    <t>ADJUSTER PAD M16 X 150 PUTIH</t>
  </si>
  <si>
    <t>TRM1812</t>
  </si>
  <si>
    <t>ADJUSTER PAD SUS M12X100</t>
  </si>
  <si>
    <t>TRM2988</t>
  </si>
  <si>
    <t>ALMUNIUM 12 X 35 X 155</t>
  </si>
  <si>
    <t>TRM2163</t>
  </si>
  <si>
    <t>ALUMUNIUM 20 X 80 X 145</t>
  </si>
  <si>
    <t>TRM1607</t>
  </si>
  <si>
    <t>ALUMUNIUM 20X60X125</t>
  </si>
  <si>
    <t>TRM0796</t>
  </si>
  <si>
    <t>ALUMUNIUM 5052 30X135X125</t>
  </si>
  <si>
    <t>TRM3199</t>
  </si>
  <si>
    <t>ALUMUNIUM DIA 19 X 500</t>
  </si>
  <si>
    <t>TRM3096</t>
  </si>
  <si>
    <t>ALUMUNIUM DIA 70 X 150</t>
  </si>
  <si>
    <t>TRM2164</t>
  </si>
  <si>
    <t>ALUMUNIUM DIA. 89 X 85</t>
  </si>
  <si>
    <t>TRM3908</t>
  </si>
  <si>
    <t>AMPLAS 500 ISI 100 EAGLE</t>
  </si>
  <si>
    <t>TRM3423</t>
  </si>
  <si>
    <t>AMPLAS ROLL GRADE 150 UKURAN 4" X 46 MTR</t>
  </si>
  <si>
    <t>TRM2636</t>
  </si>
  <si>
    <t>AMPLAS SUSUN BIMA ISI 10</t>
  </si>
  <si>
    <t>TRM0583</t>
  </si>
  <si>
    <t>AS DIA 40 X 675</t>
  </si>
  <si>
    <t>TRM3718</t>
  </si>
  <si>
    <t>AS DIA 80X1350MM</t>
  </si>
  <si>
    <t>TRM01206</t>
  </si>
  <si>
    <t>AS DRAT PUTIH M20</t>
  </si>
  <si>
    <t>TRM1162</t>
  </si>
  <si>
    <t>AS INDUCTION S45C DIA 10 X 160MM</t>
  </si>
  <si>
    <t>TRM0632</t>
  </si>
  <si>
    <t>AS ROD BIASA DIA 12X800</t>
  </si>
  <si>
    <t>TRM2775</t>
  </si>
  <si>
    <t>AS ROD DIA 40 X 725</t>
  </si>
  <si>
    <t>TRM1126</t>
  </si>
  <si>
    <t>AS ROD DIA 6 X 1000</t>
  </si>
  <si>
    <t>TRM2868</t>
  </si>
  <si>
    <t>AS ROD INDUKSI DIA 12 X 160</t>
  </si>
  <si>
    <t>TRM3097</t>
  </si>
  <si>
    <t>AS ROD INDUKSI DIA 12 X 220</t>
  </si>
  <si>
    <t>TRM1962</t>
  </si>
  <si>
    <t>AS ROD INDUKSI DIA 15 X 160</t>
  </si>
  <si>
    <t>TRM3198</t>
  </si>
  <si>
    <t>AS ROD INDUKSI DIA 16 X 115</t>
  </si>
  <si>
    <t>TRM1963</t>
  </si>
  <si>
    <t>AS ROD INDUKSI DIA 16 X 250</t>
  </si>
  <si>
    <t>TRM2867</t>
  </si>
  <si>
    <t>AS ROD INDUKSI DIA 18  X 160</t>
  </si>
  <si>
    <t>TRM2018</t>
  </si>
  <si>
    <t>AS ROD INDUKSI DIA 25 X 245</t>
  </si>
  <si>
    <t>TRM0488</t>
  </si>
  <si>
    <t>AS ROD INDUKSI DIA 5 X 1100</t>
  </si>
  <si>
    <t>TRM2020</t>
  </si>
  <si>
    <t>AS RODA INDUSI DIA. 25 X 245</t>
  </si>
  <si>
    <t>TRM1606</t>
  </si>
  <si>
    <t>AS SUS304 DIA 150X15</t>
  </si>
  <si>
    <t>TRM2078</t>
  </si>
  <si>
    <t>ASROD BIASA 25x1500</t>
  </si>
  <si>
    <t>TRM1509</t>
  </si>
  <si>
    <t>ASROD BIASA D.18 X 500</t>
  </si>
  <si>
    <t>TRM1316</t>
  </si>
  <si>
    <t>ASROD BIASA DIA 10 X 1000</t>
  </si>
  <si>
    <t>TRM3197</t>
  </si>
  <si>
    <t>ASROD BIASA DIA 10 X 550</t>
  </si>
  <si>
    <t>TRM0357</t>
  </si>
  <si>
    <t>ASROD BIASA DIA 12 X 1000</t>
  </si>
  <si>
    <t>TRM2965</t>
  </si>
  <si>
    <t>ASROD BIASA DIA 12 X 355</t>
  </si>
  <si>
    <t>TRM0122</t>
  </si>
  <si>
    <t>ASROD BIASA DIA 20 X 1000</t>
  </si>
  <si>
    <t>TRM2593</t>
  </si>
  <si>
    <t>ASROD BIASA DIA 20 X 1120</t>
  </si>
  <si>
    <t>TRM3256</t>
  </si>
  <si>
    <t>ASROD BIASA DIA 30 X 225</t>
  </si>
  <si>
    <t>TRM4286</t>
  </si>
  <si>
    <t>ASROD BIASA DIA. 15 X 1000</t>
  </si>
  <si>
    <t>TRM3298</t>
  </si>
  <si>
    <t>ASROD DIA 18 X 450</t>
  </si>
  <si>
    <t>TRM3299</t>
  </si>
  <si>
    <t>ASROD DIA 8 X  250</t>
  </si>
  <si>
    <t>TRM0264</t>
  </si>
  <si>
    <t>ASROD INDUKS DIA 12X165</t>
  </si>
  <si>
    <t>TRM1508</t>
  </si>
  <si>
    <t>ASROD INDUKSI D.15 X 600</t>
  </si>
  <si>
    <t>TRM1565</t>
  </si>
  <si>
    <t>ASROD INDUKSI D.20 X 400</t>
  </si>
  <si>
    <t>TRM0647</t>
  </si>
  <si>
    <t>ASROD INDUKSI DIA 10 X 200</t>
  </si>
  <si>
    <t>TRM3985</t>
  </si>
  <si>
    <t>ASROD INDUKSI DIA 12 X 610</t>
  </si>
  <si>
    <t>TRM3078</t>
  </si>
  <si>
    <t>ASROD INDUKSI DIA 12x560</t>
  </si>
  <si>
    <t>TRM3077</t>
  </si>
  <si>
    <t>ASROD INDUKSI DIA 12x860</t>
  </si>
  <si>
    <t>TRM4043</t>
  </si>
  <si>
    <t>ASROD INDUKSI DIA 13 X 550</t>
  </si>
  <si>
    <t>TRM1383</t>
  </si>
  <si>
    <t>ASROD INDUKSI DIA 15 X 1000</t>
  </si>
  <si>
    <t>TRM3076</t>
  </si>
  <si>
    <t>ASROD INDUKSI DIA 16x220</t>
  </si>
  <si>
    <t>TRM3075</t>
  </si>
  <si>
    <t>ASROD INDUKSI DIA 20x200</t>
  </si>
  <si>
    <t>TRM1310</t>
  </si>
  <si>
    <t>ASROD INDUKSI DIA 25 X 1000</t>
  </si>
  <si>
    <t>TRM0962</t>
  </si>
  <si>
    <t>ASROD INDUKSI DIA 25 X 300</t>
  </si>
  <si>
    <t>TRM3079</t>
  </si>
  <si>
    <t>ASROD INDUKSI DIA 6x500</t>
  </si>
  <si>
    <t>TRM0646</t>
  </si>
  <si>
    <t>ASROD INDUKSI DIA 8 X 200</t>
  </si>
  <si>
    <t>TRM2207</t>
  </si>
  <si>
    <t>ASROD INDUKSI DIA.20 X 640</t>
  </si>
  <si>
    <t>TRM2723</t>
  </si>
  <si>
    <t>ASROD KERAS DIA 14 X 190</t>
  </si>
  <si>
    <t>TRM2634</t>
  </si>
  <si>
    <t>ASROD KERAS DIA 6X350</t>
  </si>
  <si>
    <t>TRM2285</t>
  </si>
  <si>
    <t>ASROD KERAS DIA. 15 X 600</t>
  </si>
  <si>
    <t>TRM4009</t>
  </si>
  <si>
    <t>BALL VALVE KITZ 3/8</t>
  </si>
  <si>
    <t>TRM3997</t>
  </si>
  <si>
    <t>BALL VALVE KUNINGAN KITZ 3/4"</t>
  </si>
  <si>
    <t>TRM1405</t>
  </si>
  <si>
    <t>BATERAI PANASONIC BR-2/3A/GCT4A</t>
  </si>
  <si>
    <t>TRM2869</t>
  </si>
  <si>
    <t>BAUT L (12.9) M20 X 90</t>
  </si>
  <si>
    <t>TRM4170</t>
  </si>
  <si>
    <t>BAUT L/BAJA M12X40+NUT+RING PLATE</t>
  </si>
  <si>
    <t>TRM4163</t>
  </si>
  <si>
    <t>BAUT L/BAJA M12X55+NUT+RING PLATE</t>
  </si>
  <si>
    <t>TRM4167</t>
  </si>
  <si>
    <t>BAUT L/BAJA M6X12+NUT+RING PLATE</t>
  </si>
  <si>
    <t>TRM4165</t>
  </si>
  <si>
    <t>BAUT L/BAJA M6X16+NUT+RING PLATE</t>
  </si>
  <si>
    <t>TRM4168</t>
  </si>
  <si>
    <t>BAUT L/BAJA M6X20+NUT+RING PLATE</t>
  </si>
  <si>
    <t>TRM4166</t>
  </si>
  <si>
    <t>BAUT L/BAJA M8X20+NUT+RING PLATE</t>
  </si>
  <si>
    <t>TRM4169</t>
  </si>
  <si>
    <t>BAUT L/BAJA M8X25+NUT+RING PLATE</t>
  </si>
  <si>
    <t>TRM4164</t>
  </si>
  <si>
    <t>BAUT L/BAJA M8X55+NUT+RING PLATE</t>
  </si>
  <si>
    <t>TRM1164</t>
  </si>
  <si>
    <t>BEARING 6004 NTN</t>
  </si>
  <si>
    <t>TRM2872</t>
  </si>
  <si>
    <t>BEARING 6200 ZZ</t>
  </si>
  <si>
    <t>TRM2678</t>
  </si>
  <si>
    <t>BEARING 6205ZZ NTN</t>
  </si>
  <si>
    <t>TRM2870</t>
  </si>
  <si>
    <t>BEARING 6800 ZZ</t>
  </si>
  <si>
    <t>TRM0784</t>
  </si>
  <si>
    <t>BEARING AU0930 MERK BBC CHINA</t>
  </si>
  <si>
    <t>TRM0763</t>
  </si>
  <si>
    <t>BEARING BLOCK T210 AS 50MM</t>
  </si>
  <si>
    <t>TRM3578</t>
  </si>
  <si>
    <t>BEARING CF 5 BUUR MERK IKO</t>
  </si>
  <si>
    <t>TRM3579</t>
  </si>
  <si>
    <t>BEARING CFS5A IKO</t>
  </si>
  <si>
    <t>TRM2127</t>
  </si>
  <si>
    <t>BEARING IKO SB75A</t>
  </si>
  <si>
    <t>TRM3855</t>
  </si>
  <si>
    <t>BEARING MERK ASB SUCP205</t>
  </si>
  <si>
    <t>TRM0406</t>
  </si>
  <si>
    <t>BEARING SKF 6202-2RSH</t>
  </si>
  <si>
    <t>TRM1783</t>
  </si>
  <si>
    <t>BEARING TYPE S607ZZ KOYO</t>
  </si>
  <si>
    <t>TRM0720</t>
  </si>
  <si>
    <t>BEARING UCP212 TYPE FYH</t>
  </si>
  <si>
    <t>TRM2774</t>
  </si>
  <si>
    <t>BEARING UFC208 MERK FYH</t>
  </si>
  <si>
    <t>TRM3263</t>
  </si>
  <si>
    <t>BLIND FLANGE SUS 10K-50</t>
  </si>
  <si>
    <t>TRM0762</t>
  </si>
  <si>
    <t>BLOCK BEARING PA210 AS 50MM</t>
  </si>
  <si>
    <t>TRM1308</t>
  </si>
  <si>
    <t>BRASS UK 139 X 20MM</t>
  </si>
  <si>
    <t>TRM3306</t>
  </si>
  <si>
    <t>BRONZE OD.112 X ID.50 X 60</t>
  </si>
  <si>
    <t>TRM1163</t>
  </si>
  <si>
    <t>BRONZE OD63 X ID25 X 25MM</t>
  </si>
  <si>
    <t>TRM2758</t>
  </si>
  <si>
    <t>BUBBLE SHEET</t>
  </si>
  <si>
    <t>TRM2061</t>
  </si>
  <si>
    <t>CATROL</t>
  </si>
  <si>
    <t>TRM1677</t>
  </si>
  <si>
    <t>CHAIN BREAKER (PEMOTONG RANTAI) 25-60</t>
  </si>
  <si>
    <t>TRM4158</t>
  </si>
  <si>
    <t>CHAIN RS40</t>
  </si>
  <si>
    <t>TRM2060</t>
  </si>
  <si>
    <t>CLAMP SELING</t>
  </si>
  <si>
    <t>TRM2372</t>
  </si>
  <si>
    <t>COIL SPRING SWR 31X40</t>
  </si>
  <si>
    <t>TRM0560</t>
  </si>
  <si>
    <t>CONNECTING LINK 3X5</t>
  </si>
  <si>
    <t>TRM4014</t>
  </si>
  <si>
    <t>DOUBLE NEPEL GALVANIS 11/4</t>
  </si>
  <si>
    <t>TRM4003</t>
  </si>
  <si>
    <t>DOUBLE NEPEL GALVANIS 3/4"</t>
  </si>
  <si>
    <t>TRM3318</t>
  </si>
  <si>
    <t>DUST SEAL DKI 60 X 74 X 8 X 1</t>
  </si>
  <si>
    <t>TRM0358</t>
  </si>
  <si>
    <t>EJEKTOR PIN DIA 5.5 X 300</t>
  </si>
  <si>
    <t>TRM0680</t>
  </si>
  <si>
    <t>EJEKTOR PIN DIA 5.5X300 KERAS</t>
  </si>
  <si>
    <t>TRM2971</t>
  </si>
  <si>
    <t>EVA FOAM HITAM T2MM</t>
  </si>
  <si>
    <t>TRM2305</t>
  </si>
  <si>
    <t>EXHAUST BLOWER UK, 6 INCH</t>
  </si>
  <si>
    <t>TRM1309</t>
  </si>
  <si>
    <t>FC 90MM X 30MM</t>
  </si>
  <si>
    <t>TRM2341</t>
  </si>
  <si>
    <t>FEMALE ELBOW SUS316 1/2 X 1/2</t>
  </si>
  <si>
    <t>TRM3028</t>
  </si>
  <si>
    <t>FIG.10 UMA GATE VALVE  (FLANGE) CLASS 10K, SUS304  KITZ 2 INCH</t>
  </si>
  <si>
    <t>TRM3262</t>
  </si>
  <si>
    <t>FLANGE PACKING PTFE 10K-3 50A</t>
  </si>
  <si>
    <t>TRM2304</t>
  </si>
  <si>
    <t>FLEXIBLE HOSE ALUMUNIUM UK 6 INCH PANJANG 10 MTR</t>
  </si>
  <si>
    <t>TRM3998</t>
  </si>
  <si>
    <t>FLOK RING GALVANIS 11/4"-3/4"</t>
  </si>
  <si>
    <t>TRM4012</t>
  </si>
  <si>
    <t>FLOK RING GALVANIS 11/4-3/4</t>
  </si>
  <si>
    <t>TRM3995</t>
  </si>
  <si>
    <t>FLOK RING GALVANIS 2"-11/4"</t>
  </si>
  <si>
    <t>TRM4013</t>
  </si>
  <si>
    <t>FLOK RING KUNINGAN 3/4-1/4</t>
  </si>
  <si>
    <t>TRM4011</t>
  </si>
  <si>
    <t>FLOK RING KUNINGAN 3/4-3/8</t>
  </si>
  <si>
    <t>TRM2683</t>
  </si>
  <si>
    <t>FORM PERMIT GENERAL EHS HMS KARAWANG PLANT</t>
  </si>
  <si>
    <t>TRM1131</t>
  </si>
  <si>
    <t>HARD NYLON 65X500</t>
  </si>
  <si>
    <t>TRM3854</t>
  </si>
  <si>
    <t>HARD NYLON DIA 65 X 450</t>
  </si>
  <si>
    <t>TRM4007</t>
  </si>
  <si>
    <t>HOSE SPIRAL 3/4</t>
  </si>
  <si>
    <t>TRM4016</t>
  </si>
  <si>
    <t>HOSE SPIRAL 3/8</t>
  </si>
  <si>
    <t>TRM1317</t>
  </si>
  <si>
    <t>KARET HITAM DIA 12 X 5MTR</t>
  </si>
  <si>
    <t>TRM3994</t>
  </si>
  <si>
    <t>L BOW DRAT GALVANIS 2"</t>
  </si>
  <si>
    <t>TRM4001</t>
  </si>
  <si>
    <t>L BOW GALVANIS 11/4"</t>
  </si>
  <si>
    <t>TRM4015</t>
  </si>
  <si>
    <t>L BOW REDUSE GALVANIS 11/4-3/4</t>
  </si>
  <si>
    <t>TRM3485</t>
  </si>
  <si>
    <t>LEVEL GAUGE AS KE AS 125MM</t>
  </si>
  <si>
    <t>TRM4159</t>
  </si>
  <si>
    <t>LINK CHAIN RS40</t>
  </si>
  <si>
    <t>TRM0749</t>
  </si>
  <si>
    <t>M6 X 15</t>
  </si>
  <si>
    <t>TRM0748</t>
  </si>
  <si>
    <t>M6 X 20</t>
  </si>
  <si>
    <t>TRM0750</t>
  </si>
  <si>
    <t>M6 X 30</t>
  </si>
  <si>
    <t>TRM0751</t>
  </si>
  <si>
    <t>M8 X 30</t>
  </si>
  <si>
    <t>TRM0746</t>
  </si>
  <si>
    <t>M8 X 60 TIDAK FULL DRAT</t>
  </si>
  <si>
    <t>TRM1404</t>
  </si>
  <si>
    <t>MAGNET DIA 10 TEBEL 05 MM</t>
  </si>
  <si>
    <t>TRM2324</t>
  </si>
  <si>
    <t>MAGNET PUTIH UK. DIA 10 X 5MM</t>
  </si>
  <si>
    <t>TRM3973</t>
  </si>
  <si>
    <t>MAGNETIC SQUARE &amp; V-BLOCK LP-BAI</t>
  </si>
  <si>
    <t>TRM0181</t>
  </si>
  <si>
    <t>MAJUN WARNA</t>
  </si>
  <si>
    <t>TRM2681</t>
  </si>
  <si>
    <t>MATA GERINDA AMPLAS</t>
  </si>
  <si>
    <t>TRM2679</t>
  </si>
  <si>
    <t>MATA GERINDA FLEXIBLE 4"</t>
  </si>
  <si>
    <t>TRM2680</t>
  </si>
  <si>
    <t>MATA GERINDA POLES 4"</t>
  </si>
  <si>
    <t>TRM2887</t>
  </si>
  <si>
    <t>MATRIAL EVA FOAM TEBEL 2MM</t>
  </si>
  <si>
    <t>TRM0263</t>
  </si>
  <si>
    <t>MC BLUE</t>
  </si>
  <si>
    <t>TRM1605</t>
  </si>
  <si>
    <t>MC BLUE 20X40X1015</t>
  </si>
  <si>
    <t>TRM2987</t>
  </si>
  <si>
    <t>MC BLUE 70 X 75 X 90</t>
  </si>
  <si>
    <t>TRM0710</t>
  </si>
  <si>
    <t>MC BLUE DIA 150X200</t>
  </si>
  <si>
    <t>TRM3344</t>
  </si>
  <si>
    <t>MC BLUE DIA 60 X 700</t>
  </si>
  <si>
    <t>TRM0752</t>
  </si>
  <si>
    <t>MUR 88 M6</t>
  </si>
  <si>
    <t>TRM0753</t>
  </si>
  <si>
    <t>MUR 88 M8</t>
  </si>
  <si>
    <t>TRM4005</t>
  </si>
  <si>
    <t>NEAPLE SELANG KUNINGAN 3/4"</t>
  </si>
  <si>
    <t>TRM4010</t>
  </si>
  <si>
    <t>NEAPLE SELANG KUNINGAN 3/8</t>
  </si>
  <si>
    <t>TRM0747</t>
  </si>
  <si>
    <t>NUT M12</t>
  </si>
  <si>
    <t>TRM01204</t>
  </si>
  <si>
    <t>NUT PUTIH M20</t>
  </si>
  <si>
    <t>TRM1925</t>
  </si>
  <si>
    <t>NYLON PUTIH 15 X 40 X 110</t>
  </si>
  <si>
    <t>TRM1923</t>
  </si>
  <si>
    <t>NYLON PUTIH 20 X 90 X 245</t>
  </si>
  <si>
    <t>TRM1924</t>
  </si>
  <si>
    <t>NYLON PUTIH 25 X 40 X 380</t>
  </si>
  <si>
    <t>TRM0405</t>
  </si>
  <si>
    <t>O RING NBR DIA 4 X ID 13 X OD 21</t>
  </si>
  <si>
    <t>TRM2564</t>
  </si>
  <si>
    <t>OTG INDUCTION BRAKE 3 PHASE 6 KABEL 220/380 V AC 61K200GU-S3SM 6GU-30K</t>
  </si>
  <si>
    <t>TRM1668</t>
  </si>
  <si>
    <t>PILLOW BEARING</t>
  </si>
  <si>
    <t>TRM0570</t>
  </si>
  <si>
    <t>PILLOW BLOCK UCP210 MERK FYH</t>
  </si>
  <si>
    <t>TRM3098</t>
  </si>
  <si>
    <t>PLASTIK WRAPPING ISI 6 ROLL 500 x 300 x 10</t>
  </si>
  <si>
    <t>TRM2063</t>
  </si>
  <si>
    <t>POLYCARBONAT 5MMX2.1MTRX5MTR</t>
  </si>
  <si>
    <t>TRM2292</t>
  </si>
  <si>
    <t>POM PUTIH DIA 110 X 75</t>
  </si>
  <si>
    <t>TRM3022</t>
  </si>
  <si>
    <t>POM PUTIH DIA 40X125</t>
  </si>
  <si>
    <t>TRM1638</t>
  </si>
  <si>
    <t>PP BOARD 2000 X 3000 X 5MM</t>
  </si>
  <si>
    <t>TRM2062</t>
  </si>
  <si>
    <t>RAIL DOUBLE PANJANG 600MM</t>
  </si>
  <si>
    <t>TRM3885</t>
  </si>
  <si>
    <t>RF2060S-1B912T-SS</t>
  </si>
  <si>
    <t>TRM0756</t>
  </si>
  <si>
    <t>RING PLAT HITAM TEBAL M06(1/4")</t>
  </si>
  <si>
    <t>TRM01205</t>
  </si>
  <si>
    <t>RING PLATE PUTIH M20</t>
  </si>
  <si>
    <t>TRM2583</t>
  </si>
  <si>
    <t>ROD 14 X 22 X 6 PU</t>
  </si>
  <si>
    <t>TRM0285</t>
  </si>
  <si>
    <t>ROLLER CHAIN C2062H 42/4L</t>
  </si>
  <si>
    <t>TRM0559</t>
  </si>
  <si>
    <t>ROLLER CHAIN RS50-1 MKS</t>
  </si>
  <si>
    <t>TRM1669</t>
  </si>
  <si>
    <t>RS CHAIN SET</t>
  </si>
  <si>
    <t>TRM3887</t>
  </si>
  <si>
    <t>RS50-1B14TQ</t>
  </si>
  <si>
    <t>TRM3886</t>
  </si>
  <si>
    <t>RS501-RP-U + 60L</t>
  </si>
  <si>
    <t>TRM0182</t>
  </si>
  <si>
    <t>SARUNG TANGAN 5 BENANG</t>
  </si>
  <si>
    <t>TRM1818</t>
  </si>
  <si>
    <t>SEAL NOK LBH-45</t>
  </si>
  <si>
    <t>TRM1817</t>
  </si>
  <si>
    <t>SEAL NOK USH-45</t>
  </si>
  <si>
    <t>TRM1816</t>
  </si>
  <si>
    <t>SEAL NOK USH-70</t>
  </si>
  <si>
    <t>TRM1590</t>
  </si>
  <si>
    <t>SEAL R15X42X10 ERIKS</t>
  </si>
  <si>
    <t>TRM1821</t>
  </si>
  <si>
    <t>SEAL SAKAGAMI PCS-35</t>
  </si>
  <si>
    <t>TRM2059</t>
  </si>
  <si>
    <t>SELING 4MM</t>
  </si>
  <si>
    <t>TRM2871</t>
  </si>
  <si>
    <t>SNAPRING INTERNAL 20 BAHAN BAJA</t>
  </si>
  <si>
    <t>TRM4160</t>
  </si>
  <si>
    <t>SPROCKET RS40-14T</t>
  </si>
  <si>
    <t>TRM0558</t>
  </si>
  <si>
    <t>SPROCKET RS50-16T</t>
  </si>
  <si>
    <t>TRM0761</t>
  </si>
  <si>
    <t>SPROCKET RS60-T56</t>
  </si>
  <si>
    <t>TRM2322</t>
  </si>
  <si>
    <t>STAINLESS TEBEL 25 X DIA.175</t>
  </si>
  <si>
    <t>TRM4004</t>
  </si>
  <si>
    <t>STRAINER KUNINGAN KITZ 3/4"</t>
  </si>
  <si>
    <t>TRM3719</t>
  </si>
  <si>
    <t>SUC 209 BEARING</t>
  </si>
  <si>
    <t>TRM0180</t>
  </si>
  <si>
    <t>SUS304 20X80X90</t>
  </si>
  <si>
    <t>TRM2470</t>
  </si>
  <si>
    <t>SUS304 22 X 40 X 65</t>
  </si>
  <si>
    <t>TRM4002</t>
  </si>
  <si>
    <t>TEE GALVANIS 11/4"</t>
  </si>
  <si>
    <t>TRM4008</t>
  </si>
  <si>
    <t>TEE REDSUER GALVANIS 11/4-3/4</t>
  </si>
  <si>
    <t>TRM3996</t>
  </si>
  <si>
    <t>TEE REDUCING GALVANIS 11/4"-3/4</t>
  </si>
  <si>
    <t>TRM2986</t>
  </si>
  <si>
    <t>TEFLON DIA 50 X 320</t>
  </si>
  <si>
    <t>TRM2778</t>
  </si>
  <si>
    <t>TEPLON 8 x 300 x 400</t>
  </si>
  <si>
    <t>TRM4161</t>
  </si>
  <si>
    <t>UCP 202 FUII AS 15MM</t>
  </si>
  <si>
    <t>TRM0571</t>
  </si>
  <si>
    <t>URETHANE 10X110X1010</t>
  </si>
  <si>
    <t>TRM0782</t>
  </si>
  <si>
    <t>URETHANE BENING DIA 15 X 500</t>
  </si>
  <si>
    <t>TRM0783</t>
  </si>
  <si>
    <t>URETHANE BENING DIA 20 X 400</t>
  </si>
  <si>
    <t>TRM4000</t>
  </si>
  <si>
    <t>WATER MUR GALVANIS 11/4"</t>
  </si>
  <si>
    <t>TRM3993</t>
  </si>
  <si>
    <t>WATER MUR GALVANIS 2"</t>
  </si>
  <si>
    <t>TRM3999</t>
  </si>
  <si>
    <t>WATER MUR GALVANIS 3/4"</t>
  </si>
  <si>
    <t>TRM2635</t>
  </si>
  <si>
    <t>WD BATU POTONG 4"X1.2 ISI 20 PCS</t>
  </si>
  <si>
    <t>TRM1820</t>
  </si>
  <si>
    <t>WEAR RING NOK WR45-50LA</t>
  </si>
  <si>
    <t>TRM1819</t>
  </si>
  <si>
    <t>WEAR RING NOK WR75-80LA</t>
  </si>
  <si>
    <t>TRM1738</t>
  </si>
  <si>
    <t>WELDING ELECTRODES CI-AI 3.2 X 350 MM</t>
  </si>
  <si>
    <t>TRM2582</t>
  </si>
  <si>
    <t>WIPER 14 X 22 X 4/6 PU</t>
  </si>
  <si>
    <t>TRM0754</t>
  </si>
  <si>
    <t>WLH M6</t>
  </si>
  <si>
    <t>TRM0755</t>
  </si>
  <si>
    <t>WLH M8</t>
  </si>
  <si>
    <t>TRM0745</t>
  </si>
  <si>
    <t>WP HITAM M8</t>
  </si>
  <si>
    <t>TRM3573</t>
  </si>
  <si>
    <t>DOUBLE TAPE 2 " PUTIH</t>
  </si>
  <si>
    <t>SD</t>
  </si>
  <si>
    <t>TRM1947</t>
  </si>
  <si>
    <t>HAND PALLET 3 TON  MITSUBISHI</t>
  </si>
  <si>
    <t>TRM3582</t>
  </si>
  <si>
    <t>IMPRA BOARD 400 X 700 X 5 MM (BIRU)</t>
  </si>
  <si>
    <t>TRM3570</t>
  </si>
  <si>
    <t>IMPRA BOARD 470 X 200 X 5 MM (BIRU)</t>
  </si>
  <si>
    <t>TRM3569</t>
  </si>
  <si>
    <t>IMPRA BOARD 800 X 700 X 5 MM (BIRU)</t>
  </si>
  <si>
    <t>TRM3304</t>
  </si>
  <si>
    <t>KERANJANG BIRU UK 620 X 430 X 315</t>
  </si>
  <si>
    <t>TRM2828</t>
  </si>
  <si>
    <t>KERANJANG BIRU UK. 29 X 23,5 X 8 CM</t>
  </si>
  <si>
    <t>TRM2829</t>
  </si>
  <si>
    <t>KERANJANG BIRU UK. 39 X 31 X 10 CM</t>
  </si>
  <si>
    <t>TRM2824</t>
  </si>
  <si>
    <t>KERANJANG BIRU UK. 50X36X27</t>
  </si>
  <si>
    <t>TRM3400</t>
  </si>
  <si>
    <t>KERANJANG HIJAU UK. 62 X 43 X 31.5 CM</t>
  </si>
  <si>
    <t>TRM3303</t>
  </si>
  <si>
    <t>KERANJANG MERAH UK 62 X 43 X 31.5 CM</t>
  </si>
  <si>
    <t>TRM3243</t>
  </si>
  <si>
    <t>KERANJANG MERAH UK. 390 X 310 X 100</t>
  </si>
  <si>
    <t>TRM3548</t>
  </si>
  <si>
    <t>MATA BOR BESI 6MM HITAM</t>
  </si>
  <si>
    <t>TRM3883</t>
  </si>
  <si>
    <t>MATA BOR BESI 8 MM HITAM</t>
  </si>
  <si>
    <t>TRM3549</t>
  </si>
  <si>
    <t>MATA BOR BESI 9MM HITAM</t>
  </si>
  <si>
    <t>TRM3571</t>
  </si>
  <si>
    <t>PAKU KELING PIN  15 MM HITAM</t>
  </si>
  <si>
    <t>TRM3547</t>
  </si>
  <si>
    <t>PAKU KLIP BODY MOTOR 11,4 X 7,5 X 6,3 MM</t>
  </si>
  <si>
    <t>TRM3572</t>
  </si>
  <si>
    <t>PLASTIK MIKA PVC 0,3 X 1300 X 50.000 MM NATURAL</t>
  </si>
  <si>
    <t>TRM0460</t>
  </si>
  <si>
    <t>LAMPU LED SEWING 10 TITIK</t>
  </si>
  <si>
    <t>SDJA</t>
  </si>
  <si>
    <t>TRM0371</t>
  </si>
  <si>
    <t>JET SHOWER THX20NCR TOTO</t>
  </si>
  <si>
    <t>SEI</t>
  </si>
  <si>
    <t>TRM3511</t>
  </si>
  <si>
    <t>90 DEGREE ELBOW HOT GALVANIZED DRAT BESI</t>
  </si>
  <si>
    <t>SHI</t>
  </si>
  <si>
    <t>TRM3510</t>
  </si>
  <si>
    <t>ASCO SELENOID VALVE 238</t>
  </si>
  <si>
    <t>TRM3509</t>
  </si>
  <si>
    <t>GAGANG RATCHET (KARET) 1/2" X 10" TEKIRO</t>
  </si>
  <si>
    <t>TRM2249</t>
  </si>
  <si>
    <t>HANDSOME SUPER GLUE</t>
  </si>
  <si>
    <t>TRM3228</t>
  </si>
  <si>
    <t>HOZAN F-127-1 EARTH TERMINAL ( 1 SET = 5 PCS)</t>
  </si>
  <si>
    <t>TRM3502</t>
  </si>
  <si>
    <t>KUNCI INGGRIS TEKIRO 10INCH WR-AD1961</t>
  </si>
  <si>
    <t>TRM3503</t>
  </si>
  <si>
    <t>MATA KUNCI SOCK TEKIRO 10MM</t>
  </si>
  <si>
    <t>TRM3504</t>
  </si>
  <si>
    <t>MATA KUNCI SOCK TEKIRO 12MM</t>
  </si>
  <si>
    <t>TRM3505</t>
  </si>
  <si>
    <t>MATA KUNCI SOCK TEKIRO 13MM</t>
  </si>
  <si>
    <t>TRM3506</t>
  </si>
  <si>
    <t>MATA KUNCI SOCK TEKIRO 14MM</t>
  </si>
  <si>
    <t>TRM3507</t>
  </si>
  <si>
    <t>MATA KUNCI SOCK TEKIRO 17MM</t>
  </si>
  <si>
    <t>TRM3414</t>
  </si>
  <si>
    <t>MEDIA VACUUM CLEANER CORDLESS MWD-X6</t>
  </si>
  <si>
    <t>TRM3501</t>
  </si>
  <si>
    <t>OBENG TEKIRO (-) 12INCH CUSHION GRIP SD-CG0865 SLOTTED #6X300</t>
  </si>
  <si>
    <t>TRM3500</t>
  </si>
  <si>
    <t>OBENG TEKIRO (+) 12INCH CUSHION GRIP SD-CG0857 PHILIPS #2X300</t>
  </si>
  <si>
    <t>TRM2989</t>
  </si>
  <si>
    <t>PLAT ALUMUNIUM 5052 TEBAL 15MM UKURAN 200 X 400MM</t>
  </si>
  <si>
    <t>TRM3508</t>
  </si>
  <si>
    <t>SAMBUNGAN KUNCI TEKIRO 5INCH 1/2 X 5</t>
  </si>
  <si>
    <t>TRM3499</t>
  </si>
  <si>
    <t>TOOLBOX BESAR KENMASTER B 400 40X23X20.5</t>
  </si>
  <si>
    <t>TRM1276</t>
  </si>
  <si>
    <t>CABLE TIES</t>
  </si>
  <si>
    <t>TRM0469</t>
  </si>
  <si>
    <t>ACRYLIC CLEAR T.5 1200MM X 2400MM</t>
  </si>
  <si>
    <t>SHINDENGEN</t>
  </si>
  <si>
    <t>SHEET</t>
  </si>
  <si>
    <t>TRM0470</t>
  </si>
  <si>
    <t>PVC MIKA T0.5 BENING X 120MM X 40 METER</t>
  </si>
  <si>
    <t>TRM1458</t>
  </si>
  <si>
    <t>TANG JEPIT HOZAN P-36</t>
  </si>
  <si>
    <t>TRM1022</t>
  </si>
  <si>
    <t>TANG POTONG KAIBA MN-A04</t>
  </si>
  <si>
    <t>TRM0440</t>
  </si>
  <si>
    <t>NIPPER KEIBA MN-A04</t>
  </si>
  <si>
    <t>TRM2443</t>
  </si>
  <si>
    <t>(1A 355X38X127 00) 32 A 60 JV PNO VH66062002</t>
  </si>
  <si>
    <t>SHR</t>
  </si>
  <si>
    <t>TRM1128</t>
  </si>
  <si>
    <t>4 / 450-500 CBL KT MC</t>
  </si>
  <si>
    <t>TRM2779</t>
  </si>
  <si>
    <t>4 LEG WIRE ROPE SLING DIA 12MM, LENGTH 2000MM + SLING HOOK 210MM</t>
  </si>
  <si>
    <t>TRM0827</t>
  </si>
  <si>
    <t>AC/DC ADAPTER 24V 5A</t>
  </si>
  <si>
    <t>TRM2612</t>
  </si>
  <si>
    <t>ACRYLIC 1200X2400</t>
  </si>
  <si>
    <t>TRM2755</t>
  </si>
  <si>
    <t>ACRYLIK ID : 22.5MM OD : 32MM  TEBAL  3MM</t>
  </si>
  <si>
    <t>TRM2842</t>
  </si>
  <si>
    <t>ACTUATOR ELECTRIC LENIER MOTOR SPEED 20MM/S STROKE 1000MM</t>
  </si>
  <si>
    <t>TRM1787</t>
  </si>
  <si>
    <t>ADAPTOR DC 7,5 V 1 AMPERE</t>
  </si>
  <si>
    <t>TRM3218</t>
  </si>
  <si>
    <t>ADAPTOR LENOVO LEGION 230W (MODEL SLIM) INPUT : 100-240V 50-60HZ OUTPUT : 20V 11.5A 230W KONETOR : SLIM TIP SQUARE MOUTH USB</t>
  </si>
  <si>
    <t>TRM1754</t>
  </si>
  <si>
    <t>AIR GUN TEKIRO</t>
  </si>
  <si>
    <t>TRM1482</t>
  </si>
  <si>
    <t>AKI MAXSTROM MF VLA 12V20AH</t>
  </si>
  <si>
    <t>TRM1176</t>
  </si>
  <si>
    <t>ALUMINIUM FOIL TAPE UK 48MMX40Y DAIMARU</t>
  </si>
  <si>
    <t>TRM2364</t>
  </si>
  <si>
    <t>ALUMINIUM PROFILE 100 CM</t>
  </si>
  <si>
    <t>TRM2365</t>
  </si>
  <si>
    <t>ALUMINIUM PROFILE 110 CM</t>
  </si>
  <si>
    <t>TRM2983</t>
  </si>
  <si>
    <t>ALUMINIUM PROFILE 30X30X1000 T SLOT SILVER</t>
  </si>
  <si>
    <t>TRM2360</t>
  </si>
  <si>
    <t>ALUMINIUM PROFILE 50 CM</t>
  </si>
  <si>
    <t>TRM2362</t>
  </si>
  <si>
    <t>ALUMINIUM PROFILE 70 CM</t>
  </si>
  <si>
    <t>TRM2361</t>
  </si>
  <si>
    <t>ALUMINIUM PROFILE 85 CM</t>
  </si>
  <si>
    <t>TRM2363</t>
  </si>
  <si>
    <t>ALUMINIUM PROFILE 96 CM</t>
  </si>
  <si>
    <t>TRM1997</t>
  </si>
  <si>
    <t>ALUMUNIUM FOIL TAPE UK.48MMX40Y DAIMARU</t>
  </si>
  <si>
    <t>TRM2964</t>
  </si>
  <si>
    <t>ALUMUNIUM FOIL TOTAL WRAP 7.6M X 450MM</t>
  </si>
  <si>
    <t>TRM1576</t>
  </si>
  <si>
    <t>ALUMUNIUM HOSE 3" @10 METER</t>
  </si>
  <si>
    <t>TRM2648</t>
  </si>
  <si>
    <t>AMPLAS  TAIYO AA400</t>
  </si>
  <si>
    <t>TRM2649</t>
  </si>
  <si>
    <t>AMPLAS TAIYO AA240</t>
  </si>
  <si>
    <t>TRM2638</t>
  </si>
  <si>
    <t>AMPLAS TAIYO GRIT #240 (50MTR)</t>
  </si>
  <si>
    <t>TRM2637</t>
  </si>
  <si>
    <t>AMPLAS TAIYO GRIT #400 (50MTR)</t>
  </si>
  <si>
    <t>TRM1287</t>
  </si>
  <si>
    <t>ANCHOR M8X85</t>
  </si>
  <si>
    <t>TRM2984</t>
  </si>
  <si>
    <t>ANGLE BRACKET EXTRUDE 3030</t>
  </si>
  <si>
    <t>TRM2128</t>
  </si>
  <si>
    <t>ARC MEN CLEAN NOZLE NC400</t>
  </si>
  <si>
    <t>TRM2132</t>
  </si>
  <si>
    <t>ARC MEN NOZZLE SPRAY CA-60</t>
  </si>
  <si>
    <t>TRM1245</t>
  </si>
  <si>
    <t>ASTHONIS SPECIALIST EXTRA STRENGHT GREASE LIFTER 750ML</t>
  </si>
  <si>
    <t>TRM0087</t>
  </si>
  <si>
    <t>BALING BALING KIPAS 16" WARNA CLEAR</t>
  </si>
  <si>
    <t>TRM0424</t>
  </si>
  <si>
    <t>BALING-BALING KIPAS 12"</t>
  </si>
  <si>
    <t>TRM1549</t>
  </si>
  <si>
    <t>BANDO V-BELT A-84</t>
  </si>
  <si>
    <t>TRM1548</t>
  </si>
  <si>
    <t>BANDO V-BELT A-86</t>
  </si>
  <si>
    <t>TRM3095</t>
  </si>
  <si>
    <t>BATARAI ALKALINE TYPE D ISI 2</t>
  </si>
  <si>
    <t>TRM3036</t>
  </si>
  <si>
    <t>BATERA ALKALINE LR20 ISI 2</t>
  </si>
  <si>
    <t>TRM1621</t>
  </si>
  <si>
    <t>BATERAI LITHIUM LIFEPO4 24V 20AH</t>
  </si>
  <si>
    <t>TRM1904</t>
  </si>
  <si>
    <t>BATERAI LITHIUM PLC ER14250 3.6V 1/2AA</t>
  </si>
  <si>
    <t>TRM1905</t>
  </si>
  <si>
    <t>BATERAI LITHIUM TYPE  LS14250 3.6V 1/2A SAFT</t>
  </si>
  <si>
    <t>TRM2584</t>
  </si>
  <si>
    <t>BATERAI PLC LS14250 3.6V</t>
  </si>
  <si>
    <t>TRM1788</t>
  </si>
  <si>
    <t>BATERAI VRLA 6 VOLT  4,5 AMPERE (LC-R064R5NA)</t>
  </si>
  <si>
    <t>TRM3093</t>
  </si>
  <si>
    <t>BATTERY BATERAI CR17335SE-R ( CR 17335 SE ) 3V MITSUBISHI</t>
  </si>
  <si>
    <t>TRM3268</t>
  </si>
  <si>
    <t>BATU BATERAI ABC ALKALINE A2 ISI 6</t>
  </si>
  <si>
    <t>TRM2302</t>
  </si>
  <si>
    <t>BATU BATTERAI LR44</t>
  </si>
  <si>
    <t>TRM1811</t>
  </si>
  <si>
    <t>BAUT  L. YFS M8X50 BAJA 1/2 DRAT</t>
  </si>
  <si>
    <t>TRM2855</t>
  </si>
  <si>
    <t>BAUT  M12 X 70</t>
  </si>
  <si>
    <t>TRM2856</t>
  </si>
  <si>
    <t>BAUT  M12 X 80</t>
  </si>
  <si>
    <t>TRM0511</t>
  </si>
  <si>
    <t>BAUT BAJA L M10X140</t>
  </si>
  <si>
    <t>TRM2613</t>
  </si>
  <si>
    <t>BAUT BAJA L M3X45</t>
  </si>
  <si>
    <t>TRM0508</t>
  </si>
  <si>
    <t>BAUT BAJA L M8X120</t>
  </si>
  <si>
    <t>TRM2620</t>
  </si>
  <si>
    <t>BAUT BAJA M10X80</t>
  </si>
  <si>
    <t>TRM2616</t>
  </si>
  <si>
    <t>BAUT BAJA M6X30</t>
  </si>
  <si>
    <t>TRM2617</t>
  </si>
  <si>
    <t>BAUT BAJA M6X35</t>
  </si>
  <si>
    <t>TRM2618</t>
  </si>
  <si>
    <t>BAUT BAJA M6X40</t>
  </si>
  <si>
    <t>TRM1379</t>
  </si>
  <si>
    <t>BAUT HEXAGON M8X35 STAINLESS</t>
  </si>
  <si>
    <t>TRM1007</t>
  </si>
  <si>
    <t>BAUT L  BAJA M8X50</t>
  </si>
  <si>
    <t>TRM2921</t>
  </si>
  <si>
    <t>BAUT L BAJA</t>
  </si>
  <si>
    <t>TRM1224</t>
  </si>
  <si>
    <t>BAUT L BAJA  M6 X 30</t>
  </si>
  <si>
    <t>TRM2294</t>
  </si>
  <si>
    <t>BAUT L BAJA  M6 X 45</t>
  </si>
  <si>
    <t>TRM0954</t>
  </si>
  <si>
    <t>BAUT L BAJA  M8 X 50</t>
  </si>
  <si>
    <t>TRM2295</t>
  </si>
  <si>
    <t>BAUT L BAJA M10X15</t>
  </si>
  <si>
    <t>TRM2955</t>
  </si>
  <si>
    <t>BAUT L BAJA M10X25</t>
  </si>
  <si>
    <t>TRM2923</t>
  </si>
  <si>
    <t>BAUT L BAJA M10X30</t>
  </si>
  <si>
    <t>TRM2924</t>
  </si>
  <si>
    <t>BAUT L BAJA M10X35</t>
  </si>
  <si>
    <t>TRM2956</t>
  </si>
  <si>
    <t>BAUT L BAJA M10X40</t>
  </si>
  <si>
    <t>TRM2957</t>
  </si>
  <si>
    <t>BAUT L BAJA M10X45</t>
  </si>
  <si>
    <t>TRM2926</t>
  </si>
  <si>
    <t>BAUT L BAJA M10X50</t>
  </si>
  <si>
    <t>TRM2927</t>
  </si>
  <si>
    <t>BAUT L BAJA M10X60</t>
  </si>
  <si>
    <t>TRM1836</t>
  </si>
  <si>
    <t>BAUT L BAJA M10X60 SETENGAH DRAT</t>
  </si>
  <si>
    <t>TRM1837</t>
  </si>
  <si>
    <t>BAUT L BAJA M10X65 SETENGAH DRAT</t>
  </si>
  <si>
    <t>TRM2928</t>
  </si>
  <si>
    <t>BAUT L BAJA M10X70</t>
  </si>
  <si>
    <t>TRM2929</t>
  </si>
  <si>
    <t>BAUT L BAJA M10X80</t>
  </si>
  <si>
    <t>TRM2619</t>
  </si>
  <si>
    <t>BAUT L BAJA M10X90</t>
  </si>
  <si>
    <t>TRM3206</t>
  </si>
  <si>
    <t>BAUT L BAJA M12X10</t>
  </si>
  <si>
    <t>TRM2935</t>
  </si>
  <si>
    <t>BAUT L BAJA M12X100</t>
  </si>
  <si>
    <t>TRM2623</t>
  </si>
  <si>
    <t>BAUT L BAJA M12X12</t>
  </si>
  <si>
    <t>TRM2936</t>
  </si>
  <si>
    <t>BAUT L BAJA M12X120</t>
  </si>
  <si>
    <t>TRM2937</t>
  </si>
  <si>
    <t>BAUT L BAJA M12X130</t>
  </si>
  <si>
    <t>TRM2938</t>
  </si>
  <si>
    <t>BAUT L BAJA M12X140</t>
  </si>
  <si>
    <t>TRM2939</t>
  </si>
  <si>
    <t>BAUT L BAJA M12X150</t>
  </si>
  <si>
    <t>TRM2940</t>
  </si>
  <si>
    <t>BAUT L BAJA M12X160</t>
  </si>
  <si>
    <t>TRM2947</t>
  </si>
  <si>
    <t>BAUT L BAJA M12X170</t>
  </si>
  <si>
    <t>TRM2958</t>
  </si>
  <si>
    <t>BAUT L BAJA M12X25</t>
  </si>
  <si>
    <t>TRM2959</t>
  </si>
  <si>
    <t>BAUT L BAJA M12X30</t>
  </si>
  <si>
    <t>TRM2960</t>
  </si>
  <si>
    <t>BAUT L BAJA M12X35</t>
  </si>
  <si>
    <t>TRM2930</t>
  </si>
  <si>
    <t>BAUT L BAJA M12X60</t>
  </si>
  <si>
    <t>TRM2931</t>
  </si>
  <si>
    <t>BAUT L BAJA M12X70</t>
  </si>
  <si>
    <t>TRM2932</t>
  </si>
  <si>
    <t>BAUT L BAJA M12X75</t>
  </si>
  <si>
    <t>TRM2933</t>
  </si>
  <si>
    <t>BAUT L BAJA M12X80</t>
  </si>
  <si>
    <t>TRM2934</t>
  </si>
  <si>
    <t>BAUT L BAJA M12X90</t>
  </si>
  <si>
    <t>TRM2941</t>
  </si>
  <si>
    <t>BAUT L BAJA M14X40</t>
  </si>
  <si>
    <t>TRM2942</t>
  </si>
  <si>
    <t>BAUT L BAJA M14X75</t>
  </si>
  <si>
    <t>TRM1846</t>
  </si>
  <si>
    <t>BAUT L BAJA M3X20</t>
  </si>
  <si>
    <t>TRM1847</t>
  </si>
  <si>
    <t>BAUT L BAJA M3X25</t>
  </si>
  <si>
    <t>TRM1848</t>
  </si>
  <si>
    <t>BAUT L BAJA M3X30</t>
  </si>
  <si>
    <t>TRM0587</t>
  </si>
  <si>
    <t>BAUT L BAJA M4 X 50 HT</t>
  </si>
  <si>
    <t>TRM1851</t>
  </si>
  <si>
    <t>BAUT L BAJA M4X15</t>
  </si>
  <si>
    <t>TRM2614</t>
  </si>
  <si>
    <t>BAUT L BAJA M4X60</t>
  </si>
  <si>
    <t>TRM2900</t>
  </si>
  <si>
    <t>BAUT L BAJA M4X70</t>
  </si>
  <si>
    <t>TRM2901</t>
  </si>
  <si>
    <t>BAUT L BAJA M4X80</t>
  </si>
  <si>
    <t>TRM2902</t>
  </si>
  <si>
    <t>BAUT L BAJA M4X90</t>
  </si>
  <si>
    <t>TRM2943</t>
  </si>
  <si>
    <t>BAUT L BAJA M5X25</t>
  </si>
  <si>
    <t>TRM2944</t>
  </si>
  <si>
    <t>BAUT L BAJA M5X30</t>
  </si>
  <si>
    <t>TRM2945</t>
  </si>
  <si>
    <t>BAUT L BAJA M5X40</t>
  </si>
  <si>
    <t>TRM2946</t>
  </si>
  <si>
    <t>BAUT L BAJA M5X45</t>
  </si>
  <si>
    <t>TRM2903</t>
  </si>
  <si>
    <t>BAUT L BAJA M5X50</t>
  </si>
  <si>
    <t>TRM2904</t>
  </si>
  <si>
    <t>BAUT L BAJA M5X55</t>
  </si>
  <si>
    <t>TRM2905</t>
  </si>
  <si>
    <t>BAUT L BAJA M5X60</t>
  </si>
  <si>
    <t>TRM2906</t>
  </si>
  <si>
    <t>BAUT L BAJA M5X70</t>
  </si>
  <si>
    <t>TRM2907</t>
  </si>
  <si>
    <t>BAUT L BAJA M5X80</t>
  </si>
  <si>
    <t>TRM2908</t>
  </si>
  <si>
    <t>BAUT L BAJA M5X90</t>
  </si>
  <si>
    <t>TRM2783</t>
  </si>
  <si>
    <t>BAUT L BAJA M6 X 35</t>
  </si>
  <si>
    <t>TRM2784</t>
  </si>
  <si>
    <t>BAUT L BAJA M6 X 40</t>
  </si>
  <si>
    <t>TRM2849</t>
  </si>
  <si>
    <t>BAUT L BAJA M6 X 50</t>
  </si>
  <si>
    <t>TRM2850</t>
  </si>
  <si>
    <t>BAUT L BAJA M6 X 55</t>
  </si>
  <si>
    <t>TRM2615</t>
  </si>
  <si>
    <t>BAUT L BAJA M6X10</t>
  </si>
  <si>
    <t>TRM2948</t>
  </si>
  <si>
    <t>BAUT L BAJA M6X25</t>
  </si>
  <si>
    <t>TRM2949</t>
  </si>
  <si>
    <t>BAUT L BAJA M6X30</t>
  </si>
  <si>
    <t>TRM2950</t>
  </si>
  <si>
    <t>BAUT L BAJA M6X40</t>
  </si>
  <si>
    <t>TRM2909</t>
  </si>
  <si>
    <t>BAUT L BAJA M6X65</t>
  </si>
  <si>
    <t>TRM2910</t>
  </si>
  <si>
    <t>BAUT L BAJA M6X70</t>
  </si>
  <si>
    <t>TRM2911</t>
  </si>
  <si>
    <t>BAUT L BAJA M6X75</t>
  </si>
  <si>
    <t>TRM2912</t>
  </si>
  <si>
    <t>BAUT L BAJA M6X80</t>
  </si>
  <si>
    <t>TRM2913</t>
  </si>
  <si>
    <t>BAUT L BAJA M6X85</t>
  </si>
  <si>
    <t>TRM2914</t>
  </si>
  <si>
    <t>BAUT L BAJA M6X90</t>
  </si>
  <si>
    <t>TRM1826</t>
  </si>
  <si>
    <t>BAUT L BAJA M8 X 30</t>
  </si>
  <si>
    <t>TRM1013</t>
  </si>
  <si>
    <t>BAUT L BAJA M8 X 40  FULL DRAT</t>
  </si>
  <si>
    <t>TRM1832</t>
  </si>
  <si>
    <t>BAUT L BAJA M8 X 50</t>
  </si>
  <si>
    <t>TRM2853</t>
  </si>
  <si>
    <t>BAUT L BAJA M8 X 55</t>
  </si>
  <si>
    <t>TRM2951</t>
  </si>
  <si>
    <t>BAUT L BAJA M8X20</t>
  </si>
  <si>
    <t>TRM2952</t>
  </si>
  <si>
    <t>BAUT L BAJA M8X30</t>
  </si>
  <si>
    <t>TRM2953</t>
  </si>
  <si>
    <t>BAUT L BAJA M8X35</t>
  </si>
  <si>
    <t>TRM2954</t>
  </si>
  <si>
    <t>BAUT L BAJA M8X40</t>
  </si>
  <si>
    <t>TRM1833</t>
  </si>
  <si>
    <t>BAUT L BAJA M8X45 SETENGAH DRAT</t>
  </si>
  <si>
    <t>TRM2915</t>
  </si>
  <si>
    <t>BAUT L BAJA M8X50</t>
  </si>
  <si>
    <t>TRM2916</t>
  </si>
  <si>
    <t>BAUT L BAJA M8X55</t>
  </si>
  <si>
    <t>TRM2917</t>
  </si>
  <si>
    <t>BAUT L BAJA M8X60</t>
  </si>
  <si>
    <t>TRM2918</t>
  </si>
  <si>
    <t>BAUT L BAJA M8X65</t>
  </si>
  <si>
    <t>TRM1835</t>
  </si>
  <si>
    <t>BAUT L BAJA M8X65 SETENGAH DRAT</t>
  </si>
  <si>
    <t>TRM2919</t>
  </si>
  <si>
    <t>BAUT L BAJA M8X70</t>
  </si>
  <si>
    <t>TRM1834</t>
  </si>
  <si>
    <t>BAUT L BAJA M8X70 SETENGAH DRAT</t>
  </si>
  <si>
    <t>TRM2920</t>
  </si>
  <si>
    <t>BAUT L BAJA M8X75</t>
  </si>
  <si>
    <t>TRM2922</t>
  </si>
  <si>
    <t>BAUT L BAJA M8X90</t>
  </si>
  <si>
    <t>TRM1792</t>
  </si>
  <si>
    <t>BAUT L BAJA UK. M8 X 50 FULL DRAT</t>
  </si>
  <si>
    <t>TRM1217</t>
  </si>
  <si>
    <t>BAUT L BAJA YFS M4 X 10</t>
  </si>
  <si>
    <t>TRM1218</t>
  </si>
  <si>
    <t>BAUT L BAJA YFS M5 X 10</t>
  </si>
  <si>
    <t>TRM1219</t>
  </si>
  <si>
    <t>BAUT L BAJA YFS M5 X 15</t>
  </si>
  <si>
    <t>TRM1220</t>
  </si>
  <si>
    <t>BAUT L BAJA YFS M5 X 25</t>
  </si>
  <si>
    <t>TRM1221</t>
  </si>
  <si>
    <t>BAUT L BAJA YFS M5 X 60</t>
  </si>
  <si>
    <t>TRM1857</t>
  </si>
  <si>
    <t>BAUT L M6X15</t>
  </si>
  <si>
    <t>TRM0953</t>
  </si>
  <si>
    <t>BAUT L M6X15MM BAJA HITAM</t>
  </si>
  <si>
    <t>TRM1858</t>
  </si>
  <si>
    <t>BAUT L M6X20</t>
  </si>
  <si>
    <t>TRM0959</t>
  </si>
  <si>
    <t>BAUT L M8X40 BAJA</t>
  </si>
  <si>
    <t>TRM0958</t>
  </si>
  <si>
    <t>BAUT L M8X45 BAJA</t>
  </si>
  <si>
    <t>TRM1844</t>
  </si>
  <si>
    <t>BAUT L VERSENG M3X10 BAJA</t>
  </si>
  <si>
    <t>TRM1845</t>
  </si>
  <si>
    <t>BAUT L VERSENG M3X15 BAJA</t>
  </si>
  <si>
    <t>TRM1849</t>
  </si>
  <si>
    <t>BAUT L VERSENG M4X10 BAJA</t>
  </si>
  <si>
    <t>TRM1850</t>
  </si>
  <si>
    <t>BAUT L VERSENG M4X15 BAJA</t>
  </si>
  <si>
    <t>TRM1852</t>
  </si>
  <si>
    <t>BAUT L VERSENG M5X10 BAJA</t>
  </si>
  <si>
    <t>TRM1853</t>
  </si>
  <si>
    <t>BAUT L VERSENG M5X15 BAJA</t>
  </si>
  <si>
    <t>TRM1222</t>
  </si>
  <si>
    <t>BAUT L VERSENG M6X10 BAJA</t>
  </si>
  <si>
    <t>TRM2509</t>
  </si>
  <si>
    <t>BAUT L VERSENG M6X15 BAJA</t>
  </si>
  <si>
    <t>TRM2851</t>
  </si>
  <si>
    <t>BAUT L VERSENG M8X10 BAJA</t>
  </si>
  <si>
    <t>TRM2852</t>
  </si>
  <si>
    <t>BAUT L VERSENG M8X15 BAJA</t>
  </si>
  <si>
    <t>TRM1824</t>
  </si>
  <si>
    <t>BAUT L YFS M8X20</t>
  </si>
  <si>
    <t>TRM1825</t>
  </si>
  <si>
    <t>BAUT L YFS M8X25</t>
  </si>
  <si>
    <t>TRM1856</t>
  </si>
  <si>
    <t>BAUT L/B YFS  M6 X 20</t>
  </si>
  <si>
    <t>TRM1223</t>
  </si>
  <si>
    <t>BAUT L/B YFS M6 X 15</t>
  </si>
  <si>
    <t>TRM2508</t>
  </si>
  <si>
    <t>BAUT L/B YFS M6X20</t>
  </si>
  <si>
    <t>TRM2961</t>
  </si>
  <si>
    <t>BAUT M12X40</t>
  </si>
  <si>
    <t>TRM2621</t>
  </si>
  <si>
    <t>BAUT M12X45</t>
  </si>
  <si>
    <t>TRM0681</t>
  </si>
  <si>
    <t>BAUT M2 X 10 MM</t>
  </si>
  <si>
    <t>TRM0765</t>
  </si>
  <si>
    <t>BAUT M8X45</t>
  </si>
  <si>
    <t>TRM3119</t>
  </si>
  <si>
    <t>BAUT TANAM M2</t>
  </si>
  <si>
    <t>TRM2884</t>
  </si>
  <si>
    <t>BEARING  6202 ZZ NTN</t>
  </si>
  <si>
    <t>TRM2744</t>
  </si>
  <si>
    <t>BEARING KOYO SAC 3048-1</t>
  </si>
  <si>
    <t>TRM2745</t>
  </si>
  <si>
    <t>BEARING NSK 51202</t>
  </si>
  <si>
    <t>TRM2288</t>
  </si>
  <si>
    <t>BESDIA GRADE 14.000 DIAMOND COUMPOUNDS</t>
  </si>
  <si>
    <t>TRM2290</t>
  </si>
  <si>
    <t>BESDIA GRADE 6.000 DIAMOND COUMPOUNDS</t>
  </si>
  <si>
    <t>TRM2289</t>
  </si>
  <si>
    <t>BESDIA GRADE 8.000 DIAMOND COUMPOUNDS</t>
  </si>
  <si>
    <t>TRM2651</t>
  </si>
  <si>
    <t>BESI BETON  DIA 10MM PANJANG 1 METER</t>
  </si>
  <si>
    <t>TRM2286</t>
  </si>
  <si>
    <t>BESI HOLLOW 40X40 T1.2MM 6 METER (FULL)</t>
  </si>
  <si>
    <t>TRM2256</t>
  </si>
  <si>
    <t>BOHLAM MSL 24V 25W</t>
  </si>
  <si>
    <t>TRM0664</t>
  </si>
  <si>
    <t>BOLT BUTTERFLY + NUT M8X20</t>
  </si>
  <si>
    <t>TRM0666</t>
  </si>
  <si>
    <t>BOLT BUTTERFLY + NUT M8X30</t>
  </si>
  <si>
    <t>TRM1654</t>
  </si>
  <si>
    <t>BOR UK 3.3 MERK NACHI</t>
  </si>
  <si>
    <t>TRM3144</t>
  </si>
  <si>
    <t>BOR UK 4.3 MERK NACHI</t>
  </si>
  <si>
    <t>TRM3145</t>
  </si>
  <si>
    <t>BOR UK 5.0 MERK NACHI</t>
  </si>
  <si>
    <t>TRM3146</t>
  </si>
  <si>
    <t>BOR UK 6.8 MERK NACHI</t>
  </si>
  <si>
    <t>TRM3147</t>
  </si>
  <si>
    <t>BOR UK 8.5 MERK NACHI</t>
  </si>
  <si>
    <t>TRM2724</t>
  </si>
  <si>
    <t>BOTOL SPRAY 500ML</t>
  </si>
  <si>
    <t>TRM2267</t>
  </si>
  <si>
    <t>BOX IMPRABOX T3MM 570X180X110MM</t>
  </si>
  <si>
    <t>TRM2359</t>
  </si>
  <si>
    <t>BRACKET GUSSET ELEMENT EXTRUDE 3030</t>
  </si>
  <si>
    <t>TRM1889</t>
  </si>
  <si>
    <t>BRICA B-PRO 5 ALPHA EDITION LITE (AE LITE) BLACK</t>
  </si>
  <si>
    <t>TRM1463</t>
  </si>
  <si>
    <t>BRIDGESTONE JAPAN EXCEL COLOR DIA 9 1.5MPA</t>
  </si>
  <si>
    <t>TRM2418</t>
  </si>
  <si>
    <t>BROCO T ARDE</t>
  </si>
  <si>
    <t>TRM0951</t>
  </si>
  <si>
    <t>BS06 - 244 G</t>
  </si>
  <si>
    <t>TRM1403</t>
  </si>
  <si>
    <t>BUTIRAN STEROFOAM</t>
  </si>
  <si>
    <t>TRM2591</t>
  </si>
  <si>
    <t>C&amp;C CONTACT CLEANER 2016 FL</t>
  </si>
  <si>
    <t>TRM0955</t>
  </si>
  <si>
    <t>CA - 34 0,1,2,3,4</t>
  </si>
  <si>
    <t>TRM0898</t>
  </si>
  <si>
    <t>CABLE DUCT 40X60 (2 METER)</t>
  </si>
  <si>
    <t>TRM1568</t>
  </si>
  <si>
    <t>CABLE FEDERAL NYMHY 2X0 75MM2 @50 M HT</t>
  </si>
  <si>
    <t>TRM1567</t>
  </si>
  <si>
    <t>CABLE FEDERAL NYMHY 3X0 75MM2 @50 M HT</t>
  </si>
  <si>
    <t>TRM1569</t>
  </si>
  <si>
    <t>CABLE FEDERAL NYYHY 6X0 75MM2 @100 M HT</t>
  </si>
  <si>
    <t>TRM1696</t>
  </si>
  <si>
    <t>CABLE GLAND PG-29</t>
  </si>
  <si>
    <t>TRM1006</t>
  </si>
  <si>
    <t>CAPACITOR 450VOLT 4MF</t>
  </si>
  <si>
    <t>TRM0931</t>
  </si>
  <si>
    <t>CARD TECK 800KGS CT-GT800</t>
  </si>
  <si>
    <t>TRM1047</t>
  </si>
  <si>
    <t>CAT BESI AVIAN HIJAU KODE 661</t>
  </si>
  <si>
    <t>TRM1023</t>
  </si>
  <si>
    <t>CAT SPRAY DITON PREMIUM CANDY TONE BLUE 9309</t>
  </si>
  <si>
    <t>TRM1024</t>
  </si>
  <si>
    <t>CAT SPRAY DITON PREMIUM CLEAR GLOS 9128</t>
  </si>
  <si>
    <t>TRM1025</t>
  </si>
  <si>
    <t>CAT SPRAY DITON PREMIUM WHITE 9102</t>
  </si>
  <si>
    <t>TRM1299</t>
  </si>
  <si>
    <t>CATOK PUTAR REGULER 4" "TJAP MATA"</t>
  </si>
  <si>
    <t>TRM1657</t>
  </si>
  <si>
    <t>CB 325 MAKITA</t>
  </si>
  <si>
    <t>TRM1656</t>
  </si>
  <si>
    <t>CB 64A MAKITA</t>
  </si>
  <si>
    <t>TRM0939</t>
  </si>
  <si>
    <t>CBD-20</t>
  </si>
  <si>
    <t>TRM1325</t>
  </si>
  <si>
    <t>CCTV EZVIZ C6N</t>
  </si>
  <si>
    <t>TRM2787</t>
  </si>
  <si>
    <t>CENTER DRILL MHCDS - 3X60X8</t>
  </si>
  <si>
    <t>TRM2788</t>
  </si>
  <si>
    <t>CENTER DRILL MHCDS - 5X60X12</t>
  </si>
  <si>
    <t>TRM1705</t>
  </si>
  <si>
    <t>CHAIN DUCT CABLE 10X20X1000M</t>
  </si>
  <si>
    <t>TRM1622</t>
  </si>
  <si>
    <t>CHARGER BATERAI LIFEPO4 24V 20AH</t>
  </si>
  <si>
    <t>TRM1583</t>
  </si>
  <si>
    <t>CLAM SELANG KECIL</t>
  </si>
  <si>
    <t>TRM1886</t>
  </si>
  <si>
    <t>CLAMP SELANG 12-20MM</t>
  </si>
  <si>
    <t>TRM2627</t>
  </si>
  <si>
    <t>CLAMP SELANG 3/4</t>
  </si>
  <si>
    <t>TRM1011</t>
  </si>
  <si>
    <t>CLAMP SELANG UK 3/4"</t>
  </si>
  <si>
    <t>TRM3054</t>
  </si>
  <si>
    <t>CLAMP SLING 16 INCH</t>
  </si>
  <si>
    <t>TRM3107</t>
  </si>
  <si>
    <t>CLINDER SMC MXQ12-75ZA</t>
  </si>
  <si>
    <t>TRM2589</t>
  </si>
  <si>
    <t>CNC KONTAK CLEANER</t>
  </si>
  <si>
    <t>TRM2246</t>
  </si>
  <si>
    <t>COLOKAN ISI 1</t>
  </si>
  <si>
    <t>TRM1991</t>
  </si>
  <si>
    <t>COLOKAN ISI 3</t>
  </si>
  <si>
    <t>TRM1992</t>
  </si>
  <si>
    <t>COLOKAN ISI 4</t>
  </si>
  <si>
    <t>TRM0757</t>
  </si>
  <si>
    <t>COLOKAN YANG ADA COVERNYA</t>
  </si>
  <si>
    <t>TRM1642</t>
  </si>
  <si>
    <t>COMPACT FLASH OF CARD 1GB "SANDISK"</t>
  </si>
  <si>
    <t>TRM1374</t>
  </si>
  <si>
    <t>CONNECTOR FITTING LAMPU LED</t>
  </si>
  <si>
    <t>TRM1771</t>
  </si>
  <si>
    <t>CONTAC NO MERK FUJITEC</t>
  </si>
  <si>
    <t>TRM1391</t>
  </si>
  <si>
    <t>CONTROL BOX HANYOUNG HY 2501/3001</t>
  </si>
  <si>
    <t>TRM0938</t>
  </si>
  <si>
    <t>CONVERTER POWER SUPPLY TRANSFORMER STEP DOWN 24V TO 12V 20A MERK DIC</t>
  </si>
  <si>
    <t>TRM2782</t>
  </si>
  <si>
    <t>COUPLER 2 CABANG</t>
  </si>
  <si>
    <t>TRM2823</t>
  </si>
  <si>
    <t>COVER COUPLER 2 CABANG</t>
  </si>
  <si>
    <t>TRM2811</t>
  </si>
  <si>
    <t>COVER EMERGENCY HOLE DIM 40MM ER-60</t>
  </si>
  <si>
    <t>TRM1179</t>
  </si>
  <si>
    <t>COVER PUSH BUTTON</t>
  </si>
  <si>
    <t>TRM3038</t>
  </si>
  <si>
    <t>CRC SILICONE GREASE</t>
  </si>
  <si>
    <t>TRM1994</t>
  </si>
  <si>
    <t>CUTTING WHEEL 4*1.2</t>
  </si>
  <si>
    <t>TRM1270</t>
  </si>
  <si>
    <t>D89 BREAKOUT CONNECTOR WIRING TERMINAL RS232 D-SUB FEMALE SERIAL</t>
  </si>
  <si>
    <t>TRM1399</t>
  </si>
  <si>
    <t>DAIHO JIP 141 BIRU</t>
  </si>
  <si>
    <t>TRM1401</t>
  </si>
  <si>
    <t>DAIHO JIP 143 MERAH</t>
  </si>
  <si>
    <t>TRM1400</t>
  </si>
  <si>
    <t>DAIHO JIP 145 HIJAU</t>
  </si>
  <si>
    <t>TRM1444</t>
  </si>
  <si>
    <t>DB9 FEMALE SOKET PIN</t>
  </si>
  <si>
    <t>TRM0453</t>
  </si>
  <si>
    <t>DEXTONE POWER GLUE</t>
  </si>
  <si>
    <t>TRM0956</t>
  </si>
  <si>
    <t>DIN RAIL (1MTR/BTG)</t>
  </si>
  <si>
    <t>TRM0880</t>
  </si>
  <si>
    <t>DOMAE MCB 10A 2P - DMF01210</t>
  </si>
  <si>
    <t>TRM2084</t>
  </si>
  <si>
    <t>DONGKRAK ALLEFIX DONGKRAK ELECTRIC 12V 2 TON</t>
  </si>
  <si>
    <t>TRM2099</t>
  </si>
  <si>
    <t>DOU WATER COOLING FLOW INDICATOR METER COPPER CHROMED 2 WAYS G1/4</t>
  </si>
  <si>
    <t>TRM1693</t>
  </si>
  <si>
    <t>DOUBLE DECK TERMINAL FJD15W</t>
  </si>
  <si>
    <t>TRM3012</t>
  </si>
  <si>
    <t>DRILL CHUCK 10MM</t>
  </si>
  <si>
    <t>TRM3013</t>
  </si>
  <si>
    <t>DRILL CHUCK 13MM</t>
  </si>
  <si>
    <t>TRM1061</t>
  </si>
  <si>
    <t>DRILL NACHI DIA 10.5</t>
  </si>
  <si>
    <t>TRM1931</t>
  </si>
  <si>
    <t>DRILL UD 4 230V</t>
  </si>
  <si>
    <t>TRM1578</t>
  </si>
  <si>
    <t>DUCT TAPE ALUMUNIUUM 2"</t>
  </si>
  <si>
    <t>TRM2676</t>
  </si>
  <si>
    <t>DUCTING HOSE DIA 8" MERK JAPAN</t>
  </si>
  <si>
    <t>TRM1577</t>
  </si>
  <si>
    <t>DUCTING TEE 3"</t>
  </si>
  <si>
    <t>TRM2254</t>
  </si>
  <si>
    <t>DYNABOLT 10X60</t>
  </si>
  <si>
    <t>TRM2439</t>
  </si>
  <si>
    <t>DYNABOLT 12X60</t>
  </si>
  <si>
    <t>TRM1550</t>
  </si>
  <si>
    <t>DYNABOLT M10</t>
  </si>
  <si>
    <t>TRM2440</t>
  </si>
  <si>
    <t>DYNABOLT M10X65</t>
  </si>
  <si>
    <t>TRM2253</t>
  </si>
  <si>
    <t>DYNABOLT M8X40 KUNING</t>
  </si>
  <si>
    <t>TRM0846</t>
  </si>
  <si>
    <t>ELECTRIC JACK DONGKRAK ELEKTRIK KRISBOW 2 TON</t>
  </si>
  <si>
    <t>TRM3106</t>
  </si>
  <si>
    <t>ELECTRIC SELENOID WATER 1-1/2 INCH</t>
  </si>
  <si>
    <t>TRM1694</t>
  </si>
  <si>
    <t>END PLATE D-FJD15W</t>
  </si>
  <si>
    <t>TRM0461</t>
  </si>
  <si>
    <t>ENDO BALANCER 1-3KG MODEL EW-3</t>
  </si>
  <si>
    <t>TRM1941</t>
  </si>
  <si>
    <t>ENDO EWF 50</t>
  </si>
  <si>
    <t>TRM3025</t>
  </si>
  <si>
    <t>EXHAUST MERK PANASONIC 8 INCH FV20TGU</t>
  </si>
  <si>
    <t>TRM1377</t>
  </si>
  <si>
    <t>EYEBOLT M10</t>
  </si>
  <si>
    <t>TRM1378</t>
  </si>
  <si>
    <t>EYEBOLT M12 KUNING</t>
  </si>
  <si>
    <t>TRM0848</t>
  </si>
  <si>
    <t>FBC122408D</t>
  </si>
  <si>
    <t>TRM1461</t>
  </si>
  <si>
    <t>FLEXIBLE DUCTING DIA 4 INCH @10 MTR</t>
  </si>
  <si>
    <t>TRM2138</t>
  </si>
  <si>
    <t>FTALIT 115-153 EMERALD 1 KG</t>
  </si>
  <si>
    <t>TRM2139</t>
  </si>
  <si>
    <t>FTALIT 115-582 BLACK 1 KG</t>
  </si>
  <si>
    <t>TRM2309</t>
  </si>
  <si>
    <t>FUSE 5X30-3A 250V</t>
  </si>
  <si>
    <t>TRM2420</t>
  </si>
  <si>
    <t>GANTUNGAN CARABINER  ALUMINIUM WARNA SILVER DAN HITAM</t>
  </si>
  <si>
    <t>TRM3033</t>
  </si>
  <si>
    <t>GAPPU PREMIUM EPOXY TILE GROUT</t>
  </si>
  <si>
    <t>TRM1028</t>
  </si>
  <si>
    <t>GAYUNG L/S</t>
  </si>
  <si>
    <t>TRM3204</t>
  </si>
  <si>
    <t>GEMBOK ABUS 40MM</t>
  </si>
  <si>
    <t>TRM1700</t>
  </si>
  <si>
    <t>GERINDA MAKITA 9553B 4"</t>
  </si>
  <si>
    <t>TRM2079</t>
  </si>
  <si>
    <t>GERINDA MESIN MAKITA 9553B</t>
  </si>
  <si>
    <t>TRM1395</t>
  </si>
  <si>
    <t>GUILLERMO TERMINAL BLOCK KONEKTOR SAMBUNGAN KABEL LISTRIK PLUG-IN</t>
  </si>
  <si>
    <t>TRM0417</t>
  </si>
  <si>
    <t>HAND MAGNET CATCHER 670mm</t>
  </si>
  <si>
    <t>TRM2500</t>
  </si>
  <si>
    <t>HAND STACKER MERK TAKEDA 1,5 TON</t>
  </si>
  <si>
    <t>TRM0842</t>
  </si>
  <si>
    <t>HANYOUNG CONTROL PANEL ISI 2 DIAMETER 23MM</t>
  </si>
  <si>
    <t>TRM0465</t>
  </si>
  <si>
    <t>HASSTON PROHEX KIKIR MAS DIAMOND FILE 1633-001</t>
  </si>
  <si>
    <t>TRM1918</t>
  </si>
  <si>
    <t>HEATSHRINK 3MM (ISOLASI BAKAR)</t>
  </si>
  <si>
    <t>TRM1919</t>
  </si>
  <si>
    <t>HEATSHRINK 5MM (ISOLASI BAKAR)</t>
  </si>
  <si>
    <t>TRM2415</t>
  </si>
  <si>
    <t>HELEM SAFTY BUM CAP PUTIH</t>
  </si>
  <si>
    <t>TRM1767</t>
  </si>
  <si>
    <t>HELM KDK</t>
  </si>
  <si>
    <t>TRM1005</t>
  </si>
  <si>
    <t>HI CUPLA 30PH KUNINGAN</t>
  </si>
  <si>
    <t>TRM1698</t>
  </si>
  <si>
    <t>HOLE SAW SPRING 19MM</t>
  </si>
  <si>
    <t>TRM1699</t>
  </si>
  <si>
    <t>HOLE SAW SPRING 40MM</t>
  </si>
  <si>
    <t>TRM0273</t>
  </si>
  <si>
    <t>IMPRABOARD + PARTISI FRONT HANDLE 4L45W</t>
  </si>
  <si>
    <t>TRM0990</t>
  </si>
  <si>
    <t>ISI LEM TEMBAK</t>
  </si>
  <si>
    <t>TRM0940</t>
  </si>
  <si>
    <t>JUM CBR 20</t>
  </si>
  <si>
    <t>TRM1697</t>
  </si>
  <si>
    <t>JUMPER BNJ26FWB</t>
  </si>
  <si>
    <t>TRM0897</t>
  </si>
  <si>
    <t>JUMPER CBR-20A</t>
  </si>
  <si>
    <t>TRM1692</t>
  </si>
  <si>
    <t>JUNCTION TIBOX PVC 200X200X130MM</t>
  </si>
  <si>
    <t>TRM1429</t>
  </si>
  <si>
    <t>KABEL BIRU TUNGGAL 0,5MM 1 ROLL @100 METER</t>
  </si>
  <si>
    <t>TRM2737</t>
  </si>
  <si>
    <t>KABEL COKLAT TUNGGAL 0,5MM 1 ROLL @100 METER</t>
  </si>
  <si>
    <t>TRM2467</t>
  </si>
  <si>
    <t>KABEL FEDERAL NYMHY 3 X 0.75MM2 @50MTR/ROLL</t>
  </si>
  <si>
    <t>TRM2287</t>
  </si>
  <si>
    <t>KABEL FEDERAL NYYHY 2 X 0.75 (100MTR/ROLL)</t>
  </si>
  <si>
    <t>TRM1730</t>
  </si>
  <si>
    <t>KABEL HIJAU TUNGGAL 0,5 MM</t>
  </si>
  <si>
    <t>TRM0604</t>
  </si>
  <si>
    <t>KABEL ISI 2X0.75 50MTR</t>
  </si>
  <si>
    <t>TRM1729</t>
  </si>
  <si>
    <t>KABEL KUNING  TUNGGAL 0,5 MM</t>
  </si>
  <si>
    <t>TRM1327</t>
  </si>
  <si>
    <t>KABEL LAN FTP CAT6 305 METER OUTDOOR GLOBAL</t>
  </si>
  <si>
    <t>TRM2503</t>
  </si>
  <si>
    <t>KABEL NYYHY 4X0.75MM @50MTR MERK  FEDERAL</t>
  </si>
  <si>
    <t>TRM1465</t>
  </si>
  <si>
    <t>KABEL NYYHY JEMBO 30X1.55MM</t>
  </si>
  <si>
    <t>TRM1483</t>
  </si>
  <si>
    <t>KABEL PUTIH ISI 25X0.2 SERABUT</t>
  </si>
  <si>
    <t>TRM2262</t>
  </si>
  <si>
    <t>KABEL ROLL 25MTR KENMASTER</t>
  </si>
  <si>
    <t>TRM1998</t>
  </si>
  <si>
    <t>KABEL TIES 100 SIGMA</t>
  </si>
  <si>
    <t>TRM1999</t>
  </si>
  <si>
    <t>KABEL TIES 200 SIGMA</t>
  </si>
  <si>
    <t>TRM2000</t>
  </si>
  <si>
    <t>KABEL TIES 300 SIGMA</t>
  </si>
  <si>
    <t>TRM0452</t>
  </si>
  <si>
    <t>KACAMATA SAFETY</t>
  </si>
  <si>
    <t>TRM0769</t>
  </si>
  <si>
    <t>KAPE 2"</t>
  </si>
  <si>
    <t>TRM0879</t>
  </si>
  <si>
    <t>KASA PENUTUP VENTILASI SEDANG LEBAR 1M</t>
  </si>
  <si>
    <t>TRM0828</t>
  </si>
  <si>
    <t>KAWAT LAS KABELCO RB-26 (5KG/PACK)</t>
  </si>
  <si>
    <t>TRM2053</t>
  </si>
  <si>
    <t>KAWAT LAS RB-26 MERK NIKO</t>
  </si>
  <si>
    <t>TRM2421</t>
  </si>
  <si>
    <t>KB-20</t>
  </si>
  <si>
    <t>TRM2422</t>
  </si>
  <si>
    <t>KB-60</t>
  </si>
  <si>
    <t>TRM1060</t>
  </si>
  <si>
    <t>KEPALA BOR MAXEL (1.5-13MM)</t>
  </si>
  <si>
    <t>TRM0926</t>
  </si>
  <si>
    <t>KESET DIATOMITE  60X39 CM</t>
  </si>
  <si>
    <t>TRM2419</t>
  </si>
  <si>
    <t>KEY RING JOYKO KR-9/GANTUNGAN KUNCI LOKER ISI 50 PCS (WARNA RANDOM)</t>
  </si>
  <si>
    <t>TRM2165</t>
  </si>
  <si>
    <t>KEYBOARD LENOVO THINKPAD EDGE E420 POINTER</t>
  </si>
  <si>
    <t>TRM1649</t>
  </si>
  <si>
    <t>KINIK GRINDING WHEEL WA 180X13X31.75 WA 46KV1A</t>
  </si>
  <si>
    <t>TRM0246</t>
  </si>
  <si>
    <t>KIO WINCH GG-250</t>
  </si>
  <si>
    <t>TRM3053</t>
  </si>
  <si>
    <t>KIO WINCH GG-500</t>
  </si>
  <si>
    <t>TRM2588</t>
  </si>
  <si>
    <t>KIPAS ANGIN COSMOS 16"</t>
  </si>
  <si>
    <t>TRM0175</t>
  </si>
  <si>
    <t>KIPAS ANGIN PANASONIC  F EQ-405</t>
  </si>
  <si>
    <t>TRM3063</t>
  </si>
  <si>
    <t>KIPAS ROTARY PANASONIC SERI EU-409-W</t>
  </si>
  <si>
    <t>TRM2264</t>
  </si>
  <si>
    <t>KIPAS STANDING FAN SANEX 16" SERI FS-884</t>
  </si>
  <si>
    <t>TRM1940</t>
  </si>
  <si>
    <t>KIPAS TORNADO MERK CKE WALL FAN 30"</t>
  </si>
  <si>
    <t>TRM3039</t>
  </si>
  <si>
    <t>KLYDE COLD GALVANIZE 500ML</t>
  </si>
  <si>
    <t>TRM2816</t>
  </si>
  <si>
    <t>KONEKTOR KABEL 3 JALUR PCT 2-3 UNIVERSAL WIRE CONNECTOR TERMINAL WAGO</t>
  </si>
  <si>
    <t>TRM2815</t>
  </si>
  <si>
    <t>KONEKTOR WAGO TERMINAL BLOCK TUAS CLAMP 2 TO 6 WIRE CONNECTOR SPL-62</t>
  </si>
  <si>
    <t>TRM0988</t>
  </si>
  <si>
    <t>KRISBOW TANGGA LIPAT  2 ANAK TANGGA</t>
  </si>
  <si>
    <t>TRM2141</t>
  </si>
  <si>
    <t>KUAS 2"</t>
  </si>
  <si>
    <t>TRM1027</t>
  </si>
  <si>
    <t>KUAS CAT 1 INCH</t>
  </si>
  <si>
    <t>TRM3014</t>
  </si>
  <si>
    <t>KUNCI CHUCK 10MM</t>
  </si>
  <si>
    <t>TRM3015</t>
  </si>
  <si>
    <t>KUNCI CHUCK 13MM</t>
  </si>
  <si>
    <t>TRM2699</t>
  </si>
  <si>
    <t>KUNCI INGGRIS 12"</t>
  </si>
  <si>
    <t>TRM0607</t>
  </si>
  <si>
    <t>KUNCI INGGRIS MW200</t>
  </si>
  <si>
    <t>TRM3117</t>
  </si>
  <si>
    <t>KUNCI INGGRIS UKURAN 300</t>
  </si>
  <si>
    <t>TRM0668</t>
  </si>
  <si>
    <t>KUNCI L 1.5 MERK TONE PUTIH</t>
  </si>
  <si>
    <t>TRM1917</t>
  </si>
  <si>
    <t>KUNCI L 2,5 TRUSCO</t>
  </si>
  <si>
    <t>TRM2839</t>
  </si>
  <si>
    <t>KUNCI L 8MM TEKIRO</t>
  </si>
  <si>
    <t>TRM1259</t>
  </si>
  <si>
    <t>KUNCI L UKURAN 2.5 MM AL</t>
  </si>
  <si>
    <t>TRM0464</t>
  </si>
  <si>
    <t>KUNCI L UKURAN BL-2.5</t>
  </si>
  <si>
    <t>TRM2049</t>
  </si>
  <si>
    <t>KUNCI RING PAS KOMBINASI MERK TEKIRO</t>
  </si>
  <si>
    <t>TRM2781</t>
  </si>
  <si>
    <t>KUNCI SHOCK UNTUK M8 TEKIRO</t>
  </si>
  <si>
    <t>TRM3024</t>
  </si>
  <si>
    <t>KYOWA T508 TEST PUMP KEBOCORAN PIPA</t>
  </si>
  <si>
    <t>TRM0952</t>
  </si>
  <si>
    <t>LA115-A5 - NC</t>
  </si>
  <si>
    <t>TRM0950</t>
  </si>
  <si>
    <t>LA115-A5-10XD GREEN</t>
  </si>
  <si>
    <t>TRM3060</t>
  </si>
  <si>
    <t>LABEL TAPE PRINTER CASIO 9MM XR9  RED</t>
  </si>
  <si>
    <t>TRM3059</t>
  </si>
  <si>
    <t>LABEL TAPE PRINTER CASIO 9MM XR9 WHITE</t>
  </si>
  <si>
    <t>TRM3058</t>
  </si>
  <si>
    <t>LABEL TAPE PRINTER CASIO 9MM XR9 YELLOW</t>
  </si>
  <si>
    <t>TRM0770</t>
  </si>
  <si>
    <t>LAKBAN HITAM 2" DAIMARU</t>
  </si>
  <si>
    <t>TRM1689</t>
  </si>
  <si>
    <t>LAKBAN POLICE LINE 2 INCH</t>
  </si>
  <si>
    <t>TRM2838</t>
  </si>
  <si>
    <t>LAKBAN POLICE LINE DENGAN LEM</t>
  </si>
  <si>
    <t>TRM0462</t>
  </si>
  <si>
    <t>LAMPU BOHLAM HELLA 24V 5W</t>
  </si>
  <si>
    <t>TRM1101</t>
  </si>
  <si>
    <t>LAMPU HELLA BOHLAM K1 12V 5W 67 BGA</t>
  </si>
  <si>
    <t>TRM1048</t>
  </si>
  <si>
    <t>LAMPU INF030 10W 1P LED</t>
  </si>
  <si>
    <t>TRM1301</t>
  </si>
  <si>
    <t>LAMPU INLITE FLOOD LIGHT 10W</t>
  </si>
  <si>
    <t>TRM1049</t>
  </si>
  <si>
    <t>LAMPU INLITE FLOOD LIGHT 20W</t>
  </si>
  <si>
    <t>TRM1178</t>
  </si>
  <si>
    <t>LAMPU LED KOTAK 30W 220 VOLT</t>
  </si>
  <si>
    <t>TRM1084</t>
  </si>
  <si>
    <t>LAMPU LED T8 TUBE 15WATT 60CM</t>
  </si>
  <si>
    <t>TRM4123</t>
  </si>
  <si>
    <t>LAMPU LED T8 TUBE 16 WATT (120 CM) MERK LIGHT</t>
  </si>
  <si>
    <t>TRM1085</t>
  </si>
  <si>
    <t>LAMPU LED T8 TUBE 16 WATT (120 CM) MERK SAPELIGHT</t>
  </si>
  <si>
    <t>TRM1132</t>
  </si>
  <si>
    <t>LAYS PC22</t>
  </si>
  <si>
    <t>TRM1995</t>
  </si>
  <si>
    <t>LEM KOREA</t>
  </si>
  <si>
    <t>TRM1002</t>
  </si>
  <si>
    <t>LIMIT SWITCH Z-01HW22S55 OMRON</t>
  </si>
  <si>
    <t>TRM2017</t>
  </si>
  <si>
    <t>LINEAR ACTUATOR SPEED 20MM/S 12 V STROKE 100MM FREKUENSI 25% (INDENT 5 DAY)</t>
  </si>
  <si>
    <t>TRM0847</t>
  </si>
  <si>
    <t>LINEAR MOTOR 150MM 12V DC</t>
  </si>
  <si>
    <t>TRM3126</t>
  </si>
  <si>
    <t>LINIER ACTUATOR STROKE 150KG 100MM</t>
  </si>
  <si>
    <t>TRM3202</t>
  </si>
  <si>
    <t>LOBSTER HYBRID WATER PUMP PLIERS 225MM</t>
  </si>
  <si>
    <t>TRM1772</t>
  </si>
  <si>
    <t>LOCK OUT STATION SET</t>
  </si>
  <si>
    <t>TRM1012</t>
  </si>
  <si>
    <t>LOCTITE 495</t>
  </si>
  <si>
    <t>TRM3118</t>
  </si>
  <si>
    <t>LS LSLV0004M100-1E0FNS INVERTER 1 PHASE 3.7A</t>
  </si>
  <si>
    <t>TRM2594</t>
  </si>
  <si>
    <t>LUBE LHL-X100 (GREASE MACHINING)</t>
  </si>
  <si>
    <t>TRM0904</t>
  </si>
  <si>
    <t>M8X50 FULL DRAT</t>
  </si>
  <si>
    <t>TRM2161</t>
  </si>
  <si>
    <t>MAGNET NEODYMIUM BULAT RING DIA 30X5</t>
  </si>
  <si>
    <t>TRM2425</t>
  </si>
  <si>
    <t>MAGNET STRONG 20X4MM HOLE 5MM</t>
  </si>
  <si>
    <t>TRM1019</t>
  </si>
  <si>
    <t>MATA BOR DIAMETER 6</t>
  </si>
  <si>
    <t>TRM1648</t>
  </si>
  <si>
    <t>MATA BOR NACHI 10,5</t>
  </si>
  <si>
    <t>TRM1655</t>
  </si>
  <si>
    <t>MATA BOR NACHI 3.5</t>
  </si>
  <si>
    <t>TRM1644</t>
  </si>
  <si>
    <t>MATA BOR NACHI 7,5</t>
  </si>
  <si>
    <t>TRM2051</t>
  </si>
  <si>
    <t>MATA BOR NACHI 8.0</t>
  </si>
  <si>
    <t>TRM1643</t>
  </si>
  <si>
    <t>MATA BOR NACHI 9</t>
  </si>
  <si>
    <t>TRM1647</t>
  </si>
  <si>
    <t>MATA BOR NACHI DIAMETER 3</t>
  </si>
  <si>
    <t>TRM1021</t>
  </si>
  <si>
    <t>MATA BOR NACHI DIAMETER 3,5</t>
  </si>
  <si>
    <t>TRM1646</t>
  </si>
  <si>
    <t>MATA BOR NACHI DIAMETER 4</t>
  </si>
  <si>
    <t>TRM1645</t>
  </si>
  <si>
    <t>MATA BOR NACHI DIAMETER 4,5</t>
  </si>
  <si>
    <t>TRM1018</t>
  </si>
  <si>
    <t>MATA BOR NACHI DIAMETER 5.5</t>
  </si>
  <si>
    <t>TRM1298</t>
  </si>
  <si>
    <t>MATA BOR NACHI DIAMETER 6</t>
  </si>
  <si>
    <t>TRM1020</t>
  </si>
  <si>
    <t>MATA BOR NACHI DIAMETER 6,5</t>
  </si>
  <si>
    <t>TRM1297</t>
  </si>
  <si>
    <t>MATA BOR NACHI M5</t>
  </si>
  <si>
    <t>TRM1242</t>
  </si>
  <si>
    <t>MATA TAP 5.0MM</t>
  </si>
  <si>
    <t>TRM1241</t>
  </si>
  <si>
    <t>MATA TAP 6.5MM</t>
  </si>
  <si>
    <t>TRM0844</t>
  </si>
  <si>
    <t>MAXTROM MS20-12  (12V20AH/20HR)</t>
  </si>
  <si>
    <t>TRM2054</t>
  </si>
  <si>
    <t>MEGACOOLS BRAKE PART CLEANER MCCBP 001</t>
  </si>
  <si>
    <t>TRM2261</t>
  </si>
  <si>
    <t>MEGACOOLS CARBURATOR CLEANER 500ML</t>
  </si>
  <si>
    <t>TRM3257</t>
  </si>
  <si>
    <t>MESIN BELT SANDER MM491G (100X914 MM) MERK WIPRO</t>
  </si>
  <si>
    <t>TRM2052</t>
  </si>
  <si>
    <t>MESIN TAP SPIRAL YAMAWA M3.0 X 0.5</t>
  </si>
  <si>
    <t>TRM1181</t>
  </si>
  <si>
    <t>METAL PINION GEAR 15T E8 DC 600KG</t>
  </si>
  <si>
    <t>TRM1466</t>
  </si>
  <si>
    <t>MICRO CHECK JIP 141</t>
  </si>
  <si>
    <t>TRM1467</t>
  </si>
  <si>
    <t>MICRO CLEANER JIP 143</t>
  </si>
  <si>
    <t>TRM1468</t>
  </si>
  <si>
    <t>MICRO CLEANER JIP 145</t>
  </si>
  <si>
    <t>TRM1326</t>
  </si>
  <si>
    <t>MICRO SD SANDISK ULTRA CLASS 10 128GB</t>
  </si>
  <si>
    <t>TRM1589</t>
  </si>
  <si>
    <t>MINI SPLIT TERMINAL JM-112</t>
  </si>
  <si>
    <t>TRM1393</t>
  </si>
  <si>
    <t>MINI SPLIT TERMINAL JM-12</t>
  </si>
  <si>
    <t>TRM1394</t>
  </si>
  <si>
    <t>MINI SPLIT TERMINAL JM-13</t>
  </si>
  <si>
    <t>TRM1396</t>
  </si>
  <si>
    <t>MINI SPLIT TERMINAL JM-2-3</t>
  </si>
  <si>
    <t>TRM1397</t>
  </si>
  <si>
    <t>MINI SPLIT TERMINAL JM-4-2</t>
  </si>
  <si>
    <t>TRM1398</t>
  </si>
  <si>
    <t>MINI SPLIT TERMINAL JM-6-3</t>
  </si>
  <si>
    <t>TRM3686</t>
  </si>
  <si>
    <t>MUR GALVANIS M10</t>
  </si>
  <si>
    <t>TRM1838</t>
  </si>
  <si>
    <t>MUR GALVANIS M3</t>
  </si>
  <si>
    <t>TRM2298</t>
  </si>
  <si>
    <t>MUR GALVANIS M4</t>
  </si>
  <si>
    <t>TRM1840</t>
  </si>
  <si>
    <t>MUR GALVANIS M5</t>
  </si>
  <si>
    <t>TRM2137</t>
  </si>
  <si>
    <t>MUR GALVANIS M8</t>
  </si>
  <si>
    <t>TRM2096</t>
  </si>
  <si>
    <t>MUR M10 GALVANIS</t>
  </si>
  <si>
    <t>TRM2097</t>
  </si>
  <si>
    <t>MUR M12 GALVANISE</t>
  </si>
  <si>
    <t>TRM2094</t>
  </si>
  <si>
    <t>MUR M6</t>
  </si>
  <si>
    <t>TRM1380</t>
  </si>
  <si>
    <t>MUR M8 STAINLESS</t>
  </si>
  <si>
    <t>TRM2106</t>
  </si>
  <si>
    <t>NIPPLE RC 1/8 TO 1/8</t>
  </si>
  <si>
    <t>TRM3021</t>
  </si>
  <si>
    <t>NITTO 30PH BRASS</t>
  </si>
  <si>
    <t>TRM1357</t>
  </si>
  <si>
    <t>NOZZLE CLEANER ARC MEN</t>
  </si>
  <si>
    <t>TRM1058</t>
  </si>
  <si>
    <t>NPK AIR CHIPPER AA-00SP(H)</t>
  </si>
  <si>
    <t>TRM1064</t>
  </si>
  <si>
    <t>NPK CHIS CHISEL L=220MM ROUNDING (R) FOR AA-00SP</t>
  </si>
  <si>
    <t>TRM1065</t>
  </si>
  <si>
    <t>NPK FLAT CHISEL L=215MM ROUNDING (R) FOR AA</t>
  </si>
  <si>
    <t>TRM1225</t>
  </si>
  <si>
    <t>NUT M5 PUTIH</t>
  </si>
  <si>
    <t>TRM1226</t>
  </si>
  <si>
    <t>NUT M6 PUTIH</t>
  </si>
  <si>
    <t>TRM1227</t>
  </si>
  <si>
    <t>NUT M8 PUTIH</t>
  </si>
  <si>
    <t>TRM0606</t>
  </si>
  <si>
    <t>OBENG (-) VESSEL SEDANG</t>
  </si>
  <si>
    <t>TRM0605</t>
  </si>
  <si>
    <t>OBENG (+) VESSEL SEDANG</t>
  </si>
  <si>
    <t>TRM0851</t>
  </si>
  <si>
    <t>OMRON PYFZ-08-E OMZ</t>
  </si>
  <si>
    <t>TRM2669</t>
  </si>
  <si>
    <t>ORING 123 MM TEBAL ROUND 3MM</t>
  </si>
  <si>
    <t>TRM2667</t>
  </si>
  <si>
    <t>ORING LBH 56.64.6</t>
  </si>
  <si>
    <t>TRM1138</t>
  </si>
  <si>
    <t>O-RING REPAIR KIT</t>
  </si>
  <si>
    <t>TRM2668</t>
  </si>
  <si>
    <t>ORING UHS 56.66.6</t>
  </si>
  <si>
    <t>TRM1566</t>
  </si>
  <si>
    <t>OVISSI 6300 L-5XASSY</t>
  </si>
  <si>
    <t>TRM1810</t>
  </si>
  <si>
    <t>PAHAT BESI KECIL DIA 1-2CM</t>
  </si>
  <si>
    <t>TRM2015</t>
  </si>
  <si>
    <t>PAHAT TOPI 8"</t>
  </si>
  <si>
    <t>TRM2093</t>
  </si>
  <si>
    <t>PALU 4 LB X L36 CM</t>
  </si>
  <si>
    <t>TRM1300</t>
  </si>
  <si>
    <t>PALU KAMBING MINI UK. 120X108</t>
  </si>
  <si>
    <t>TRM0881</t>
  </si>
  <si>
    <t>PANEL 600X500X200M</t>
  </si>
  <si>
    <t>TRM0274</t>
  </si>
  <si>
    <t>PARTISI REAR HANDLE 4L45W</t>
  </si>
  <si>
    <t>TRM0217</t>
  </si>
  <si>
    <t>PC-2005-F</t>
  </si>
  <si>
    <t>TRM0218</t>
  </si>
  <si>
    <t>PC-2005-M</t>
  </si>
  <si>
    <t>TRM2786</t>
  </si>
  <si>
    <t>PENGGARIS TAPER (CELAH 0-15MM)</t>
  </si>
  <si>
    <t>TRM2010</t>
  </si>
  <si>
    <t>PER SELAH</t>
  </si>
  <si>
    <t>TRM2131</t>
  </si>
  <si>
    <t>PILOX 105 GREEN</t>
  </si>
  <si>
    <t>TRM2129</t>
  </si>
  <si>
    <t>PILOX HITAM</t>
  </si>
  <si>
    <t>TRM2130</t>
  </si>
  <si>
    <t>PILOX KUNING</t>
  </si>
  <si>
    <t>TRM2854</t>
  </si>
  <si>
    <t>PILOX PUTIH</t>
  </si>
  <si>
    <t>TRM2076</t>
  </si>
  <si>
    <t>PLASTIC  CUTTING PILERS 6" SELLERY</t>
  </si>
  <si>
    <t>TRM3205</t>
  </si>
  <si>
    <t>PLASTIK COR PUTIH</t>
  </si>
  <si>
    <t>TRM3200</t>
  </si>
  <si>
    <t>PLIER WATER PUMP + GRIPS UK 10 INCH SENATOR</t>
  </si>
  <si>
    <t>TRM2610</t>
  </si>
  <si>
    <t>POLYURETHANE 35 X 100 (CONUTX042)</t>
  </si>
  <si>
    <t>TRM1462</t>
  </si>
  <si>
    <t>POWER INVERTER 500W 12V</t>
  </si>
  <si>
    <t>TRM3092</t>
  </si>
  <si>
    <t>POWER PUSH BUTTON BS216 (2.2)</t>
  </si>
  <si>
    <t>TRM1324</t>
  </si>
  <si>
    <t>PRO'SKIT CUTTING PLIERS 8PK-905 125MM</t>
  </si>
  <si>
    <t>TRM0960</t>
  </si>
  <si>
    <t>PROTECH AUTOMATIC GATE SYSTEM CAP.600KG - DC12V</t>
  </si>
  <si>
    <t>TRM0466</t>
  </si>
  <si>
    <t>PU AIR HOSE 8MMX5MMX6MM</t>
  </si>
  <si>
    <t>TRM0852</t>
  </si>
  <si>
    <t>PYFZ-08-E BY OMZ PYFZ0001H</t>
  </si>
  <si>
    <t>TRM0463</t>
  </si>
  <si>
    <t>RABBING GLOSSY I-BON DIA 3.5 TEBEL 0.4</t>
  </si>
  <si>
    <t>TRM0608</t>
  </si>
  <si>
    <t>RANTAI DIA 4MMX28MM STAINLESS</t>
  </si>
  <si>
    <t>TRM0665</t>
  </si>
  <si>
    <t>RANTAI DIA 6MM X 42</t>
  </si>
  <si>
    <t>TRM3016</t>
  </si>
  <si>
    <t>RECOIL M8 X 1.5</t>
  </si>
  <si>
    <t>TRM2119</t>
  </si>
  <si>
    <t>RECOIL M8 X12</t>
  </si>
  <si>
    <t>TRM2124</t>
  </si>
  <si>
    <t>RECOIL M8X10</t>
  </si>
  <si>
    <t>TRM3072</t>
  </si>
  <si>
    <t>RELAY LY2N 230V 8 PIN KINOGAWA</t>
  </si>
  <si>
    <t>TRM1593</t>
  </si>
  <si>
    <t>RELAY OMRON MY4N-GS DC24 + PYFZ-14-E</t>
  </si>
  <si>
    <t>TRM1100</t>
  </si>
  <si>
    <t>RESIBON 4X6</t>
  </si>
  <si>
    <t>TRM2625</t>
  </si>
  <si>
    <t>RING PER GALVANIS M5</t>
  </si>
  <si>
    <t>TRM2135</t>
  </si>
  <si>
    <t>RING PER M6</t>
  </si>
  <si>
    <t>TRM2136</t>
  </si>
  <si>
    <t>RING PER M8</t>
  </si>
  <si>
    <t>TRM1843</t>
  </si>
  <si>
    <t>RING PLAT M10</t>
  </si>
  <si>
    <t>TRM2098</t>
  </si>
  <si>
    <t>RING PLAT M12</t>
  </si>
  <si>
    <t>TRM1839</t>
  </si>
  <si>
    <t>RING PLAT M5 GALVANIS</t>
  </si>
  <si>
    <t>TRM1228</t>
  </si>
  <si>
    <t>RING PLAT M5 PUTIH</t>
  </si>
  <si>
    <t>TRM1841</t>
  </si>
  <si>
    <t>RING PLAT M6</t>
  </si>
  <si>
    <t>TRM1229</t>
  </si>
  <si>
    <t>RING PLAT M6 PUTIH</t>
  </si>
  <si>
    <t>TRM1842</t>
  </si>
  <si>
    <t>RING PLAT M8</t>
  </si>
  <si>
    <t>TRM1230</t>
  </si>
  <si>
    <t>RING PLAT M8 PUTIH</t>
  </si>
  <si>
    <t>TRM1232</t>
  </si>
  <si>
    <t>RING PLATE &amp; RING PER M6 GALVANIS</t>
  </si>
  <si>
    <t>TRM3182</t>
  </si>
  <si>
    <t>RING PLATE GALVANIS M10</t>
  </si>
  <si>
    <t>TRM2624</t>
  </si>
  <si>
    <t>RING PLATE GALVANIS M14</t>
  </si>
  <si>
    <t>TRM2299</t>
  </si>
  <si>
    <t>RING PLATE GALVANIS M4</t>
  </si>
  <si>
    <t>TRM2356</t>
  </si>
  <si>
    <t>RING PLATE GALVANIS M5</t>
  </si>
  <si>
    <t>TRM0932</t>
  </si>
  <si>
    <t>RING PLATE GALVANIS M8</t>
  </si>
  <si>
    <t>TRM1231</t>
  </si>
  <si>
    <t>RING PLATE M4</t>
  </si>
  <si>
    <t>TRM2357</t>
  </si>
  <si>
    <t>RING PLATE M6</t>
  </si>
  <si>
    <t>TRM0767</t>
  </si>
  <si>
    <t>ROLL CAT BESAR</t>
  </si>
  <si>
    <t>TRM1719</t>
  </si>
  <si>
    <t>ROTARY LED 24 VOLT MERK HANYOUNG</t>
  </si>
  <si>
    <t>TRM1099</t>
  </si>
  <si>
    <t>RTV SILICONE SEALANT 732 BLACK 330ML</t>
  </si>
  <si>
    <t>TRM1098</t>
  </si>
  <si>
    <t>RTV SILICONE SEALANT 732 CLEAR 330ML</t>
  </si>
  <si>
    <t>TRM1097</t>
  </si>
  <si>
    <t>RTV SILICONE SEALANT 732 PUTIH 330ML</t>
  </si>
  <si>
    <t>TRM1087</t>
  </si>
  <si>
    <t>RUMAH LAMPU LED 120 CM</t>
  </si>
  <si>
    <t>TRM1086</t>
  </si>
  <si>
    <t>RUMAH LAMPU LED T8 TUBE 15WATT (60CM)</t>
  </si>
  <si>
    <t>TRM1371</t>
  </si>
  <si>
    <t>SAKLAR OUTBOW BROCO ISI 1</t>
  </si>
  <si>
    <t>TRM2611</t>
  </si>
  <si>
    <t>SAKLAR OUTBOW BROCO ISI 2</t>
  </si>
  <si>
    <t>TRM1372</t>
  </si>
  <si>
    <t>SAKLAR OUTBOW ISI 4</t>
  </si>
  <si>
    <t>TRM1402</t>
  </si>
  <si>
    <t>SAND BELT AA100 4X36" (MITSUBOSHI)</t>
  </si>
  <si>
    <t>TRM1890</t>
  </si>
  <si>
    <t>SANDISK ULTRA 100MBPS MICROSD CARD CLASS 10 - 32GB</t>
  </si>
  <si>
    <t>TRM2446</t>
  </si>
  <si>
    <t>SARUNG TANGAN 8 BENANG</t>
  </si>
  <si>
    <t>TRM0724</t>
  </si>
  <si>
    <t>SAW HANDBACK WIKUS DIAMANT 5/16" X 0.25" (30MTR/ROLL)</t>
  </si>
  <si>
    <t>TRM1630</t>
  </si>
  <si>
    <t>SCHNEIIDER CLASSIC 4 GANK + TM OUTBOW</t>
  </si>
  <si>
    <t>TRM2661</t>
  </si>
  <si>
    <t>SCSI 20 PIN 3M MALE SERVO CONNECTOR KABEL DATA KONEKTOR CABLE SH54</t>
  </si>
  <si>
    <t>TRM2660</t>
  </si>
  <si>
    <t>SCSI 20 PIN SOLDERING CABLE CONNECTOR SERVO 20 P KABEL KONEKTOR PU71</t>
  </si>
  <si>
    <t>TRM2009</t>
  </si>
  <si>
    <t>SEAGATE ONE TUCH HDD-HARDISK EKSTERNAL 1 TB</t>
  </si>
  <si>
    <t>TRM2134</t>
  </si>
  <si>
    <t>SELANG BENANG TOGAWA 9X15</t>
  </si>
  <si>
    <t>TRM1634</t>
  </si>
  <si>
    <t>SELANG BRIDGESTONE 3/8 INCHI HITAM</t>
  </si>
  <si>
    <t>TRM1635</t>
  </si>
  <si>
    <t>SELANG BRIDGESTONE 3/8 INCHI MERAH</t>
  </si>
  <si>
    <t>TRM1636</t>
  </si>
  <si>
    <t>SELANG BRIDGESTONE JAPAN EXCEL WARNA HIJAU DIA 9 1.5MPA</t>
  </si>
  <si>
    <t>TRM1355</t>
  </si>
  <si>
    <t>SELANG MEGA SUN BRAID HOSE 1/4" (6MMX11)</t>
  </si>
  <si>
    <t>TRM3128</t>
  </si>
  <si>
    <t>SELANG PISCO 12 X 8</t>
  </si>
  <si>
    <t>TRM1551</t>
  </si>
  <si>
    <t>SELANG SILICON DIA OD 12 X ID 8 MM</t>
  </si>
  <si>
    <t>TRM1552</t>
  </si>
  <si>
    <t>SELANG SILICON DIA OD 14 X ID 10 MM</t>
  </si>
  <si>
    <t>TRM1017</t>
  </si>
  <si>
    <t>SELECTOR SWITCH ISI 4 ( 0,1,2,3,4 ) MERK SHEMSCO</t>
  </si>
  <si>
    <t>TRM2776</t>
  </si>
  <si>
    <t>SELING WIRE DIA 12MM PANJANG  2000 MM LINGKAR 210 MM CRIMP GANTUNGAN SKUN</t>
  </si>
  <si>
    <t>TRM1809</t>
  </si>
  <si>
    <t>SELINK PAS 8MM IWS P : MTR SEBELAH STOPED SEBELAH PRESS (10CM)</t>
  </si>
  <si>
    <t>TRM1284</t>
  </si>
  <si>
    <t>SELLERY MAGIC TWIST TIE 59-120</t>
  </si>
  <si>
    <t>TRM2785</t>
  </si>
  <si>
    <t>SEMPROTAN AIR SPRAY MERK TUDOR 1 LTR</t>
  </si>
  <si>
    <t>TRM1392</t>
  </si>
  <si>
    <t>SEMSCO AR22PR-3</t>
  </si>
  <si>
    <t>TRM2369</t>
  </si>
  <si>
    <t>SHOCK ABSORBER M14X1,5 PANJANG TOTAL 107MM STROKE 17MM MADE IN JAPAN MERK FUJI LATEX</t>
  </si>
  <si>
    <t>TRM0723</t>
  </si>
  <si>
    <t>SIKAT KAWAT BESI</t>
  </si>
  <si>
    <t>TRM1485</t>
  </si>
  <si>
    <t>SIKAT KAWAT DIA 12MM</t>
  </si>
  <si>
    <t>TRM0805</t>
  </si>
  <si>
    <t>SIKAT KAWAT DIA 13MM</t>
  </si>
  <si>
    <t>TRM0806</t>
  </si>
  <si>
    <t>SIKAT KAWAT DIA 14MM</t>
  </si>
  <si>
    <t>TRM1177</t>
  </si>
  <si>
    <t>SIKAT KAWAT GAGANG PANJANG</t>
  </si>
  <si>
    <t>TRM2718</t>
  </si>
  <si>
    <t>SIKAT PIRING 8" KUNINGAN MULTIPRO</t>
  </si>
  <si>
    <t>TRM2719</t>
  </si>
  <si>
    <t>SIKAT PIRING/WHEEL BRUSH WG-85 8"</t>
  </si>
  <si>
    <t>TRM0957</t>
  </si>
  <si>
    <t>SKUN JUMPER Y (10/BARIS)</t>
  </si>
  <si>
    <t>TRM1285</t>
  </si>
  <si>
    <t>SKUN SC6-5</t>
  </si>
  <si>
    <t>TRM0899</t>
  </si>
  <si>
    <t>SKUN Y FORT</t>
  </si>
  <si>
    <t>TRM2985</t>
  </si>
  <si>
    <t>SLIDING NUT M6 30 SERIES</t>
  </si>
  <si>
    <t>TRM2358</t>
  </si>
  <si>
    <t>SLIDING T NUT ALUMINIUM PROFILE ALU 3030 SERIES 30</t>
  </si>
  <si>
    <t>TRM0800</t>
  </si>
  <si>
    <t>SLING 4 KAKI BAJA ATAS MASTER LINK 7/8" 12MMX1.78MM</t>
  </si>
  <si>
    <t>TRM0742</t>
  </si>
  <si>
    <t>SLING P 75CM T 10M</t>
  </si>
  <si>
    <t>TRM1278</t>
  </si>
  <si>
    <t>SMT-POWER BATTERY DZF-20 12V 20AH 2HR</t>
  </si>
  <si>
    <t>TRM1773</t>
  </si>
  <si>
    <t>SOCKET LED FEMALE TO FEMALE</t>
  </si>
  <si>
    <t>TRM1915</t>
  </si>
  <si>
    <t>SOCKET MOTOR 4 PIN</t>
  </si>
  <si>
    <t>TRM1685</t>
  </si>
  <si>
    <t>SOKET TT</t>
  </si>
  <si>
    <t>TRM1996</t>
  </si>
  <si>
    <t>SOLATIP HITAM</t>
  </si>
  <si>
    <t>TRM1295</t>
  </si>
  <si>
    <t>SPRING KAWAT DIA 1.78MM</t>
  </si>
  <si>
    <t>TRM4074</t>
  </si>
  <si>
    <t>STAINLESS CABLE TIE 300</t>
  </si>
  <si>
    <t>TRM2118</t>
  </si>
  <si>
    <t>STAINLESS STEEL CABLE TIE SIZE 4.6 X 100MM</t>
  </si>
  <si>
    <t>TRM2022</t>
  </si>
  <si>
    <t>STAINLESS STEEL CABLE TIE SIZE 4.6 X 300MM</t>
  </si>
  <si>
    <t>TRM4075</t>
  </si>
  <si>
    <t>STAINLESS STEEL CABLE TIES 4.6 X 100 ISI 100</t>
  </si>
  <si>
    <t>TRM2117</t>
  </si>
  <si>
    <t>STAINLESS STEEL CABLE TIES 4.6 X 200 ISI 100</t>
  </si>
  <si>
    <t>TRM2100</t>
  </si>
  <si>
    <t>STANDING FAN 16" SEKAI SFN 1609</t>
  </si>
  <si>
    <t>TRM0566</t>
  </si>
  <si>
    <t>STECKER BROCO</t>
  </si>
  <si>
    <t>TRM1608</t>
  </si>
  <si>
    <t>STECKER T</t>
  </si>
  <si>
    <t>TRM1382</t>
  </si>
  <si>
    <t>STEROFOAM PACKING</t>
  </si>
  <si>
    <t>TRM2417</t>
  </si>
  <si>
    <t>STOP KONTAK 3 LUBANG BROCO 15330</t>
  </si>
  <si>
    <t>TRM1993</t>
  </si>
  <si>
    <t>STOP KONTAK BROCO 2 LUBANG 15321</t>
  </si>
  <si>
    <t>TRM1695</t>
  </si>
  <si>
    <t>STOPPER BNL-6</t>
  </si>
  <si>
    <t>TRM2469</t>
  </si>
  <si>
    <t>SUS304 12 X 70 X 85</t>
  </si>
  <si>
    <t>TRM2722</t>
  </si>
  <si>
    <t>SWISS TOOLS (PAHAT) PB 805.10 S/N 340422</t>
  </si>
  <si>
    <t>TRM1059</t>
  </si>
  <si>
    <t>SWITCH TRIGGER MAKITA HP 1360</t>
  </si>
  <si>
    <t>TRM1288</t>
  </si>
  <si>
    <t>TALI TIES 200L KSS CV-200AB</t>
  </si>
  <si>
    <t>TRM2840</t>
  </si>
  <si>
    <t>TANG BUAYA TEKIRO</t>
  </si>
  <si>
    <t>TRM0737</t>
  </si>
  <si>
    <t>TANG KOMBINASI MERK FUJIYA</t>
  </si>
  <si>
    <t>TRM0736</t>
  </si>
  <si>
    <t>TANG POTONG MERK TRUSCO</t>
  </si>
  <si>
    <t>TRM1244</t>
  </si>
  <si>
    <t>TAP M.6 X 1.0 LURUS</t>
  </si>
  <si>
    <t>TRM1243</t>
  </si>
  <si>
    <t>TAP M.6 X 1.0 SPIRAL</t>
  </si>
  <si>
    <t>TRM3085</t>
  </si>
  <si>
    <t>TAP SET RECOIL M8X1.25</t>
  </si>
  <si>
    <t>TRM1062</t>
  </si>
  <si>
    <t>TAP SPIRAL YAMAWA M6X1</t>
  </si>
  <si>
    <t>TRM3149</t>
  </si>
  <si>
    <t>TAP YAMAWA M4 X 0.75</t>
  </si>
  <si>
    <t>TRM3154</t>
  </si>
  <si>
    <t>TAP YAMAWA SP-01 M10 X 1.25</t>
  </si>
  <si>
    <t>TRM3153</t>
  </si>
  <si>
    <t>TAP YAMAWA SP-01 M10 X 1.5</t>
  </si>
  <si>
    <t>TRM3148</t>
  </si>
  <si>
    <t>TAP YAMAWA SP-01 M3 X 0.5</t>
  </si>
  <si>
    <t>TRM3150</t>
  </si>
  <si>
    <t>TAP YAMAWA SP-01 M5 X 0.8</t>
  </si>
  <si>
    <t>TRM3151</t>
  </si>
  <si>
    <t>TAP YAMAWA SP-01 M6 X 1.0</t>
  </si>
  <si>
    <t>TRM3152</t>
  </si>
  <si>
    <t>TAP YAMAWA SP-01 M8 X 1.25</t>
  </si>
  <si>
    <t>TRM0427</t>
  </si>
  <si>
    <t>TAPE CARTRIDGE 9MM</t>
  </si>
  <si>
    <t>TRM0826</t>
  </si>
  <si>
    <t>TBD 20A TERMINAL BLOCK</t>
  </si>
  <si>
    <t>TRM3009</t>
  </si>
  <si>
    <t>TERMINAL MINI SPLIT JM-2-2</t>
  </si>
  <si>
    <t>TRM3010</t>
  </si>
  <si>
    <t>TERMINAL MINI SPLIT JM-2-6</t>
  </si>
  <si>
    <t>TRM3008</t>
  </si>
  <si>
    <t>TERMINAL MINI SPLIT JM-3-3</t>
  </si>
  <si>
    <t>TRM0738</t>
  </si>
  <si>
    <t>TEST PEN MERK ANEX</t>
  </si>
  <si>
    <t>TRM1026</t>
  </si>
  <si>
    <t>THINNER IMPALA</t>
  </si>
  <si>
    <t>TRM1831</t>
  </si>
  <si>
    <t>TIE MOUNT 25X25MM HC-101 KSS</t>
  </si>
  <si>
    <t>TRM1373</t>
  </si>
  <si>
    <t>TIE MOUNT 30X30MM</t>
  </si>
  <si>
    <t>TRM0563</t>
  </si>
  <si>
    <t>TIE MOUNT FORT (100PCS/PACK)</t>
  </si>
  <si>
    <t>TRM2092</t>
  </si>
  <si>
    <t>TIMAH SOLDER DIAMETER 3MM MERK CAP PANCING  @1 ROLL</t>
  </si>
  <si>
    <t>TRM0841</t>
  </si>
  <si>
    <t>TN-24-2-24V TOWER LAMPU HANYOUNG</t>
  </si>
  <si>
    <t>TRM0768</t>
  </si>
  <si>
    <t>TONGKAT ROLL CAT</t>
  </si>
  <si>
    <t>TRM0609</t>
  </si>
  <si>
    <t>TOOL BAG</t>
  </si>
  <si>
    <t>TRM2291</t>
  </si>
  <si>
    <t>TURBOLAP 0,5 MICRO AIR GRINDER</t>
  </si>
  <si>
    <t>TRM0808</t>
  </si>
  <si>
    <t>U CLAMP M10</t>
  </si>
  <si>
    <t>TRM3094</t>
  </si>
  <si>
    <t>U CLAMP M16</t>
  </si>
  <si>
    <t>TRM0740</t>
  </si>
  <si>
    <t>U CLAMP M8</t>
  </si>
  <si>
    <t>TRM0807</t>
  </si>
  <si>
    <t>U CLAMP SLING PENARIK DIES M8</t>
  </si>
  <si>
    <t>TRM0577</t>
  </si>
  <si>
    <t>UNION CS 3000 SW 1 1/4"</t>
  </si>
  <si>
    <t>TRM0576</t>
  </si>
  <si>
    <t>UNION CS 3000 SW 1/2"</t>
  </si>
  <si>
    <t>TRM0578</t>
  </si>
  <si>
    <t>UNION CS 3000 SW 1/4"</t>
  </si>
  <si>
    <t>TRM2088</t>
  </si>
  <si>
    <t>WATER COOLING FLOW METER 2 WAY G 1/4</t>
  </si>
  <si>
    <t>TRM0989</t>
  </si>
  <si>
    <t>WD-40  333ML</t>
  </si>
  <si>
    <t>TRM2016</t>
  </si>
  <si>
    <t>WIPRO PALU BATU 2LB</t>
  </si>
  <si>
    <t>TRM2075</t>
  </si>
  <si>
    <t>WIRE BRUSH FLAT 10"</t>
  </si>
  <si>
    <t>TRM1990</t>
  </si>
  <si>
    <t>WIRE BRUSH FLAT 4 INCH (SIKAT KAWAT MATA GERINDA KUNINGAN)</t>
  </si>
  <si>
    <t>TRM2080</t>
  </si>
  <si>
    <t>WIRE BRUSH PLAT 3"</t>
  </si>
  <si>
    <t>TRM1356</t>
  </si>
  <si>
    <t>WTB ORANGE BOWL COOK WF-2P</t>
  </si>
  <si>
    <t>TRM0144</t>
  </si>
  <si>
    <t>KRAFT TAPE OKAMOTO</t>
  </si>
  <si>
    <t>TRM3061</t>
  </si>
  <si>
    <t>ACTIVARMR-ELECTRICAL-INSULATING-GLOVES CLASS 0 (1000 VOLT), YELOW 14 INCH</t>
  </si>
  <si>
    <t>SM</t>
  </si>
  <si>
    <t>TRM3723</t>
  </si>
  <si>
    <t>BANNER ROLLUP UKURAN 60X160CM</t>
  </si>
  <si>
    <t>TRM2736</t>
  </si>
  <si>
    <t>BORDIRAN 4 WARNA</t>
  </si>
  <si>
    <t>TRM2809</t>
  </si>
  <si>
    <t>BUKU PP PMID</t>
  </si>
  <si>
    <t>TRM2697</t>
  </si>
  <si>
    <t>CETAK A3 EHS KOMITMEN I FUNDAMENTAL EVACUATION MAP</t>
  </si>
  <si>
    <t>TRM2606</t>
  </si>
  <si>
    <t>CHECK LIST APAR</t>
  </si>
  <si>
    <t>TRM2629</t>
  </si>
  <si>
    <t>CHECK LIST IHB</t>
  </si>
  <si>
    <t>TRM2701</t>
  </si>
  <si>
    <t>CHECKLIST 13 ITEM</t>
  </si>
  <si>
    <t>TRM2602</t>
  </si>
  <si>
    <t>CHECKLIST BODY HARNESS</t>
  </si>
  <si>
    <t>TRM2690</t>
  </si>
  <si>
    <t>CHECKLIST BODY HARNESS, EYEWASH, CRANE, EMERGENCY SHOWER</t>
  </si>
  <si>
    <t>TRM2750</t>
  </si>
  <si>
    <t>CHECKLIST BODYHARNEES</t>
  </si>
  <si>
    <t>TRM2605</t>
  </si>
  <si>
    <t>CHECKLIST CHAIN BLOCK</t>
  </si>
  <si>
    <t>TRM2604</t>
  </si>
  <si>
    <t>CHECKLIST CRANE</t>
  </si>
  <si>
    <t>TRM2598</t>
  </si>
  <si>
    <t>CHECKLIST EYEWASH</t>
  </si>
  <si>
    <t>TRM2596</t>
  </si>
  <si>
    <t>CHECKLIST FALL ARRESTER</t>
  </si>
  <si>
    <t>TRM2601</t>
  </si>
  <si>
    <t>CHECKLIST FLAMABLE</t>
  </si>
  <si>
    <t>TRM2600</t>
  </si>
  <si>
    <t>CHECKLIST FORKLIFT</t>
  </si>
  <si>
    <t>TRM2597</t>
  </si>
  <si>
    <t>CHECKLIST HAND PALLET</t>
  </si>
  <si>
    <t>TRM2434</t>
  </si>
  <si>
    <t>CHECKLIST INSPEKSI UKURAN A5 BAHAN ART CARTON 260 GR</t>
  </si>
  <si>
    <t>TRM2603</t>
  </si>
  <si>
    <t>CHECKLIST PECO LIFT</t>
  </si>
  <si>
    <t>TRM2599</t>
  </si>
  <si>
    <t>CHECKLIST SPILL KIT</t>
  </si>
  <si>
    <t>TRM2595</t>
  </si>
  <si>
    <t>CHECKLIST TANGGA DORONG</t>
  </si>
  <si>
    <t>TRM3729</t>
  </si>
  <si>
    <t>CUTTING STICKER BAHAYA KEBAKARAN</t>
  </si>
  <si>
    <t>TRM3903</t>
  </si>
  <si>
    <t>CUTTING STICKER LANTAI BATAS AKHIR MHE</t>
  </si>
  <si>
    <t>TRM2754</t>
  </si>
  <si>
    <t>ERT CARD</t>
  </si>
  <si>
    <t>TRM2743</t>
  </si>
  <si>
    <t>ERT CETAK A3</t>
  </si>
  <si>
    <t>TRM3020</t>
  </si>
  <si>
    <t>EVA SPONGE 20 X 1100 X 2000 MM HITAM</t>
  </si>
  <si>
    <t>TRM3520</t>
  </si>
  <si>
    <t>FORM CHECKLIST BODY HARNESS</t>
  </si>
  <si>
    <t>TRM3522</t>
  </si>
  <si>
    <t>FORM CHECKLIST HOSE REEL</t>
  </si>
  <si>
    <t>TRM3519</t>
  </si>
  <si>
    <t>FORM CHECKLIST MINGGUAN EYEWASH</t>
  </si>
  <si>
    <t>TRM3521</t>
  </si>
  <si>
    <t>FORM CHECKLIST MINGGUAN HANDPALLET</t>
  </si>
  <si>
    <t>TRM3244</t>
  </si>
  <si>
    <t>FORM CHECKLIST TANGGA</t>
  </si>
  <si>
    <t>TRM4140</t>
  </si>
  <si>
    <t>FORM FOOD SAMPLE</t>
  </si>
  <si>
    <t>TRM3138</t>
  </si>
  <si>
    <t>FORM PERMIT GENERAL</t>
  </si>
  <si>
    <t>TRM3139</t>
  </si>
  <si>
    <t>FORM PERMIT KETINGGIAN</t>
  </si>
  <si>
    <t>TRM2684</t>
  </si>
  <si>
    <t>FORM PERMIT KETINGGIAN EHS HMAS KARAWANG PLANT</t>
  </si>
  <si>
    <t>TRM3142</t>
  </si>
  <si>
    <t>FORM PERMIT LIFTING</t>
  </si>
  <si>
    <t>TRM3141</t>
  </si>
  <si>
    <t>FORM PERMIT LISTRIK</t>
  </si>
  <si>
    <t>TRM3140</t>
  </si>
  <si>
    <t>FORM PERMIT PANAS</t>
  </si>
  <si>
    <t>TRM2685</t>
  </si>
  <si>
    <t>FORM PERMIT QRP</t>
  </si>
  <si>
    <t>TRM3457</t>
  </si>
  <si>
    <t>FORM QRP UKURAN A4, ISI 100 LEMBAR WARNA FULLCOLOR</t>
  </si>
  <si>
    <t>TRM3523</t>
  </si>
  <si>
    <t>FROM CHECKLIST EMERGENCY SHOWER</t>
  </si>
  <si>
    <t>TRM2318</t>
  </si>
  <si>
    <t>GATEPASS HMS</t>
  </si>
  <si>
    <t>TRM4079</t>
  </si>
  <si>
    <t>GATEPASS HMS ISI 100 SET UKURAN A5</t>
  </si>
  <si>
    <t>TRM2698</t>
  </si>
  <si>
    <t>HATI HATI ZONA ATEX 7,5CM X 48,5 METER</t>
  </si>
  <si>
    <t>TRM4068</t>
  </si>
  <si>
    <t>IMPRA BOARD 2000 X 3000 X 2 MM (PUTIH)</t>
  </si>
  <si>
    <t>TRM2830</t>
  </si>
  <si>
    <t>IMPRA BOARD 2000 X 3000 X 3 MM (HITAM)</t>
  </si>
  <si>
    <t>TRM3777</t>
  </si>
  <si>
    <t>IMPRA BOARD 265 X 330 X 5 MM (BIRU)</t>
  </si>
  <si>
    <t>TRM3196</t>
  </si>
  <si>
    <t>IMPRA BOARD 270 X 370 X 2 MM BIRU</t>
  </si>
  <si>
    <t>TRM3661</t>
  </si>
  <si>
    <t>IMPRA BOARD 270 X 390 X 5 MM (BIRU)</t>
  </si>
  <si>
    <t>TRM3660</t>
  </si>
  <si>
    <t>IMPRA BOARD 270 X 460 X 5 MM (BIRU)</t>
  </si>
  <si>
    <t>TRM3659</t>
  </si>
  <si>
    <t>IMPRA BOARD 270 X 640 X 5 MM (BIRU)</t>
  </si>
  <si>
    <t>TRM3658</t>
  </si>
  <si>
    <t>IMPRA BOARD 310 X 400 X 5 MM (BIRU)</t>
  </si>
  <si>
    <t>TRM3662</t>
  </si>
  <si>
    <t>IMPRA BOARD 340 X 280 X 2 MM (BIRU)</t>
  </si>
  <si>
    <t>TRM3655</t>
  </si>
  <si>
    <t>IMPRA BOARD 340 X 950 X 5 MM (BIRU)</t>
  </si>
  <si>
    <t>TRM3656</t>
  </si>
  <si>
    <t>IMPRA BOARD 360 X 380 X 5 MM (BIRU)</t>
  </si>
  <si>
    <t>TRM3195</t>
  </si>
  <si>
    <t>IMPRA BOARD 370 X 250 5 MM BIRU</t>
  </si>
  <si>
    <t>TRM3657</t>
  </si>
  <si>
    <t>IMPRA BOARD 400 X 280 X 5 MM (BIRU)</t>
  </si>
  <si>
    <t>TRM3194</t>
  </si>
  <si>
    <t>IMPRA BOARD 840 X 900 X 5 MM BIRU</t>
  </si>
  <si>
    <t>TRM4178</t>
  </si>
  <si>
    <t>INNER POLYBOX D14 RR TANPA TUTUP WARNA BIRU 5T</t>
  </si>
  <si>
    <t>TRM3082</t>
  </si>
  <si>
    <t>KALENDER 3G CC DAN RRP TAHUN 2025</t>
  </si>
  <si>
    <t>TRM1493</t>
  </si>
  <si>
    <t>KALENDER 4G DAN 3G CC DAN RRP 2025</t>
  </si>
  <si>
    <t>TRM4332</t>
  </si>
  <si>
    <t>KARTU IZIN KERJA PMID</t>
  </si>
  <si>
    <t>TRM3669</t>
  </si>
  <si>
    <t>KARTU KOMITMEN AWS AC260 + LAMINATING 2 MUKA</t>
  </si>
  <si>
    <t>TRM4018</t>
  </si>
  <si>
    <t>KARTU KOMITMEN EHS</t>
  </si>
  <si>
    <t>TRM2757</t>
  </si>
  <si>
    <t>KARTU STEMPEL</t>
  </si>
  <si>
    <t>TRM2632</t>
  </si>
  <si>
    <t>KEBIJAKAN KUALITAS A2 BAHAN ART CARTON 235</t>
  </si>
  <si>
    <t>TRM4066</t>
  </si>
  <si>
    <t>MAGNET SICKER ( PERMIT LISTRIK, PERMIT KETINGGIAN, PERMIT CONFINE SPACE &amp; PERMIT LIFTING)</t>
  </si>
  <si>
    <t>TRM2428</t>
  </si>
  <si>
    <t>PADLOCK MASTER HIJAU</t>
  </si>
  <si>
    <t>TRM2427</t>
  </si>
  <si>
    <t>PADLOCK MASTER ORANGE</t>
  </si>
  <si>
    <t>TRM1415</t>
  </si>
  <si>
    <t>PALLET PLASTIK BIRU CP 126AS STD 1200 X 100 X 160MM</t>
  </si>
  <si>
    <t>TRM4313</t>
  </si>
  <si>
    <t>PERMIT GENERAL</t>
  </si>
  <si>
    <t>TRM1265</t>
  </si>
  <si>
    <t>PERMIT GENERAL (NOV)</t>
  </si>
  <si>
    <t>TRM2367</t>
  </si>
  <si>
    <t>PERMIT GENERAL LIFTING</t>
  </si>
  <si>
    <t>TRM2376</t>
  </si>
  <si>
    <t>PERMIT GENERAL, KETINGGIAN, PANAS, &amp; LISTRIK</t>
  </si>
  <si>
    <t>TRM4314</t>
  </si>
  <si>
    <t>PERMIT KETINGGIAN</t>
  </si>
  <si>
    <t>TRM1056</t>
  </si>
  <si>
    <t>PERMIT KETINGGIAN (NOV)</t>
  </si>
  <si>
    <t>TRM1262</t>
  </si>
  <si>
    <t>PERMIT LIFTING</t>
  </si>
  <si>
    <t>TRM4315</t>
  </si>
  <si>
    <t>PERMIT LISTRIK</t>
  </si>
  <si>
    <t>TRM1055</t>
  </si>
  <si>
    <t>PERMIT LISTRIK (NOV)</t>
  </si>
  <si>
    <t>TRM4019</t>
  </si>
  <si>
    <t>PERMIT LISY=TRIK</t>
  </si>
  <si>
    <t>TRM1054</t>
  </si>
  <si>
    <t>PERMIT PANAS</t>
  </si>
  <si>
    <t>TRM4052</t>
  </si>
  <si>
    <t>PERMIT PENGGALIAN</t>
  </si>
  <si>
    <t>TRMM4054</t>
  </si>
  <si>
    <t>PERMIT PRESSURE VESSEL</t>
  </si>
  <si>
    <t>TRM2366</t>
  </si>
  <si>
    <t>RISK RULER-ERGRONOMIC 35 X 25CM, PVC FULL</t>
  </si>
  <si>
    <t>TRM3946</t>
  </si>
  <si>
    <t>SAFETY OFFICER CARD</t>
  </si>
  <si>
    <t>TRM3296</t>
  </si>
  <si>
    <t>SAFETY WACHER UKURAN S HONEYWELL</t>
  </si>
  <si>
    <t>TRM2345</t>
  </si>
  <si>
    <t>SAFTY PADLOCK LOTO 38MM</t>
  </si>
  <si>
    <t>TRM4154</t>
  </si>
  <si>
    <t>STAMP CARD</t>
  </si>
  <si>
    <t>TRM3970</t>
  </si>
  <si>
    <t>STEMPEL MERK JOYKO (STEMPEL, BANTALAN, TINTA WARNA BIRU)</t>
  </si>
  <si>
    <t>TRM2689</t>
  </si>
  <si>
    <t>STICKER 2ND CONTAIMENT 2 ITEM</t>
  </si>
  <si>
    <t>TRM2506</t>
  </si>
  <si>
    <t>STICKER 2ND CONTAIMENT BESAR</t>
  </si>
  <si>
    <t>TRM2507</t>
  </si>
  <si>
    <t>STICKER 2ND CONTIAMENT KECIL</t>
  </si>
  <si>
    <t>TRM3516</t>
  </si>
  <si>
    <t>STICKER ALL ENERGI</t>
  </si>
  <si>
    <t>TRM4062</t>
  </si>
  <si>
    <t>STICKER ALL ENERGY</t>
  </si>
  <si>
    <t>TRM3567</t>
  </si>
  <si>
    <t>STICKER ASN PANEL LISTRIK + CUTTING, UKURAN A4</t>
  </si>
  <si>
    <t>TRM3568</t>
  </si>
  <si>
    <t>STICKER ASN PANEL LISTRIK + CUTTING, UKURAN A5</t>
  </si>
  <si>
    <t>TRM3756</t>
  </si>
  <si>
    <t>STICKER AUTHORIZED &amp; RESTRICTED AREA</t>
  </si>
  <si>
    <t>TRM3839</t>
  </si>
  <si>
    <t>STICKER AWS</t>
  </si>
  <si>
    <t>TRM3396</t>
  </si>
  <si>
    <t>STICKER BAHAYA A4 + CUTTING</t>
  </si>
  <si>
    <t>TRM2751</t>
  </si>
  <si>
    <t>STICKER BAHAYA LISTRIK</t>
  </si>
  <si>
    <t>TRM2735</t>
  </si>
  <si>
    <t>STICKER BAHAYA TANGAN TERJEPIT, UKURAN  A5</t>
  </si>
  <si>
    <t>TRM3370</t>
  </si>
  <si>
    <t>STICKER BAHAYA TANGAN TERJEPIT, UKURAN A5</t>
  </si>
  <si>
    <t>TRM2688</t>
  </si>
  <si>
    <t>STICKER BARCODE 2 ITEM</t>
  </si>
  <si>
    <t>TRM2461</t>
  </si>
  <si>
    <t>STICKER BARCODE 2 ITEM BAHAN VYNIL</t>
  </si>
  <si>
    <t>TRM3750</t>
  </si>
  <si>
    <t>STICKER ELECTRICAL ENERGY</t>
  </si>
  <si>
    <t>TRM2682</t>
  </si>
  <si>
    <t>STICKER EMERGENCY EXIT (LANTAI)</t>
  </si>
  <si>
    <t>TRM1795</t>
  </si>
  <si>
    <t>STICKER GEMBOK DAN KOTAK 4 MODEL BAHAN STICKER HVS CUTTING</t>
  </si>
  <si>
    <t>TRM3951</t>
  </si>
  <si>
    <t>STICKER GEMBOK LOTO &amp; KOTAK</t>
  </si>
  <si>
    <t>TRM2321</t>
  </si>
  <si>
    <t>STICKER HIMBAUAN BAHAN VYNIL + LAMINATING + CUTTING</t>
  </si>
  <si>
    <t>TRM2375</t>
  </si>
  <si>
    <t>STICKER IBU HAMIL DILARANG MASUK, UKURAN A4, BAHAN CUTTING STICKER</t>
  </si>
  <si>
    <t>TRM2511</t>
  </si>
  <si>
    <t>STICKER INTERLOCK</t>
  </si>
  <si>
    <t>TRM4063</t>
  </si>
  <si>
    <t>STICKER KOROSIF &amp; IRITAN</t>
  </si>
  <si>
    <t>TRM2725</t>
  </si>
  <si>
    <t>STICKER LANTAI (FORKLIFT DAN PEDESTRIAN)</t>
  </si>
  <si>
    <t>TRM2740</t>
  </si>
  <si>
    <t>STICKER LANTAI (FORKLIFT)</t>
  </si>
  <si>
    <t>TRM2319</t>
  </si>
  <si>
    <t>STICKER LARANGAN BAHAN VYNIL + LAMINATING + CUTTING</t>
  </si>
  <si>
    <t>TRM2378</t>
  </si>
  <si>
    <t>STICKER LIMBAH</t>
  </si>
  <si>
    <t>TRM2516</t>
  </si>
  <si>
    <t>STICKER LOTO BESAR</t>
  </si>
  <si>
    <t>TRM2515</t>
  </si>
  <si>
    <t>STICKER LOTO KECIL</t>
  </si>
  <si>
    <t>TRM2468</t>
  </si>
  <si>
    <t>STICKER MAGNET (EKSTRA BOS)</t>
  </si>
  <si>
    <t>TRM2505</t>
  </si>
  <si>
    <t>STICKER MAGNET (EKSTRA BOS+QRP)</t>
  </si>
  <si>
    <t>TRM4316</t>
  </si>
  <si>
    <t>STICKER MAGNET ISEA</t>
  </si>
  <si>
    <t>TRM4324</t>
  </si>
  <si>
    <t>STICKER MAGNET JSA</t>
  </si>
  <si>
    <t>TRM4325</t>
  </si>
  <si>
    <t>STICKER MAGNET QRP</t>
  </si>
  <si>
    <t>TRM4067</t>
  </si>
  <si>
    <t>STICKER METAL STRIP (ROLL) UK. 5CM X 400CM</t>
  </si>
  <si>
    <t>TRM3346</t>
  </si>
  <si>
    <t>STICKER MINOR SERVICE (HIJAU)</t>
  </si>
  <si>
    <t>TRM3369</t>
  </si>
  <si>
    <t>STICKER MINOR SERVICING (ORANGE)</t>
  </si>
  <si>
    <t>TRM2512</t>
  </si>
  <si>
    <t>STICKER MINOR SERVICING (YELLOW)</t>
  </si>
  <si>
    <t>TRM2432</t>
  </si>
  <si>
    <t>STICKER MINOR SERVICING BAHAN VYNIL CUTTING</t>
  </si>
  <si>
    <t>TRM3902</t>
  </si>
  <si>
    <t>STICKER PENAMAAN</t>
  </si>
  <si>
    <t>TRM3847</t>
  </si>
  <si>
    <t>STICKER PENAMAAN (HIJAU) DAN (MERAH)</t>
  </si>
  <si>
    <t>TRM4022</t>
  </si>
  <si>
    <t>STICKER PENAMAAN HIJAU &amp; MERAH</t>
  </si>
  <si>
    <t>TRM4061</t>
  </si>
  <si>
    <t>STICKER PERINGATAN (KUNING)</t>
  </si>
  <si>
    <t>TRM2340</t>
  </si>
  <si>
    <t>STICKER PERINGATAN , UKURAN 300 X 210 MM, BAHAN VYNIL + LAMINATING</t>
  </si>
  <si>
    <t>TRM2320</t>
  </si>
  <si>
    <t>STICKER PERINGATAN BAHAN VYNIL + LAMINATING + CUTTING</t>
  </si>
  <si>
    <t>TRM2687</t>
  </si>
  <si>
    <t>STICKER RESPIRATOR</t>
  </si>
  <si>
    <t>TRM3527</t>
  </si>
  <si>
    <t>STICKER SARUNG TANGAN ANTI GORES</t>
  </si>
  <si>
    <t>TRM3948</t>
  </si>
  <si>
    <t>STICKER TEMPAT SAMPAH SECONDARY</t>
  </si>
  <si>
    <t>TRM2726</t>
  </si>
  <si>
    <t>STICKER TOMBOL EMERGENCY BESAR</t>
  </si>
  <si>
    <t>TRM2727</t>
  </si>
  <si>
    <t>STICKER TOMBOL EMERGENCY KECIL</t>
  </si>
  <si>
    <t>TRM2433</t>
  </si>
  <si>
    <t>STICKER TOMBOL EMERGENCY STOP</t>
  </si>
  <si>
    <t>TRM4171</t>
  </si>
  <si>
    <t>TAG-DO NOT OPERATE</t>
  </si>
  <si>
    <t>TRM2471</t>
  </si>
  <si>
    <t>TATA KELOLA AIR DAN KEBIJAKAN KHUSUS</t>
  </si>
  <si>
    <t>TRM3062</t>
  </si>
  <si>
    <t>W02-OS-BUKU LSW</t>
  </si>
  <si>
    <t>TRM2438</t>
  </si>
  <si>
    <t>W02-OS-TRANSPORTATION LOGBOOK - TRANSPORTATION</t>
  </si>
  <si>
    <t>TRM3705</t>
  </si>
  <si>
    <t>W03-OS-BUKU LSW, UKURAN A4 - Supplies : Paper</t>
  </si>
  <si>
    <t>TRM2831</t>
  </si>
  <si>
    <t>W04-OS-LOGBOOK FD FGW DAN ADMIN FGW</t>
  </si>
  <si>
    <t>TRM3297</t>
  </si>
  <si>
    <t>W04-OS-LOGBOOK HO FD &amp; LOGBOOK HO ADMIN</t>
  </si>
  <si>
    <t>TRM2352</t>
  </si>
  <si>
    <t>W05-OS-BANNER UK 12M X 2.5M - R&amp;M : OTHERS</t>
  </si>
  <si>
    <t>TRM2329</t>
  </si>
  <si>
    <t>W05-OS-KARTU ERT BAHAN PVC UKURAN STANDART KARTU OTHER SUPPLIES NON ATK</t>
  </si>
  <si>
    <t>TRM2992</t>
  </si>
  <si>
    <t>W07-OS-BUKU HANDOVER LOGBOOK TS FL</t>
  </si>
  <si>
    <t>TRM3159</t>
  </si>
  <si>
    <t>W07-OS-KATALOG REJECT LEMBARAN A3, KATALOG REJECT POTONGAN A3, KATALOG REJECT POTONGAN QI A3, LEGALITAS BANDEROL A4</t>
  </si>
  <si>
    <t>TRM3449</t>
  </si>
  <si>
    <t>W10-OS-BANNER UKURAN 10 FT X 2 FT - SUPPLIES : PLASTIK</t>
  </si>
  <si>
    <t>TRM3751</t>
  </si>
  <si>
    <t>W12-OS-BANNER UKURAN 6X1,3 METER</t>
  </si>
  <si>
    <t>TRM4072</t>
  </si>
  <si>
    <t>W17-OS-LOGBOOK FD DIM PMID KR- SUPPLIES PAPER</t>
  </si>
  <si>
    <t>TRM3580</t>
  </si>
  <si>
    <t>W20-OS- ERT CARD - OTHER SUPPLIES NON ATK</t>
  </si>
  <si>
    <t>TRM4082</t>
  </si>
  <si>
    <t>W20-OS-BANNER FL GATHERING - OTHER SUPPLIES NON ATK</t>
  </si>
  <si>
    <t>TRM4017</t>
  </si>
  <si>
    <t>W20-OS-ERT CARD FL &amp; POCKET CARD FL - OTHER SUPPLIES NON ATK</t>
  </si>
  <si>
    <t>TRM3986</t>
  </si>
  <si>
    <t>W20-OS-STICKER FIRST AIDER</t>
  </si>
  <si>
    <t>TRM2975</t>
  </si>
  <si>
    <t>X BANNER 160X60 CM</t>
  </si>
  <si>
    <t>TRM2429</t>
  </si>
  <si>
    <t>SAFETY PADLOCK (KUNING)</t>
  </si>
  <si>
    <t>TRM2426</t>
  </si>
  <si>
    <t>SAFETY PADLOCK (MERAH)</t>
  </si>
  <si>
    <t>TRM3765</t>
  </si>
  <si>
    <t>ANKER A8339 POWER EXPAND 3 IN 1</t>
  </si>
  <si>
    <t>SNH</t>
  </si>
  <si>
    <t>TRM3362</t>
  </si>
  <si>
    <t>BACK SUPPORT BELT M</t>
  </si>
  <si>
    <t>TRM3103</t>
  </si>
  <si>
    <t>BARCODE SCANNER ZEBRA DS2208</t>
  </si>
  <si>
    <t>TRM0088</t>
  </si>
  <si>
    <t>BARCODE SCANNER ZEBRA DS2278</t>
  </si>
  <si>
    <t>TRM1949</t>
  </si>
  <si>
    <t>BASEUS KABELL DATA USB EXTENSION USB 3.0 MALE TO USB 3.0 FEMALE</t>
  </si>
  <si>
    <t>TRM3654</t>
  </si>
  <si>
    <t>BENANG KASUR / BENANG REMI</t>
  </si>
  <si>
    <t>TRM3668</t>
  </si>
  <si>
    <t>BENANG KASUR / TALI RAMI</t>
  </si>
  <si>
    <t>TRM4148</t>
  </si>
  <si>
    <t>BOX PLASTIK CONTAINER</t>
  </si>
  <si>
    <t>TRM2328</t>
  </si>
  <si>
    <t>CENTER DISTANCE CALIPER DIGITAL</t>
  </si>
  <si>
    <t>TRM2386</t>
  </si>
  <si>
    <t>CLAMP STRAPING BAND</t>
  </si>
  <si>
    <t>TRM2580</t>
  </si>
  <si>
    <t>CORONG MINYAK</t>
  </si>
  <si>
    <t>TRM2058</t>
  </si>
  <si>
    <t>CUTTING TORCH STRONG 8 + NOZZLE</t>
  </si>
  <si>
    <t>TRM2057</t>
  </si>
  <si>
    <t>CUTTING WHEEL GCO 12-24 BOSCH</t>
  </si>
  <si>
    <t>TRM1859</t>
  </si>
  <si>
    <t>DS2278 BATTERY SACANNER ZEBRA</t>
  </si>
  <si>
    <t>TRM1950</t>
  </si>
  <si>
    <t>EDA50K SCANNER HONEYWELL</t>
  </si>
  <si>
    <t>TRM2513</t>
  </si>
  <si>
    <t>HELMET LAS AUTO DAIDEN KANNO 500</t>
  </si>
  <si>
    <t>TRM3774</t>
  </si>
  <si>
    <t>HOLDER A4SCR2020K0113</t>
  </si>
  <si>
    <t>TRM2247</t>
  </si>
  <si>
    <t>HONEYWELL SCANPAL EDA51K</t>
  </si>
  <si>
    <t>TRM4317</t>
  </si>
  <si>
    <t>HT MOTOROLA WALKIE TALKIIE</t>
  </si>
  <si>
    <t>TRM3670</t>
  </si>
  <si>
    <t>INSERT GROVING KC5025</t>
  </si>
  <si>
    <t>TRM2234</t>
  </si>
  <si>
    <t>JAM DIGITAL</t>
  </si>
  <si>
    <t>TRM1914</t>
  </si>
  <si>
    <t>JARING MESH 10X10 3MM X L200CM PANJANG 10M</t>
  </si>
  <si>
    <t>TRM3422</t>
  </si>
  <si>
    <t>JASA PERBAIKAN FASILITAS (CONTROLLER NTP)</t>
  </si>
  <si>
    <t>TRM3421</t>
  </si>
  <si>
    <t>JASA PERBAIKAN FASILITAS (RESET SETING PROGRAM)</t>
  </si>
  <si>
    <t>TRM3185</t>
  </si>
  <si>
    <t>JUNCTION BOX PVC 12 X 12 X 9 CM</t>
  </si>
  <si>
    <t>TRM3818</t>
  </si>
  <si>
    <t>KABEL SCANNER BARCODE</t>
  </si>
  <si>
    <t>TRM2739</t>
  </si>
  <si>
    <t>KABLE USB TYPE C</t>
  </si>
  <si>
    <t>TRM3121</t>
  </si>
  <si>
    <t>KAIN ANTI PANAS</t>
  </si>
  <si>
    <t>TRM2834</t>
  </si>
  <si>
    <t>KARET GELANG KECIL</t>
  </si>
  <si>
    <t>TRM3186</t>
  </si>
  <si>
    <t>KERTAS A3 WARNA BIRU</t>
  </si>
  <si>
    <t>TRM3187</t>
  </si>
  <si>
    <t>KERTAS A3 WARNA HIJAU</t>
  </si>
  <si>
    <t>TRM3188</t>
  </si>
  <si>
    <t>KERTAS A3 WARNA KUNING</t>
  </si>
  <si>
    <t>TRM3189</t>
  </si>
  <si>
    <t>KERTAS A3 WARNA ORANGE</t>
  </si>
  <si>
    <t>TRM3398</t>
  </si>
  <si>
    <t>KRAN CHEMICAL JERIGEN 20L</t>
  </si>
  <si>
    <t>TRM3560</t>
  </si>
  <si>
    <t>LIT-ONTNMA OIL BASED MARKER WHITE</t>
  </si>
  <si>
    <t>TRM0204</t>
  </si>
  <si>
    <t>MARKING TOYO PINK</t>
  </si>
  <si>
    <t>TRM0206</t>
  </si>
  <si>
    <t>MARKING TOYO PURPLE</t>
  </si>
  <si>
    <t>TRM0205</t>
  </si>
  <si>
    <t>MARKING TOYO SILVER</t>
  </si>
  <si>
    <t>TRM0201</t>
  </si>
  <si>
    <t>MARKING TOYO YELLOW</t>
  </si>
  <si>
    <t>TRM2477</t>
  </si>
  <si>
    <t>MATA BLENDER LAS STRONG 8 CHIYODA</t>
  </si>
  <si>
    <t>TRM3983</t>
  </si>
  <si>
    <t>MINI CUPLA 33 SF</t>
  </si>
  <si>
    <t>TRM1885</t>
  </si>
  <si>
    <t>MULTIGUARD 50 ( 745 X 515 MM)</t>
  </si>
  <si>
    <t>TRM3775</t>
  </si>
  <si>
    <t>OTG CONVERTER TYPE C</t>
  </si>
  <si>
    <t>TRM3581</t>
  </si>
  <si>
    <t>PAINT MARKER ZEBRA WHITE</t>
  </si>
  <si>
    <t>TRM2733</t>
  </si>
  <si>
    <t>PATROL GUARD DIGITOOL</t>
  </si>
  <si>
    <t>TRM3450</t>
  </si>
  <si>
    <t>PLAT BESI STAINLESS 1MM LBG 5-10</t>
  </si>
  <si>
    <t>TRM2848</t>
  </si>
  <si>
    <t>PLUG SOCKET CEE 024-224</t>
  </si>
  <si>
    <t>TRM3017</t>
  </si>
  <si>
    <t>POLISI TIDUR KARET</t>
  </si>
  <si>
    <t>TRM3945</t>
  </si>
  <si>
    <t>POM BLUE / BLACK DIAMETER 50 X1000mm</t>
  </si>
  <si>
    <t>TRM2581</t>
  </si>
  <si>
    <t>POMPA MINYAK ELEKTRIK</t>
  </si>
  <si>
    <t>TRM3043</t>
  </si>
  <si>
    <t>POWER SOCKET FORT 024 POLE 4 32A</t>
  </si>
  <si>
    <t>TRM1916</t>
  </si>
  <si>
    <t>PP BOARD 1250 X 1500 2MM</t>
  </si>
  <si>
    <t>TRM4273</t>
  </si>
  <si>
    <t>PROTECTOR PVC-CLEAR</t>
  </si>
  <si>
    <t>TRM4147</t>
  </si>
  <si>
    <t>PVC SHEET 5MM X  120CM X 240CM</t>
  </si>
  <si>
    <t>TRM4092</t>
  </si>
  <si>
    <t>PVC SHEET 5MM X  50CM X 50CM</t>
  </si>
  <si>
    <t>TRM2251</t>
  </si>
  <si>
    <t>RANTAI OCM CHAIN  DCD 1 1KS</t>
  </si>
  <si>
    <t>TRM2144</t>
  </si>
  <si>
    <t>REGULTAOR OXYGEN YAMATO ORI JAPAN</t>
  </si>
  <si>
    <t>TRM2145</t>
  </si>
  <si>
    <t>REGULTOR ACYTLYN YAMATO ORI JAPAN</t>
  </si>
  <si>
    <t>TRM3436</t>
  </si>
  <si>
    <t>SAFETY RESCUE HOOK</t>
  </si>
  <si>
    <t>TRM3305</t>
  </si>
  <si>
    <t>SAFTY WALK 3M</t>
  </si>
  <si>
    <t>TRM3366</t>
  </si>
  <si>
    <t>SARUNG TANGAN ANTI PANAS</t>
  </si>
  <si>
    <t>TRM3437</t>
  </si>
  <si>
    <t>SARUNG TANGAN SAFETY HIGH VOLT</t>
  </si>
  <si>
    <t>TRM1951</t>
  </si>
  <si>
    <t>SCAN HANDLE</t>
  </si>
  <si>
    <t>TRM4247</t>
  </si>
  <si>
    <t>SELANG TB 1 PS 5/8"</t>
  </si>
  <si>
    <t>TRM2633</t>
  </si>
  <si>
    <t>SENTER CAMELION</t>
  </si>
  <si>
    <t>TRM3071</t>
  </si>
  <si>
    <t>SENTER MEDIS MINI LED PORTABLE USB</t>
  </si>
  <si>
    <t>TRM3435</t>
  </si>
  <si>
    <t>SEPATU SAFETY ELECTRICAL</t>
  </si>
  <si>
    <t>TRM1678</t>
  </si>
  <si>
    <t>SEPATU SERAGAM NO 41, 42, 45</t>
  </si>
  <si>
    <t>TRM1930</t>
  </si>
  <si>
    <t>SGDV-R90A01B SERVO DRIVER YASKAWA</t>
  </si>
  <si>
    <t>TRM3904</t>
  </si>
  <si>
    <t>TALI PENUTUP PINTU AUTOMATIC</t>
  </si>
  <si>
    <t>TRM2300</t>
  </si>
  <si>
    <t>TANGGA ALUMUNIUM 1.72 METER</t>
  </si>
  <si>
    <t>TRM2972</t>
  </si>
  <si>
    <t>TIMBANGAN KETELITIAN 0.01 GRAM</t>
  </si>
  <si>
    <t>TRM2966</t>
  </si>
  <si>
    <t>USB A HUB 4 IN 1</t>
  </si>
  <si>
    <t>TRM3559</t>
  </si>
  <si>
    <t>WATER SPRAY</t>
  </si>
  <si>
    <t>TRM1860</t>
  </si>
  <si>
    <t>WHEEL CHUCK RUBBER</t>
  </si>
  <si>
    <t>TRM1892</t>
  </si>
  <si>
    <t>WHEL CHUCK RUBBER</t>
  </si>
  <si>
    <t>TRM4177</t>
  </si>
  <si>
    <t>AIR GRINDER 3MM 60000RPM KRISBOW</t>
  </si>
  <si>
    <t>TRM0139</t>
  </si>
  <si>
    <t>CLAMP STRAPPING BAND 30MM X 20MM</t>
  </si>
  <si>
    <t>TRM0150</t>
  </si>
  <si>
    <t>FASTENER TAPE 1"</t>
  </si>
  <si>
    <t>TRM0162</t>
  </si>
  <si>
    <t>FOAM SHEET 2MM</t>
  </si>
  <si>
    <t>TRM0172</t>
  </si>
  <si>
    <t>KARET GELANG BESAR</t>
  </si>
  <si>
    <t>TRM0245</t>
  </si>
  <si>
    <t>KAWAT LAS NICHO 2.6MM</t>
  </si>
  <si>
    <t>TRM2472</t>
  </si>
  <si>
    <t>MAJUN BAHAN KATUN (ANTI PANAS)</t>
  </si>
  <si>
    <t>TRM0189</t>
  </si>
  <si>
    <t>MARKING SNOWMAN BLACK</t>
  </si>
  <si>
    <t>TRM0185</t>
  </si>
  <si>
    <t>MARKING SNOWMAN BLUE</t>
  </si>
  <si>
    <t>TRM0187</t>
  </si>
  <si>
    <t>MARKING SNOWMAN GOLD</t>
  </si>
  <si>
    <t>TRM0192</t>
  </si>
  <si>
    <t>MARKING SNOWMAN ORANGE</t>
  </si>
  <si>
    <t>TRM0196</t>
  </si>
  <si>
    <t>MARKING SNOWMAN PURPLE</t>
  </si>
  <si>
    <t>TRM0191</t>
  </si>
  <si>
    <t>MARKING SNOWMAN RED</t>
  </si>
  <si>
    <t>TRM0195</t>
  </si>
  <si>
    <t>MARKING SNOWMAN SILVER</t>
  </si>
  <si>
    <t>TRM0194</t>
  </si>
  <si>
    <t>MARKING SNOWMAN WHITE</t>
  </si>
  <si>
    <t>TRM0190</t>
  </si>
  <si>
    <t>MARKING SNOWMAN YELLOW</t>
  </si>
  <si>
    <t>TRM0200</t>
  </si>
  <si>
    <t>MARKING TOYO BLACK</t>
  </si>
  <si>
    <t>TRM0198</t>
  </si>
  <si>
    <t>MARKING TOYO BLUE</t>
  </si>
  <si>
    <t>TRM0202</t>
  </si>
  <si>
    <t>MARKING TOYO BROWN</t>
  </si>
  <si>
    <t>TRM0199</t>
  </si>
  <si>
    <t>MARKING TOYO GREEN</t>
  </si>
  <si>
    <t>TRM0203</t>
  </si>
  <si>
    <t>MARKING TOYO ORANGE</t>
  </si>
  <si>
    <t>TRM0324</t>
  </si>
  <si>
    <t>MARKING TOYO WHITE</t>
  </si>
  <si>
    <t>TRM0208</t>
  </si>
  <si>
    <t>MASKER KAIN</t>
  </si>
  <si>
    <t>TRM0211</t>
  </si>
  <si>
    <t>MASKING TAVE</t>
  </si>
  <si>
    <t>TRM0222</t>
  </si>
  <si>
    <t>PVA SPONGE</t>
  </si>
  <si>
    <t>TRM0244</t>
  </si>
  <si>
    <t>TALI RAFIA</t>
  </si>
  <si>
    <t>TRM0197</t>
  </si>
  <si>
    <t>MARKING TOYO RED</t>
  </si>
  <si>
    <t>TRM0188</t>
  </si>
  <si>
    <t>MARKING SNOWMAN GREEN</t>
  </si>
  <si>
    <t>TRM0186</t>
  </si>
  <si>
    <t>MARKING SNOWMAN BROWN</t>
  </si>
  <si>
    <t>TRM0173</t>
  </si>
  <si>
    <t>KARET GELANG HIJAU</t>
  </si>
  <si>
    <t>TRM0171</t>
  </si>
  <si>
    <t>MAJUN PUTIH LEMBARAN</t>
  </si>
  <si>
    <t>TRM0183</t>
  </si>
  <si>
    <t>MARKING LT. BLUE (ARTLINE)</t>
  </si>
  <si>
    <t>TRM0184</t>
  </si>
  <si>
    <t>MARKING YELLOW GREEN (ARTLINE)</t>
  </si>
  <si>
    <t>TRM0193</t>
  </si>
  <si>
    <t>MARKING SNOWMAN PINK</t>
  </si>
  <si>
    <t>TRM3193</t>
  </si>
  <si>
    <t>SAW BLADE Ø350</t>
  </si>
  <si>
    <t>TRM0215</t>
  </si>
  <si>
    <t>PA 180X1.0X31.75 PA60PB KINIK CUT OFF GRIDINGWHEEL</t>
  </si>
  <si>
    <t>TRM0212</t>
  </si>
  <si>
    <t>METALIZING W 1.2XL.50M (NB148)</t>
  </si>
  <si>
    <t>TRM1320</t>
  </si>
  <si>
    <t>KERTAS A5 70GR</t>
  </si>
  <si>
    <t>SRO</t>
  </si>
  <si>
    <t>TRM1389</t>
  </si>
  <si>
    <t>SPONBON (CSUCMMS0020008)</t>
  </si>
  <si>
    <t>TRM1376</t>
  </si>
  <si>
    <t>LAKBAN BENING BESAR</t>
  </si>
  <si>
    <t>TRM1375</t>
  </si>
  <si>
    <t>LAKBAN COKLAT BESAR</t>
  </si>
  <si>
    <t>TRM1319</t>
  </si>
  <si>
    <t>KERTAS HVS A4 70GR IK COPY PAPER</t>
  </si>
  <si>
    <t>TRM1626</t>
  </si>
  <si>
    <t>CKD DIRECT ACTING 2 PORT SELENOID VALVE</t>
  </si>
  <si>
    <t>ST</t>
  </si>
  <si>
    <t>TRM1571</t>
  </si>
  <si>
    <t>EXHAUST FAN CKE ESN-D16/1-YL</t>
  </si>
  <si>
    <t>TRM1623</t>
  </si>
  <si>
    <t>GATE VALVE KUNINGAN 1/4" INCHI/STOP KRAN</t>
  </si>
  <si>
    <t>TRM1625</t>
  </si>
  <si>
    <t>JOIN NEPEL 1/4 X 1/4</t>
  </si>
  <si>
    <t>TRM1624</t>
  </si>
  <si>
    <t>NEPEL SC 1/4X6MM FITTING PNEUMATIC SPEED</t>
  </si>
  <si>
    <t>TRM3364</t>
  </si>
  <si>
    <t>ACCU GS + AIR ACCU</t>
  </si>
  <si>
    <t>TBINA</t>
  </si>
  <si>
    <t>TRM4176</t>
  </si>
  <si>
    <t>AIR GRINDER TW</t>
  </si>
  <si>
    <t>TRM4272</t>
  </si>
  <si>
    <t>ALFELIX KUNCI SET SOCKET 12 PCS KUNCI SOK WRECH 1/4 INCH</t>
  </si>
  <si>
    <t>TRM3534</t>
  </si>
  <si>
    <t>ALUMUNIUM FLEXIBEL ROUND DUCT HOSE 4"</t>
  </si>
  <si>
    <t>TRM3363</t>
  </si>
  <si>
    <t>AMPLAS BELT 4"X915MM #100</t>
  </si>
  <si>
    <t>TRM3940</t>
  </si>
  <si>
    <t>ANCHOR M10</t>
  </si>
  <si>
    <t>TRM3939</t>
  </si>
  <si>
    <t>ANCHOR M8</t>
  </si>
  <si>
    <t>TRM3876</t>
  </si>
  <si>
    <t>AR22-22-PR-2</t>
  </si>
  <si>
    <t>TRM3875</t>
  </si>
  <si>
    <t>AR22-22-PR-3</t>
  </si>
  <si>
    <t>TRM3491</t>
  </si>
  <si>
    <t>BANTEX POCKET A4 ISI 20</t>
  </si>
  <si>
    <t>TRM3647</t>
  </si>
  <si>
    <t>BATARI MAXWEL LR1130 189</t>
  </si>
  <si>
    <t>TRM4250</t>
  </si>
  <si>
    <t>BAUT L UK. M4X50 (INCLUDE ULIR 20)</t>
  </si>
  <si>
    <t>TRM3483</t>
  </si>
  <si>
    <t>BAUT MUR SS304 M8X35 FULL</t>
  </si>
  <si>
    <t>TRM3445</t>
  </si>
  <si>
    <t>BEARING 7203 BW NSK</t>
  </si>
  <si>
    <t>TRM3561</t>
  </si>
  <si>
    <t>BEARING NTN HK2016F</t>
  </si>
  <si>
    <t>TRM3463</t>
  </si>
  <si>
    <t>BENDABLE MAGNETIC BAR 20"</t>
  </si>
  <si>
    <t>TRM4152</t>
  </si>
  <si>
    <t>BOR ANGIN</t>
  </si>
  <si>
    <t>TRM3460</t>
  </si>
  <si>
    <t>BUSINESS FILE A4 POLOS</t>
  </si>
  <si>
    <t>TRM4284</t>
  </si>
  <si>
    <t>CABLE TIE MOUNT 25X25 FORT</t>
  </si>
  <si>
    <t>TRM3715</t>
  </si>
  <si>
    <t>CARBON BRUSH GENERATOR</t>
  </si>
  <si>
    <t>TRM3650</t>
  </si>
  <si>
    <t>CONTACTOR FUJI TR 51-N/3 THERMAL OVERLAD</t>
  </si>
  <si>
    <t>TRM3712</t>
  </si>
  <si>
    <t>CUTTING WHEEL WD 4" X 1.2</t>
  </si>
  <si>
    <t>TRM4248</t>
  </si>
  <si>
    <t>ENGSEL KUPU 1"</t>
  </si>
  <si>
    <t>TRM3350</t>
  </si>
  <si>
    <t>ETERNA SAKLAR STOP KONTAK WATERPROF</t>
  </si>
  <si>
    <t>TRM3984</t>
  </si>
  <si>
    <t>EXHAUST MERK KDK 10 INCH 25RQN5</t>
  </si>
  <si>
    <t>TRM4129</t>
  </si>
  <si>
    <t>FAN DELTA AFB1124SHE</t>
  </si>
  <si>
    <t>TRM3896</t>
  </si>
  <si>
    <t>FEDERAL NYMHY 2X0.75MM2 @50MTR/ROLL</t>
  </si>
  <si>
    <t>TRM3895</t>
  </si>
  <si>
    <t>FITING SELANG AIR</t>
  </si>
  <si>
    <t>TRM3722</t>
  </si>
  <si>
    <t>FLUITROL 200V/50HZ 220V/60HZ COIL SELENOID VALVE</t>
  </si>
  <si>
    <t>TRM3365</t>
  </si>
  <si>
    <t>GLITHER REGULATOR CO2</t>
  </si>
  <si>
    <t>TRM4151</t>
  </si>
  <si>
    <t>HAND TAP AND PLE SET</t>
  </si>
  <si>
    <t>TRM3958</t>
  </si>
  <si>
    <t>HAND TAP SPIRAL YAMAWA M12</t>
  </si>
  <si>
    <t>TRM3959</t>
  </si>
  <si>
    <t>HAND TAP SPIRAL YAMAWA M4</t>
  </si>
  <si>
    <t>TRM3960</t>
  </si>
  <si>
    <t>HAND TAP SPIRAL YAMAWA M5</t>
  </si>
  <si>
    <t>TRM3558</t>
  </si>
  <si>
    <t>HEX BIT SOCKET 1/2 " DR 6 X 100 MM</t>
  </si>
  <si>
    <t>TRM3330</t>
  </si>
  <si>
    <t>HOWIG ANALOG METER HPM SERIES</t>
  </si>
  <si>
    <t>TRM3545</t>
  </si>
  <si>
    <t>HTC-1 HYGROMETER TERMOMETER</t>
  </si>
  <si>
    <t>TRM3685</t>
  </si>
  <si>
    <t>I-BON 3.5X0.4X200</t>
  </si>
  <si>
    <t>TRM3859</t>
  </si>
  <si>
    <t>IDEC YW1P-1EQ4 BIRU</t>
  </si>
  <si>
    <t>TRM3858</t>
  </si>
  <si>
    <t>IDEC YW1P-1EQ4 HIJAU</t>
  </si>
  <si>
    <t>TRM3857</t>
  </si>
  <si>
    <t>IDEC YW1P-1EQ4 KUNING</t>
  </si>
  <si>
    <t>TRM3856</t>
  </si>
  <si>
    <t>IDEC YW1P-1EQ4 MERAH</t>
  </si>
  <si>
    <t>TRM3333</t>
  </si>
  <si>
    <t>IDEC YW1P-1EQ4 PILOT LAMP HIJAU LED 24V</t>
  </si>
  <si>
    <t>TRM3744</t>
  </si>
  <si>
    <t>JOYKO RAK DOKUMEN DT-25 3 SUSUN</t>
  </si>
  <si>
    <t>TRM3897</t>
  </si>
  <si>
    <t>KABEL FEDERAL NYYHY 3X0.75 (50MTR/ROLL)</t>
  </si>
  <si>
    <t>TRM3899</t>
  </si>
  <si>
    <t>KABEL KONEKTOR LAMPU LED</t>
  </si>
  <si>
    <t>TRM3898</t>
  </si>
  <si>
    <t>KABEL KONEKTOR LAMPU LED 30CM</t>
  </si>
  <si>
    <t>TRM3937</t>
  </si>
  <si>
    <t>KENNEDY KEN5530140K MAGNETIC ADJ. PEN-TYPE TELESCOPIC PICK-UP TOOL</t>
  </si>
  <si>
    <t>TRM3328</t>
  </si>
  <si>
    <t>KINAGAWA INDIKATOR &amp; SWITCH PANEL LISTRIK</t>
  </si>
  <si>
    <t>TRM3565</t>
  </si>
  <si>
    <t>KONTAKTOR FUJI ELECTRIC DAN TOR (COIL DC 24V)</t>
  </si>
  <si>
    <t>TRM4155</t>
  </si>
  <si>
    <t>LAMPU LED 120 CM + RUMAH LAMPU</t>
  </si>
  <si>
    <t>TRM4138</t>
  </si>
  <si>
    <t>LINGGIS DIA 25MM PAJANG 120</t>
  </si>
  <si>
    <t>TRM4267</t>
  </si>
  <si>
    <t>MAGNAFLUX SPOTCHECK CLEANER DEVELOPER PENETRANT</t>
  </si>
  <si>
    <t>TRM3919</t>
  </si>
  <si>
    <t>MAGNETIC PEN-TYPE TELESCOPIC PICK-UP TOOL PANJANG 50 CM</t>
  </si>
  <si>
    <t>TRM3461</t>
  </si>
  <si>
    <t>MAP SLETING JALA</t>
  </si>
  <si>
    <t>TRM3955</t>
  </si>
  <si>
    <t>MATA BOR NACHI DIAMETER 15</t>
  </si>
  <si>
    <t>TRM3956</t>
  </si>
  <si>
    <t>MATA BOR NACHI DIAMETER 4.2</t>
  </si>
  <si>
    <t>TRM3957</t>
  </si>
  <si>
    <t>MATA BOR NACHI DIAMETER 5</t>
  </si>
  <si>
    <t>TRM3922</t>
  </si>
  <si>
    <t>MATA SOCK 4 NV-17L MAGNETIC SOCKET (417MP50)</t>
  </si>
  <si>
    <t>TRM3732</t>
  </si>
  <si>
    <t>MATA SOCK MERK TONE 4 NV-17L</t>
  </si>
  <si>
    <t>TRM3838</t>
  </si>
  <si>
    <t>MATA SOCKET DEEP IMPACT 8MM - 36MM 1/2"</t>
  </si>
  <si>
    <t>TRM3938</t>
  </si>
  <si>
    <t>MESIN POTONG BESI MESIN CUTT OFF CUTTING WHEEL 14" MAKITA M2401B</t>
  </si>
  <si>
    <t>TRM4271</t>
  </si>
  <si>
    <t>NACHI DRESET 1.0 - 10.0 X 0.5 MM (19 PCS)</t>
  </si>
  <si>
    <t>TRM3954</t>
  </si>
  <si>
    <t>NEPPLE SELANG 1/4</t>
  </si>
  <si>
    <t>TRM3351</t>
  </si>
  <si>
    <t>NERO SAKLAR LIGHT DIMMER 300W</t>
  </si>
  <si>
    <t>TRM4130</t>
  </si>
  <si>
    <t>NIPPON RESIBON MATA GERINDA A-24S 100X6X16MM</t>
  </si>
  <si>
    <t>TRM4051</t>
  </si>
  <si>
    <t>OBENG FLEXIBEL MAGNETIC 64104</t>
  </si>
  <si>
    <t>TRM4244</t>
  </si>
  <si>
    <t>PALU DOUBLE PLASTIK 50MM</t>
  </si>
  <si>
    <t>TRM4150</t>
  </si>
  <si>
    <t>PALU KARET</t>
  </si>
  <si>
    <t>TRM4038</t>
  </si>
  <si>
    <t>PANASONIC ORI CR 2032 LITHIUM 3V</t>
  </si>
  <si>
    <t>TRM3769</t>
  </si>
  <si>
    <t>PID REX TEMPERATUR CONTROLER C100 40DA</t>
  </si>
  <si>
    <t>TRM3367</t>
  </si>
  <si>
    <t>PIGMENT POWDER PEWARNA</t>
  </si>
  <si>
    <t>TRM3329</t>
  </si>
  <si>
    <t>PILOT LAMP 22MM LED</t>
  </si>
  <si>
    <t>TRM4050</t>
  </si>
  <si>
    <t>PROTECTION SPIRAL TUBE / COVER WIRE @ 5 METER</t>
  </si>
  <si>
    <t>TRM3388</t>
  </si>
  <si>
    <t>RATCHET OULLER HHH-500K</t>
  </si>
  <si>
    <t>TRM3433</t>
  </si>
  <si>
    <t>RATCHET PULLER HHH-700K (INDENT 2 WEEK)</t>
  </si>
  <si>
    <t>TRM4258</t>
  </si>
  <si>
    <t>RESIBON MATA GERINDA WA 60</t>
  </si>
  <si>
    <t>TRM3465</t>
  </si>
  <si>
    <t>RIG014ACTIVARMR ELECTRICAL INSULATING GLOVES CLASS 0 - RIG014</t>
  </si>
  <si>
    <t>TRM3863</t>
  </si>
  <si>
    <t>RING PLATE &amp; RING PER M5 GALVANIS</t>
  </si>
  <si>
    <t>TRM3453</t>
  </si>
  <si>
    <t>RUMAH LAMPU PHILIPS TL T8 120 CM</t>
  </si>
  <si>
    <t>TRM3900</t>
  </si>
  <si>
    <t>SAKLAR BROCO DOUBLE 16220</t>
  </si>
  <si>
    <t>TRM3909</t>
  </si>
  <si>
    <t>SAKLAR BROCO OUTBOW SERI 06</t>
  </si>
  <si>
    <t>TRM4020</t>
  </si>
  <si>
    <t>SAKLAR ON OFF MERK DV</t>
  </si>
  <si>
    <t>TRM3399</t>
  </si>
  <si>
    <t>SANWA HIGH NIBBLER SN-320B</t>
  </si>
  <si>
    <t>TRM4039</t>
  </si>
  <si>
    <t>SATA  FLEXIBLE MAGNETIC</t>
  </si>
  <si>
    <t>TRM3874</t>
  </si>
  <si>
    <t>SC-AR22-FFOR BIRU</t>
  </si>
  <si>
    <t>TRM3873</t>
  </si>
  <si>
    <t>SC-AR22-FFOR HIJAU</t>
  </si>
  <si>
    <t>TRM3871</t>
  </si>
  <si>
    <t>SC-AR22-FFOR MERAH</t>
  </si>
  <si>
    <t>TRM3870</t>
  </si>
  <si>
    <t>SC-AR22-FOR BIRU</t>
  </si>
  <si>
    <t>TRM3869</t>
  </si>
  <si>
    <t>SC-AR22-FOR HIJAU</t>
  </si>
  <si>
    <t>TRM3868</t>
  </si>
  <si>
    <t>SC-AR22-FOR KUNING</t>
  </si>
  <si>
    <t>TRM3867</t>
  </si>
  <si>
    <t>SC--AR22-FOR MERAH</t>
  </si>
  <si>
    <t>TRM3881</t>
  </si>
  <si>
    <t>SCHNEIDER ILUMINATED  PUSH BUTTON 220VAC XB2BMW33M1C HIJAU</t>
  </si>
  <si>
    <t>TRM3880</t>
  </si>
  <si>
    <t>SCHNEIDER ILUMINATED  PUSH BUTTON 220VAC XB2BMW34M1C MERAH</t>
  </si>
  <si>
    <t>TRM3878</t>
  </si>
  <si>
    <t>SCHNEIDER PUSH BUTTON MODULAR XB5AA31 HIJAU</t>
  </si>
  <si>
    <t>TRM3879</t>
  </si>
  <si>
    <t>SCHNEIDER PUSH BUTTON MODULAR XB5AA42 MERAH</t>
  </si>
  <si>
    <t>TRM3862</t>
  </si>
  <si>
    <t>SEKAI KIPAS ANGIN PENDINGIN VFN 1212 12 CM</t>
  </si>
  <si>
    <t>TRM3894</t>
  </si>
  <si>
    <t>SELANG AIR</t>
  </si>
  <si>
    <t>TRM3953</t>
  </si>
  <si>
    <t>SELANG BENANG TOGAWA 6X11</t>
  </si>
  <si>
    <t>TRM4132</t>
  </si>
  <si>
    <t>SELANG BRIDGESTONE JAPAN EXCEL WARNA HIJAU</t>
  </si>
  <si>
    <t>TRM3629</t>
  </si>
  <si>
    <t>SELANG GREASE</t>
  </si>
  <si>
    <t>TRM4131</t>
  </si>
  <si>
    <t>SELANG SPIRAL PANJANG 5X8MM 6 METER</t>
  </si>
  <si>
    <t>TRM3327</t>
  </si>
  <si>
    <t>SELECTOR SWITCH MERK FORT LA115-A</t>
  </si>
  <si>
    <t>TRM3840</t>
  </si>
  <si>
    <t>SENTER PEN</t>
  </si>
  <si>
    <t>TRM3872</t>
  </si>
  <si>
    <t>SHEMSCO PUSH BUTTON  SC AR22-FFOR KUNING</t>
  </si>
  <si>
    <t>TRM3864</t>
  </si>
  <si>
    <t>SIKAT KAWAT UNION H1-11</t>
  </si>
  <si>
    <t>TRM3525</t>
  </si>
  <si>
    <t>SIKAT PIRINGAN 8" KUNINGAN MULTIPRO</t>
  </si>
  <si>
    <t>TRM3740</t>
  </si>
  <si>
    <t>SIKAT WIRE BRUSH WW-100 K150MM</t>
  </si>
  <si>
    <t>TRM3331</t>
  </si>
  <si>
    <t>SNS ELECTRIC</t>
  </si>
  <si>
    <t>TRM3628</t>
  </si>
  <si>
    <t>SOLASI LISTIRK HITAM  NITTO</t>
  </si>
  <si>
    <t>TRM3562</t>
  </si>
  <si>
    <t>STAINLESS STEEL STEIN CLEANER ARCMEN CT 501 NB / 1 KG</t>
  </si>
  <si>
    <t>TRM3487</t>
  </si>
  <si>
    <t>STANDING MODEL-AVA1500-60-1P</t>
  </si>
  <si>
    <t>TRM3354</t>
  </si>
  <si>
    <t>STOP KONTAK BROCO 1 LUBANG 15410</t>
  </si>
  <si>
    <t>TRM3935</t>
  </si>
  <si>
    <t>TAP SP 4x0,75 HITAM</t>
  </si>
  <si>
    <t>TRM3387</t>
  </si>
  <si>
    <t>TAPE CARTRIDGE 6MM</t>
  </si>
  <si>
    <t>TRM4040</t>
  </si>
  <si>
    <t>TERMINAL CH MALE FEMALE</t>
  </si>
  <si>
    <t>TRM3974</t>
  </si>
  <si>
    <t>TERMINAL JEPIT</t>
  </si>
  <si>
    <t>TRM3557</t>
  </si>
  <si>
    <t>THINER IMPALA @1 LITER</t>
  </si>
  <si>
    <t>KLG</t>
  </si>
  <si>
    <t>TRM3952</t>
  </si>
  <si>
    <t>TIMAH SOLDER DIAMETER 0,8MM 1/4KG (SAKURA)</t>
  </si>
  <si>
    <t>TRM4139</t>
  </si>
  <si>
    <t>TIMER THEBEN SUL 181D</t>
  </si>
  <si>
    <t>TRM3684</t>
  </si>
  <si>
    <t>TOKIWA DRILL CHUCK 1-10MM 3/8-24UNF</t>
  </si>
  <si>
    <t>TRM3356</t>
  </si>
  <si>
    <t>TUNGLEE VARIABLE UX MICRO GEAR MOTOR 90 WATT 1 PHASE 4 POLE RATIO 150 AS 15 MM</t>
  </si>
  <si>
    <t>TRM3486</t>
  </si>
  <si>
    <t>TV TYPE SHARP 42DD1</t>
  </si>
  <si>
    <t>TRM3355</t>
  </si>
  <si>
    <t>UTICON STOP KONTAK ARDE 1 LUBANG ST-118</t>
  </si>
  <si>
    <t>TRM3464</t>
  </si>
  <si>
    <t>WALL FAN WF-ECO-75-TH CKE</t>
  </si>
  <si>
    <t>TRM3490</t>
  </si>
  <si>
    <t>WASHER M6 (RING PER + RING PLAT)</t>
  </si>
  <si>
    <t>TRM3489</t>
  </si>
  <si>
    <t>WASHER M8 (RING PER + RING PLAT)</t>
  </si>
  <si>
    <t>TRM3837</t>
  </si>
  <si>
    <t>WHEEL BRUSH DIA 150 STEEL WIRE WIDTH 15MM MAX RPM 6500</t>
  </si>
  <si>
    <t>TRM3555</t>
  </si>
  <si>
    <t>WIPER KACA</t>
  </si>
  <si>
    <t>TRM3770</t>
  </si>
  <si>
    <t>WIRE BRUSH KAWAT</t>
  </si>
  <si>
    <t>TRM3834</t>
  </si>
  <si>
    <t>WIRE BRUSH SELERY DIA 150MM TEBAL 15MM</t>
  </si>
  <si>
    <t>TRM3564</t>
  </si>
  <si>
    <t>WIRE BRUSH SWB-03</t>
  </si>
  <si>
    <t>TRM3865</t>
  </si>
  <si>
    <t>WIRE BRUSH UNION DIA 150MM TEBAL 15MM</t>
  </si>
  <si>
    <t>TRM3730</t>
  </si>
  <si>
    <t>WIRE BRUSH WP 60 LYR</t>
  </si>
  <si>
    <t>TRM4243</t>
  </si>
  <si>
    <t>WP AIR GRINDE 4"</t>
  </si>
  <si>
    <t>TRM4217</t>
  </si>
  <si>
    <t>AS DRAT SUS 304 (AS DRAT M12X1000 )</t>
  </si>
  <si>
    <t>TRMS</t>
  </si>
  <si>
    <t>TRM4230</t>
  </si>
  <si>
    <t>BAUT BUTTON SUS 304 ( BAUT BUTTON M5X10 )</t>
  </si>
  <si>
    <t>TRM4231</t>
  </si>
  <si>
    <t>BAUT BUTTON SUS 304 ( BAUT BUTTON M6X10 )</t>
  </si>
  <si>
    <t>TRM4232</t>
  </si>
  <si>
    <t>BAUT COUNTERSINK SUS 304 ( BAUT COUNTERSINK M5X12 )</t>
  </si>
  <si>
    <t>TRM4266</t>
  </si>
  <si>
    <t>BAUT JP + NUT + RING (M4 X 15 MM + NUT RING)</t>
  </si>
  <si>
    <t>TRM4219</t>
  </si>
  <si>
    <t>BAUT L SUS 304 ( BAUT L M4X12 )</t>
  </si>
  <si>
    <t>TRM4220</t>
  </si>
  <si>
    <t>BAUT L SUS 304 ( BAUT L M4X16 )</t>
  </si>
  <si>
    <t>TRM4218</t>
  </si>
  <si>
    <t>BAUT L SUS 304 ( BAUT L M4X8 )</t>
  </si>
  <si>
    <t>TRM4221</t>
  </si>
  <si>
    <t>BAUT L SUS 304 ( BAUT L M5X12 )</t>
  </si>
  <si>
    <t>TRM4222</t>
  </si>
  <si>
    <t>BAUT L SUS 304 ( BAUT L M5X25 )</t>
  </si>
  <si>
    <t>TRM4223</t>
  </si>
  <si>
    <t>BAUT L SUS 304 ( BAUT L M6X10 )</t>
  </si>
  <si>
    <t>TRM4226</t>
  </si>
  <si>
    <t>BAUT L SUS 304 ( BAUT L M6X25 )</t>
  </si>
  <si>
    <t>TRM4227</t>
  </si>
  <si>
    <t>BAUT L SUS 304 ( BAUT L M8X12 )</t>
  </si>
  <si>
    <t>TRM4228</t>
  </si>
  <si>
    <t>BAUT L SUS 304 ( BAUT L M8X16 )</t>
  </si>
  <si>
    <t>TRM4229</t>
  </si>
  <si>
    <t>BAUT L SUS 304 ( BAUT L M8X35 )</t>
  </si>
  <si>
    <t>TRM4224</t>
  </si>
  <si>
    <t>BAUT L SUS 304 (BAUT L M6X16 )</t>
  </si>
  <si>
    <t>TRM4225</t>
  </si>
  <si>
    <t>BAUT L SUS 304 (BAUT L M6X20 )</t>
  </si>
  <si>
    <t>TRM4261</t>
  </si>
  <si>
    <t>BUTTON HEAD SOCKET BOLT SUS 304 ( M5 X 8 )</t>
  </si>
  <si>
    <t>TRM4274</t>
  </si>
  <si>
    <t>CASTER SWIVEL ( 5 INCH WITH BARAKE )</t>
  </si>
  <si>
    <t>TRM4298</t>
  </si>
  <si>
    <t>CLAMP PIPA GANTUNG GALVANIS (DIA. 1 INCH)</t>
  </si>
  <si>
    <t>TRM4297</t>
  </si>
  <si>
    <t>CLAMP PIPA GANTUNG GALVANIS (DIA. 1,5 INCH)</t>
  </si>
  <si>
    <t>TRM4296</t>
  </si>
  <si>
    <t>CLAMP PIPA GANTUNG GALVANIS (DIA. 2 INCH)</t>
  </si>
  <si>
    <t>TRM4295</t>
  </si>
  <si>
    <t>CLAMP PIPA GANTUNG GALVANIS (DIA. 2,5 INCH)</t>
  </si>
  <si>
    <t>TRM4294</t>
  </si>
  <si>
    <t>CLAMP PIPA GANTUNG GALVANIS (DIA. 3 INCH)</t>
  </si>
  <si>
    <t>TRM4252</t>
  </si>
  <si>
    <t>COUNTERSUNK HEX SOCKET BOLT SUS 304 ( M6 A--20 )</t>
  </si>
  <si>
    <t>TRM4215</t>
  </si>
  <si>
    <t>COUNTERSUNK HEX SOCKET BOLT SUS 304 ( M8 A--20 )</t>
  </si>
  <si>
    <t>TRM4268</t>
  </si>
  <si>
    <t>DYNASET SUS 304 ( M8 A -- 30 )</t>
  </si>
  <si>
    <t>TRM4276</t>
  </si>
  <si>
    <t>HEX BOLT + RING PER + RING PLAT + NUT SUS 304 M10 ( M10 X 25 )</t>
  </si>
  <si>
    <t>TRM4275</t>
  </si>
  <si>
    <t>HEX BOLT + RING PER + RING PLAT + NUT SUS 304 M8 ( M8 X 20 )</t>
  </si>
  <si>
    <t>TRM4205</t>
  </si>
  <si>
    <t>HEX BOLT SUS 304 ( M10 A---30 )</t>
  </si>
  <si>
    <t>TRM4208</t>
  </si>
  <si>
    <t>HEX BOLT SUS 304 ( M12 A---25 )</t>
  </si>
  <si>
    <t>TRM4211</t>
  </si>
  <si>
    <t>HEX BOLT SUS 304 ( M20 A--70 )</t>
  </si>
  <si>
    <t>TRM4255</t>
  </si>
  <si>
    <t>HEX BOLT SUS 304 ( M8 A--10 )</t>
  </si>
  <si>
    <t>TRM4256</t>
  </si>
  <si>
    <t>HEX BOLT SUS 304 ( M8 A--12 )</t>
  </si>
  <si>
    <t>TRM4254</t>
  </si>
  <si>
    <t>HEX BOLT SUS 304 ( M8 A--25 )</t>
  </si>
  <si>
    <t>TRM4257</t>
  </si>
  <si>
    <t>HEX BOLT SUS 304 ( M8 A--30 )</t>
  </si>
  <si>
    <t>TRM4214</t>
  </si>
  <si>
    <t>HEX NUT SUS 304 ( M20 )</t>
  </si>
  <si>
    <t>TRM4202</t>
  </si>
  <si>
    <t>HEX SOCKET BOLT SUS 304 ( M6 A--10 )</t>
  </si>
  <si>
    <t>TRM4209</t>
  </si>
  <si>
    <t>HEX SOCKET BUTTON HEAD SUS 304 ( M4 A---10 )</t>
  </si>
  <si>
    <t>TRM4210</t>
  </si>
  <si>
    <t>HEX SOCKET BUTTON HEAD SUS 304 ( M5 A---12 )</t>
  </si>
  <si>
    <t>TRM4322</t>
  </si>
  <si>
    <t>HEX. NUT BAJA 8.8 M10</t>
  </si>
  <si>
    <t>TRM4321</t>
  </si>
  <si>
    <t>HEX. NUT BAJA 8.8 M16</t>
  </si>
  <si>
    <t>TRM4216</t>
  </si>
  <si>
    <t>HIT ANCHOR ( M8 A--- 70 )</t>
  </si>
  <si>
    <t>TRM4292</t>
  </si>
  <si>
    <t>LONG DRAT (M10 X 1000 )</t>
  </si>
  <si>
    <t>TRM4293</t>
  </si>
  <si>
    <t>NUT + RING PLLAT BAJA (M10)</t>
  </si>
  <si>
    <t>TRM4242</t>
  </si>
  <si>
    <t>NUT SUS 304 ( M12 )</t>
  </si>
  <si>
    <t>TRM4241</t>
  </si>
  <si>
    <t>NUT SUS 304 ( M6 )</t>
  </si>
  <si>
    <t>TRM4204</t>
  </si>
  <si>
    <t>RING PER SUS 304 ( M10 )</t>
  </si>
  <si>
    <t>TRM4207</t>
  </si>
  <si>
    <t>RING PER SUS 304 ( M12 )</t>
  </si>
  <si>
    <t>TRM4213</t>
  </si>
  <si>
    <t>RING PER SUS 304 ( M20 )</t>
  </si>
  <si>
    <t>TRM4237</t>
  </si>
  <si>
    <t>RING PER SUS 304 ( M4 )</t>
  </si>
  <si>
    <t>TRM4238</t>
  </si>
  <si>
    <t>RING PER SUS 304 ( M5 )</t>
  </si>
  <si>
    <t>TRM4239</t>
  </si>
  <si>
    <t>RING PER SUS 304 ( M6 )</t>
  </si>
  <si>
    <t>TRM4240</t>
  </si>
  <si>
    <t>RING PER SUS 304 ( M8 )</t>
  </si>
  <si>
    <t>TRM4323</t>
  </si>
  <si>
    <t>RING PLAT BAJA 8.8 M10</t>
  </si>
  <si>
    <t>TRM4203</t>
  </si>
  <si>
    <t>RING PLAT SUS 304 ( M10 )</t>
  </si>
  <si>
    <t>TRM4206</t>
  </si>
  <si>
    <t>RING PLAT SUS 304 ( M12 )</t>
  </si>
  <si>
    <t>TRM4212</t>
  </si>
  <si>
    <t>RING PLAT SUS 304 ( M20 )</t>
  </si>
  <si>
    <t>TRM4253</t>
  </si>
  <si>
    <t>RING PLAT SUS 304 ( M8 )</t>
  </si>
  <si>
    <t>TRM4233</t>
  </si>
  <si>
    <t>RING PLATE SUS 304 M4 (M4)</t>
  </si>
  <si>
    <t>TRM4234</t>
  </si>
  <si>
    <t>RING PLATE SUS 304 M5 ( M5 )</t>
  </si>
  <si>
    <t>TRM4235</t>
  </si>
  <si>
    <t>RING PLATE SUS 304 M6 ( M6 )</t>
  </si>
  <si>
    <t>TRM4236</t>
  </si>
  <si>
    <t>RING PLATE SUS 304 M8 ( M8)</t>
  </si>
  <si>
    <t>TRM4330</t>
  </si>
  <si>
    <t>RODA CUSTER ( RODA CUSTER 3 INCH SWIVEL + REM )</t>
  </si>
  <si>
    <t>TRM4319</t>
  </si>
  <si>
    <t>STUD BOLT ( M16 (5/8INCH X 105MM) + NUT + RING PLATE (A193) )</t>
  </si>
  <si>
    <t>TRM4320</t>
  </si>
  <si>
    <t>STUD BOLT ( M20 (3/4INCH X 105MM) + NUT + RING PLATE (A193) )</t>
  </si>
  <si>
    <t>TRM4302</t>
  </si>
  <si>
    <t>STUD BOLT ( STUD BOLT M10 X 70 MM (+2 HEX NUT + 2 WASHER )</t>
  </si>
  <si>
    <t>TRM4300</t>
  </si>
  <si>
    <t>STUD BOLT ( STUD BOLT M12 X 50 MM (+2 HEX NUT + 2 WASHER )</t>
  </si>
  <si>
    <t>TRM4299</t>
  </si>
  <si>
    <t>STUD BOLT ( STUD BOLT M12 X 70 MM (+2 HEX NUT + 2 WASHER )</t>
  </si>
  <si>
    <t>TRM4291</t>
  </si>
  <si>
    <t>STUD BOLT ( STUD BOLT M16 X 110 MM (+2 HEX NUT + 2 WASHER ) )</t>
  </si>
  <si>
    <t>TRM4303</t>
  </si>
  <si>
    <t>U BOLT ( U BOLT 1/2 X 4 INCH (+2 HEX NUT +2 WASHER ) )</t>
  </si>
  <si>
    <t>TRM4290</t>
  </si>
  <si>
    <t>U BOLT ( U BOLT 5/8 X 6 INCH (+2 HEX NUT + 2 WASHER ) )</t>
  </si>
  <si>
    <t>TRM4263</t>
  </si>
  <si>
    <t>WING BOLT SUS 304 ( M8 X 10 )</t>
  </si>
  <si>
    <t>TRM4262</t>
  </si>
  <si>
    <t>WING BOLT SUS 304 ( M8 X 25 )</t>
  </si>
  <si>
    <t>TRM3630</t>
  </si>
  <si>
    <t>ACYRILIC SIGNAGE BENING 5MM UK 40 X 10</t>
  </si>
  <si>
    <t>UNI</t>
  </si>
  <si>
    <t>TRM3913</t>
  </si>
  <si>
    <t>AKRILIK BENING UK. 10X30</t>
  </si>
  <si>
    <t>TRM4057</t>
  </si>
  <si>
    <t>AKRILIK BROSUR 1 SUSUN UK.A5</t>
  </si>
  <si>
    <t>TRM3912</t>
  </si>
  <si>
    <t>AKRILIK BROSUR 2 SUSUN UK. A5 TEBAL 3MM</t>
  </si>
  <si>
    <t>TRM3910</t>
  </si>
  <si>
    <t>AKRILIK BROSUR 4 SUSUN</t>
  </si>
  <si>
    <t>TRM3911</t>
  </si>
  <si>
    <t>AKRILIK FRAME UK. A3 TEBAL 3MM</t>
  </si>
  <si>
    <t>TRM4318</t>
  </si>
  <si>
    <t>AQUAPROF 061 ABU ABU</t>
  </si>
  <si>
    <t>TRM4245</t>
  </si>
  <si>
    <t>BENCLEAN 4951-POLYMER CATIONIC</t>
  </si>
  <si>
    <t>TRM4246</t>
  </si>
  <si>
    <t>BENCLEAN A1710 POLYMER ANIONIC</t>
  </si>
  <si>
    <t>TRM3360</t>
  </si>
  <si>
    <t>BOX SERBAGUNA UK L</t>
  </si>
  <si>
    <t>TRM3906</t>
  </si>
  <si>
    <t>CUTTING STICKER UK 90 X 20M</t>
  </si>
  <si>
    <t>TRM3359</t>
  </si>
  <si>
    <t>EMBER UK 80L</t>
  </si>
  <si>
    <t>TRM3914</t>
  </si>
  <si>
    <t>EMERGENCY EYE WASH</t>
  </si>
  <si>
    <t>TRM2105</t>
  </si>
  <si>
    <t>GANTUNGAN (YOYO) ID CARD LOGO UNIMEDICA PLUS CARD HOLDER</t>
  </si>
  <si>
    <t>TRM3544</t>
  </si>
  <si>
    <t>GOTO STORAGE TROLLEY RAKSA</t>
  </si>
  <si>
    <t>TRM3646</t>
  </si>
  <si>
    <t>HELMET FRONT BRIM BLUE</t>
  </si>
  <si>
    <t>TRM3645</t>
  </si>
  <si>
    <t>HELMET FRONT BRIM RED</t>
  </si>
  <si>
    <t>TRM3643</t>
  </si>
  <si>
    <t>HELMET FRONT BRIM WHITE</t>
  </si>
  <si>
    <t>TRM3644</t>
  </si>
  <si>
    <t>HELMET FRONT BRIM YELLOW</t>
  </si>
  <si>
    <t>TRM3233</t>
  </si>
  <si>
    <t>IMPRABOARD 60 X 100CM</t>
  </si>
  <si>
    <t>TRM2237</t>
  </si>
  <si>
    <t>IMPRABOARD T3 75X 50CM (10 PCS MERAH , 10 PCS BIRU)</t>
  </si>
  <si>
    <t>TRM3394</t>
  </si>
  <si>
    <t>INDACHI MEJA KANTOR 1/2 BIRO + LACI</t>
  </si>
  <si>
    <t>TRM3976</t>
  </si>
  <si>
    <t>JASA PASANG MEJA IDACHI</t>
  </si>
  <si>
    <t>TRM3978</t>
  </si>
  <si>
    <t>JASA RAKIT PASANG LEMARI</t>
  </si>
  <si>
    <t>TRM3977</t>
  </si>
  <si>
    <t>JASA REPAIR MEJA</t>
  </si>
  <si>
    <t>TRM3123</t>
  </si>
  <si>
    <t>KERANJANG IN DUSTRI 60.5 X 42.5 X 46.3 CM</t>
  </si>
  <si>
    <t>TRM2236</t>
  </si>
  <si>
    <t>KOTAK ORGANIZER HSB786 28,5X22X 14CM</t>
  </si>
  <si>
    <t>TRM3223</t>
  </si>
  <si>
    <t>LAMPU DOWNLIGHT 15W</t>
  </si>
  <si>
    <t>TRM3220</t>
  </si>
  <si>
    <t>LAMPU LED 30X120 29W</t>
  </si>
  <si>
    <t>TRM3764</t>
  </si>
  <si>
    <t>LAMPU LED 60X60 29W</t>
  </si>
  <si>
    <t>TRM3221</t>
  </si>
  <si>
    <t>LAMPU LED PANEL UK. 60X60 48W-PUTIH</t>
  </si>
  <si>
    <t>TRM3222</t>
  </si>
  <si>
    <t>LAMPU TL 36W T8LED</t>
  </si>
  <si>
    <t>TRM3631</t>
  </si>
  <si>
    <t>LAMPU TL 8W BATTERY COVER</t>
  </si>
  <si>
    <t>TRM3942</t>
  </si>
  <si>
    <t>LEMARI RAK E18 MS</t>
  </si>
  <si>
    <t>TRM4021</t>
  </si>
  <si>
    <t>LOGO RESIN UNIMEDIKA</t>
  </si>
  <si>
    <t>TRM4056</t>
  </si>
  <si>
    <t>MESIN LAS LAKONI BASIC 163IX</t>
  </si>
  <si>
    <t>TRM4137</t>
  </si>
  <si>
    <t>MESIN POMPA UDARA AERATOR LOW NOISE RESUN LP 60</t>
  </si>
  <si>
    <t>TRM3440</t>
  </si>
  <si>
    <t>PRINT CARTON UK 60 X 100CM</t>
  </si>
  <si>
    <t>TRM2126</t>
  </si>
  <si>
    <t>RAK BESI SIKU UK. 40X100X200 CM</t>
  </si>
  <si>
    <t>TRM3358</t>
  </si>
  <si>
    <t>RAK SEPATU STAINLESS 4 TINGKAT</t>
  </si>
  <si>
    <t>TRM2805</t>
  </si>
  <si>
    <t>RAK SEPATU STAINLESS 5 TINGKAT</t>
  </si>
  <si>
    <t>TRM2235</t>
  </si>
  <si>
    <t>RAK TROLI 3 SSN 44X38,2X92,3CM</t>
  </si>
  <si>
    <t>TRM3273</t>
  </si>
  <si>
    <t>RAKET ELEKTRIK</t>
  </si>
  <si>
    <t>TRM3673</t>
  </si>
  <si>
    <t>SEPATU SAFETY TR-16 HIGH TYPE (BLACK)_TRACK</t>
  </si>
  <si>
    <t>TRM2626</t>
  </si>
  <si>
    <t>SPRINGKLE FIRE</t>
  </si>
  <si>
    <t>TRM3294</t>
  </si>
  <si>
    <t>STICKER ENCERKAN A4 @170 PCS (1.3 X 2.5 CM)</t>
  </si>
  <si>
    <t>TRM3741</t>
  </si>
  <si>
    <t>STICKER HIGH ALERT A4 @150 PCS (2 X 1 CM)</t>
  </si>
  <si>
    <t>TRM4035</t>
  </si>
  <si>
    <t>STICKER HIGH ALERT A4 @260  PCS (1 X 1 CM)</t>
  </si>
  <si>
    <t>TRM2265</t>
  </si>
  <si>
    <t>STICKER LASA A4 @170 PCS (2,5 X 1,3CM)</t>
  </si>
  <si>
    <t>TRM2125</t>
  </si>
  <si>
    <t>TCCA 90% 50 KG GRANULE</t>
  </si>
  <si>
    <t>TRM3853</t>
  </si>
  <si>
    <t>TELEPHONE PANASONIC MODEL KX-TS505MX</t>
  </si>
  <si>
    <t>TRM3452</t>
  </si>
  <si>
    <t>TEMPAT SAMPAH  UK 15L</t>
  </si>
  <si>
    <t>TRM3357</t>
  </si>
  <si>
    <t>TEMPAT SAMPAH UK.19 L</t>
  </si>
  <si>
    <t>TRM2866</t>
  </si>
  <si>
    <t>TEMPAT SAMPAH UK.70 L</t>
  </si>
  <si>
    <t>TRM4186</t>
  </si>
  <si>
    <t>TOTO KRAN SINK TX 607 KESBR (AIR PANAS DINGIN)</t>
  </si>
  <si>
    <t>TRM3162</t>
  </si>
  <si>
    <t>TRIPOD BANNER 2 SISI</t>
  </si>
  <si>
    <t>TRM3915</t>
  </si>
  <si>
    <t>WHEELIE BIN 240L MERK KRISBOW</t>
  </si>
  <si>
    <t>TRM0922</t>
  </si>
  <si>
    <t>1 METER HOSE 1" PN10</t>
  </si>
  <si>
    <t>VLM</t>
  </si>
  <si>
    <t>TRM0921</t>
  </si>
  <si>
    <t>1 METER HOSE 1/2" PN10</t>
  </si>
  <si>
    <t>TRM0923</t>
  </si>
  <si>
    <t>1 METER HOSE 3/4" PN10</t>
  </si>
  <si>
    <t>TRM4115</t>
  </si>
  <si>
    <t>5 TON SHACKLE</t>
  </si>
  <si>
    <t>TRM0372</t>
  </si>
  <si>
    <t>ADAPTER FULL SS 1/4 NPT TO BSP</t>
  </si>
  <si>
    <t>TRM0584</t>
  </si>
  <si>
    <t>AIR FILTER REGULATOR 1/8"</t>
  </si>
  <si>
    <t>TRM1192</t>
  </si>
  <si>
    <t>ARCAIR CARBON GAUGING 8 MM</t>
  </si>
  <si>
    <t>TRM1665</t>
  </si>
  <si>
    <t>ARMSTRONG - DRIVE RATCHET REPAIR KIT P/N 13-990-3/4 INCH</t>
  </si>
  <si>
    <t>TRM1293</t>
  </si>
  <si>
    <t>ARUBA HPE ARUBA JY678A AP-303H-RW</t>
  </si>
  <si>
    <t>TRM1926</t>
  </si>
  <si>
    <t>AS DRAT BAJA M27 X 1 METER</t>
  </si>
  <si>
    <t>TRM1739</t>
  </si>
  <si>
    <t>BALL VALVE 1" INNER THREADED, SS</t>
  </si>
  <si>
    <t>TRM1740</t>
  </si>
  <si>
    <t>BALL VALVE 3/4" INNER THREADED, SS</t>
  </si>
  <si>
    <t>TRM0903</t>
  </si>
  <si>
    <t>BANTEX LAF FC 70MM BLACK 1465V10 15</t>
  </si>
  <si>
    <t>TRM1737</t>
  </si>
  <si>
    <t>BEARING  24034-BE-XL-K30 FAG X-LIFE</t>
  </si>
  <si>
    <t>TRM1484</t>
  </si>
  <si>
    <t>BEARING 22215 EIXL FAC</t>
  </si>
  <si>
    <t>TRM1526</t>
  </si>
  <si>
    <t>BEARING 6804ZZ</t>
  </si>
  <si>
    <t>TRM0804</t>
  </si>
  <si>
    <t>BESI BETON DIAMETER 6MM, PANJANG 12 METER</t>
  </si>
  <si>
    <t>PCE</t>
  </si>
  <si>
    <t>TRM1528</t>
  </si>
  <si>
    <t>BESI SIKU 50 X 50 mm @12 cm</t>
  </si>
  <si>
    <t>TRM2023</t>
  </si>
  <si>
    <t>BESI SIKU 50X50 ; 4MM</t>
  </si>
  <si>
    <t>TRM0786</t>
  </si>
  <si>
    <t>BOX RABBIT TYPE 6673 670X503X100</t>
  </si>
  <si>
    <t>TRM01230</t>
  </si>
  <si>
    <t>BRASS SHIM PLATE THICKNESS 0.5 MM, SIZE 300 MM x 1000 MM</t>
  </si>
  <si>
    <t>TRM3484</t>
  </si>
  <si>
    <t>BX - PO75G FIXED-CASTOR</t>
  </si>
  <si>
    <t>TRM1205</t>
  </si>
  <si>
    <t>CASTOR OIL, PACKAGING IN JERICAN 5 LITER</t>
  </si>
  <si>
    <t>TRM1314</t>
  </si>
  <si>
    <t>CHAIN BLOCK 3TON X 3MTR (DOUBLE CHAIN) KONDOTEC</t>
  </si>
  <si>
    <t>TRM0305</t>
  </si>
  <si>
    <t>CHAIN BLOCK KONDOTEC 1000 KG X 3 MTR</t>
  </si>
  <si>
    <t>TRM0306</t>
  </si>
  <si>
    <t>CHAIN BLOCK KONDOTEC 1500 KG X 3 MTR</t>
  </si>
  <si>
    <t>TRM0314</t>
  </si>
  <si>
    <t>CHAIN BLOCK KONDOTEC 2000 KG X 3 MTR</t>
  </si>
  <si>
    <t>TRM0304</t>
  </si>
  <si>
    <t>CHAIN BLOCK KONDOTEC 500 KG X 3 MTR</t>
  </si>
  <si>
    <t>TRM1614</t>
  </si>
  <si>
    <t>CHARGE ANGKUTAN</t>
  </si>
  <si>
    <t>TRM0564</t>
  </si>
  <si>
    <t>CL BOX1 / CONECTINGLINK</t>
  </si>
  <si>
    <t>TRM0961</t>
  </si>
  <si>
    <t>CLAMP SINGLE SUS 304 DIA 14"</t>
  </si>
  <si>
    <t>TRM0735</t>
  </si>
  <si>
    <t>CLAW COUPLING 1-1/4"</t>
  </si>
  <si>
    <t>TRM1744</t>
  </si>
  <si>
    <t>CLAW COUPLING WITH 1/2" INNER THREAD</t>
  </si>
  <si>
    <t>TRM1745</t>
  </si>
  <si>
    <t>CLAW COUPLING WITH 25 MM OR 1" HOSE ADAPTER</t>
  </si>
  <si>
    <t>TRM01033</t>
  </si>
  <si>
    <t>CLEAR HOLDER A4-DAIICHI-CLEAR SLEEVES 9001</t>
  </si>
  <si>
    <t>TRM01032</t>
  </si>
  <si>
    <t>CLEAR HOLDER F4-DAIICHI-CLEAR SLEEVES 9001</t>
  </si>
  <si>
    <t>TRM0676</t>
  </si>
  <si>
    <t>COLLECT ER 40, DIA 12</t>
  </si>
  <si>
    <t>TRM2691</t>
  </si>
  <si>
    <t>CONIC SPRING WASHER 16-FST-ZN 12 M(FE)</t>
  </si>
  <si>
    <t>TRM2693</t>
  </si>
  <si>
    <t>CONIC SPRING WASHER 24-FST-ZN 12 M(FE)</t>
  </si>
  <si>
    <t>TRM1209</t>
  </si>
  <si>
    <t>CONUEX MIRROR DIAMETER 80CM</t>
  </si>
  <si>
    <t>TRM0389</t>
  </si>
  <si>
    <t>COVER CABLE TRAY</t>
  </si>
  <si>
    <t>TRM1459</t>
  </si>
  <si>
    <t>CRC DEGREASER</t>
  </si>
  <si>
    <t>TRM0707</t>
  </si>
  <si>
    <t>CUTTING WHEEL 4 INCH, 1.2MM THICKNESS, WD BRAND</t>
  </si>
  <si>
    <t>TRM1927</t>
  </si>
  <si>
    <t>DIN 912 CYLINDRICAL HEAD SCREW M27X70MM CLASS 12.9 FULL THREAD</t>
  </si>
  <si>
    <t>TRM3649</t>
  </si>
  <si>
    <t>DN50 ELBOW 90 DEGREE GALVANIZED STEEL</t>
  </si>
  <si>
    <t>TRM0715</t>
  </si>
  <si>
    <t>DOUBLE NIPPLE 1/2 - 1/2</t>
  </si>
  <si>
    <t>TRM0732</t>
  </si>
  <si>
    <t>DOUBLE NIPPLE 1-1/2"</t>
  </si>
  <si>
    <t>TRM0733</t>
  </si>
  <si>
    <t>DOUBLE NIPPLE 1-1/4"</t>
  </si>
  <si>
    <t>TRM1043</t>
  </si>
  <si>
    <t>DOUBLE NIPPLE MALE 1" #3000 SUS 304</t>
  </si>
  <si>
    <t>TRM0520</t>
  </si>
  <si>
    <t>DRILL BOSCH GBH 2-24 DRE</t>
  </si>
  <si>
    <t>TRM0521</t>
  </si>
  <si>
    <t>DRILL BOSCH GBH 2-26 DRE</t>
  </si>
  <si>
    <t>TRM0816</t>
  </si>
  <si>
    <t>DUST FILTER 2MM THICKNESS 2X20 METER</t>
  </si>
  <si>
    <t>TRM0147</t>
  </si>
  <si>
    <t>EAR PLUG 3M</t>
  </si>
  <si>
    <t>TRM0573</t>
  </si>
  <si>
    <t>END CLAMP-CLIPFIX 35-3022218</t>
  </si>
  <si>
    <t>TRM0574</t>
  </si>
  <si>
    <t>END COVER D-UT 2.5/4-TWIN 3047141</t>
  </si>
  <si>
    <t>TRM1315</t>
  </si>
  <si>
    <t>EPSON ULTRA MOBILE PROJECTOR 1751</t>
  </si>
  <si>
    <t>TRM1078</t>
  </si>
  <si>
    <t>EYE BOLT M30</t>
  </si>
  <si>
    <t>TRM2672</t>
  </si>
  <si>
    <t>F/O P'24 DIA 70</t>
  </si>
  <si>
    <t>TRM1746</t>
  </si>
  <si>
    <t>FASTENERS FOR ID 25 MM 0R 1"</t>
  </si>
  <si>
    <t>TRM0706</t>
  </si>
  <si>
    <t>FEE CHARGE</t>
  </si>
  <si>
    <t>TRM1718</t>
  </si>
  <si>
    <t>FISCHER ANCHOR STUD BOLT RGM M24X300</t>
  </si>
  <si>
    <t>TRM0610</t>
  </si>
  <si>
    <t>FITTING ADAPTER MALE 1/2 NPT X FEMALE 3/4 NPT STAINLESS STEEL 316</t>
  </si>
  <si>
    <t>TRM0701</t>
  </si>
  <si>
    <t>FITTING CONNECTOR TEE 8</t>
  </si>
  <si>
    <t>TRM1706</t>
  </si>
  <si>
    <t>FITTING MALE 1/2" X 8MM</t>
  </si>
  <si>
    <t>TRM2162</t>
  </si>
  <si>
    <t>FIXED WHEEL BX PO 75G BICKLE</t>
  </si>
  <si>
    <t>TRM0825</t>
  </si>
  <si>
    <t>FLAT WASHER/RINNG PLATE 1/4</t>
  </si>
  <si>
    <t>TRM1742</t>
  </si>
  <si>
    <t>FLAW COUPLING 1" OUTER THREAD</t>
  </si>
  <si>
    <t>TRM1743</t>
  </si>
  <si>
    <t>FLAW COUPLING 3/4" OUTER THREAD</t>
  </si>
  <si>
    <t>TRM1291</t>
  </si>
  <si>
    <t>FREON R407</t>
  </si>
  <si>
    <t>TRM0675</t>
  </si>
  <si>
    <t>GESAC SOLID CARBIDE DRILL DIA 10,5  SHANK DIA 12</t>
  </si>
  <si>
    <t>TRM0674</t>
  </si>
  <si>
    <t>GESAC SOLID CARBIDE DRILL DIA 5,5</t>
  </si>
  <si>
    <t>TRM1612</t>
  </si>
  <si>
    <t>HAND RAIL (SEWA 1 BULAN)</t>
  </si>
  <si>
    <t>TRM0883</t>
  </si>
  <si>
    <t>HANDLE TAP WRENCH FOR M6</t>
  </si>
  <si>
    <t>TRM1530</t>
  </si>
  <si>
    <t>HELICOIL / RECOIL M16X1D</t>
  </si>
  <si>
    <t>TRM2065</t>
  </si>
  <si>
    <t>HEX. SOKCET HEAD CAP SCREW M5X30</t>
  </si>
  <si>
    <t>TRM2066</t>
  </si>
  <si>
    <t>HEX. SOKCET HEAD CAP SCREW M8X16</t>
  </si>
  <si>
    <t>TRM2067</t>
  </si>
  <si>
    <t>HEX. SOKCET HEAD CAP SCREW M8X20</t>
  </si>
  <si>
    <t>TRM2692</t>
  </si>
  <si>
    <t>HEXAGON SCREW M24X70 - 8.8 -4AE-GB/T</t>
  </si>
  <si>
    <t>TRM1666</t>
  </si>
  <si>
    <t>HOLEX - RATCHET HANDLE WITH EJECTOR 1/2 INCH</t>
  </si>
  <si>
    <t>TRM1256</t>
  </si>
  <si>
    <t>HOSE CLAMP SS304 PR SS316 149-161MM</t>
  </si>
  <si>
    <t>TRM1063</t>
  </si>
  <si>
    <t>HOSE PIPE AND CABLE RE-ARRANGEMENT FOR COOLING BATH</t>
  </si>
  <si>
    <t>TRM1464</t>
  </si>
  <si>
    <t>HYDRAULIC FITTINGS FOR PUMP UNIT</t>
  </si>
  <si>
    <t>TRM0714</t>
  </si>
  <si>
    <t>HYDRAULIC HOSE, MERK AUROFLEX</t>
  </si>
  <si>
    <t>TRM1436</t>
  </si>
  <si>
    <t>IMPACT SOCKET FHIWF12 + 2 BATTERY + CHARGER</t>
  </si>
  <si>
    <t>TRM1613</t>
  </si>
  <si>
    <t>JACK BASE (SEWA 1 BULAN)</t>
  </si>
  <si>
    <t>TRM1615</t>
  </si>
  <si>
    <t>JASA PASANG</t>
  </si>
  <si>
    <t>TRM1735</t>
  </si>
  <si>
    <t>JOTAMASTIC 90 PRIMER (GRAY RAL-7004) 1 PAIL (20 LITER)</t>
  </si>
  <si>
    <t>TRM0744</t>
  </si>
  <si>
    <t>JOTUN PENGUARD TOPCOAT RAL 9001 5 LITER</t>
  </si>
  <si>
    <t>TRM0927</t>
  </si>
  <si>
    <t>JUNCTION BOX 100X100X50</t>
  </si>
  <si>
    <t>TRM1539</t>
  </si>
  <si>
    <t>JUNCTION BOX 80X80X40 WATERPROOF HIGH QUALITY</t>
  </si>
  <si>
    <t>TRM0682</t>
  </si>
  <si>
    <t>K. ANGKA 8 KITANI</t>
  </si>
  <si>
    <t>TRM1173</t>
  </si>
  <si>
    <t>KABEL BC 70 MM FULL</t>
  </si>
  <si>
    <t>TRM1083</t>
  </si>
  <si>
    <t>KABEL BC FULL 34 MTR, KLEM BC L 30 PC, KLEM KUKU MCM 11 PC</t>
  </si>
  <si>
    <t>TRM1527</t>
  </si>
  <si>
    <t>KACA LAS HITAM (50mm x 110mm x 3mm)</t>
  </si>
  <si>
    <t>TRM0651</t>
  </si>
  <si>
    <t>KIND COLD GALVANIZED 1 KG</t>
  </si>
  <si>
    <t>TRM1235</t>
  </si>
  <si>
    <t>KINIK SHARPENING STONE 38A M 200X50X25 GRIT 220</t>
  </si>
  <si>
    <t>TRM1234</t>
  </si>
  <si>
    <t>KINIK SHARPENING STONE GC M 200X50X25 GC 120</t>
  </si>
  <si>
    <t>TRM1233</t>
  </si>
  <si>
    <t>KINIK SHARPENING STONE GC M 200X50X25 GC 80</t>
  </si>
  <si>
    <t>TRM1174</t>
  </si>
  <si>
    <t>KLEM KUKU MACAN</t>
  </si>
  <si>
    <t>TRM0652</t>
  </si>
  <si>
    <t>KUAS CAT 2"</t>
  </si>
  <si>
    <t>TRM0415</t>
  </si>
  <si>
    <t>LABAOUR FOUR REPLACING MOUDLE &amp; REMOTE CONTROL</t>
  </si>
  <si>
    <t>TRM1828</t>
  </si>
  <si>
    <t>LEM BESI ALTECO 2 TON QUICK EPOXY STEELL 56.7</t>
  </si>
  <si>
    <t>TRM0315</t>
  </si>
  <si>
    <t>LEVER BLOCK KONDOTEC 1000 KG X 1.5 MTR</t>
  </si>
  <si>
    <t>TRM0316</t>
  </si>
  <si>
    <t>LEVER BLOCK KONDOTEC 1500 KG X 1.5 MTR</t>
  </si>
  <si>
    <t>TRM0317</t>
  </si>
  <si>
    <t>LEVER BLOCK KONDOTEC 2000 KG X 1.5 MTR</t>
  </si>
  <si>
    <t>TRM1442</t>
  </si>
  <si>
    <t>LOCTITE - 577 FLANGE 50ML</t>
  </si>
  <si>
    <t>TRM1406</t>
  </si>
  <si>
    <t>LONG HANDY TALKIE ANTENNA TYPE RH 77B</t>
  </si>
  <si>
    <t>TRM4109</t>
  </si>
  <si>
    <t>M10X20MM CAP HEAD BOLT</t>
  </si>
  <si>
    <t>TRM4110</t>
  </si>
  <si>
    <t>M10X25MM HEX HEAD BOLT</t>
  </si>
  <si>
    <t>TRM4111</t>
  </si>
  <si>
    <t>M10X35MM HEX HEAD BOLT</t>
  </si>
  <si>
    <t>TRM4114</t>
  </si>
  <si>
    <t>M12 NUTS</t>
  </si>
  <si>
    <t>TRM4113</t>
  </si>
  <si>
    <t>M12X40MM CAP HEAD BOLT</t>
  </si>
  <si>
    <t>TRM4112</t>
  </si>
  <si>
    <t>M12X50MM CAP HEAD BOLT</t>
  </si>
  <si>
    <t>TRM4103</t>
  </si>
  <si>
    <t>M6 NUT</t>
  </si>
  <si>
    <t>TRM4102</t>
  </si>
  <si>
    <t>M6 WASHER</t>
  </si>
  <si>
    <t>TRM4101</t>
  </si>
  <si>
    <t>M6 WINGNUT</t>
  </si>
  <si>
    <t>TRM4100</t>
  </si>
  <si>
    <t>M6X15MM CAP HEAD BOLT</t>
  </si>
  <si>
    <t>TRM4104</t>
  </si>
  <si>
    <t>M6X70MM CAP HEAD BOLT</t>
  </si>
  <si>
    <t>TRM4108</t>
  </si>
  <si>
    <t>M8 WINGNUT</t>
  </si>
  <si>
    <t>TRM4105</t>
  </si>
  <si>
    <t>M8X20MM CAP HEAD BOLT</t>
  </si>
  <si>
    <t>TRM4106</t>
  </si>
  <si>
    <t>M8X25MM CAP HEAD BOLT</t>
  </si>
  <si>
    <t>TRM4107</t>
  </si>
  <si>
    <t>M8X40MM CAP HEAD BOLT</t>
  </si>
  <si>
    <t>TRM1186</t>
  </si>
  <si>
    <t>MAGNET 3CM X 1CM X 5MM</t>
  </si>
  <si>
    <t>TRM1537</t>
  </si>
  <si>
    <t>MAGNET NEO GANTUNGAN MODEL ROUND HOOK - RING 195KG</t>
  </si>
  <si>
    <t>TRM1144</t>
  </si>
  <si>
    <t>MAIN CABLE WITH MALE AND FEMALE POWER PLUG 5 PIN 32A</t>
  </si>
  <si>
    <t>TRM3439</t>
  </si>
  <si>
    <t>MALE CONNECTOR SS316 OD 12MM X 1/4" NPT/STAINLESS STEEL 316</t>
  </si>
  <si>
    <t>TRM1147</t>
  </si>
  <si>
    <t>MALE SOCKET 3 PIN 16A</t>
  </si>
  <si>
    <t>TRM1781</t>
  </si>
  <si>
    <t>MCHANICAL SEAL G25-(G60-ST2) VITON 304</t>
  </si>
  <si>
    <t>TRM1407</t>
  </si>
  <si>
    <t>MEASAURING TAPE - KRISBOW - FIBERGLASS - 20 METER</t>
  </si>
  <si>
    <t>TRM01034</t>
  </si>
  <si>
    <t>MEASURING TAPE-KRISBOW-FIBERGLASS-20 METER</t>
  </si>
  <si>
    <t>TRM0713</t>
  </si>
  <si>
    <t>MEC 720 WIRE DIA3.17MM</t>
  </si>
  <si>
    <t>TRM0882</t>
  </si>
  <si>
    <t>METABO CORDLESS DRILL</t>
  </si>
  <si>
    <t>TRM0905</t>
  </si>
  <si>
    <t>METAL SCOOP 12 OZ ALUMUNIUM</t>
  </si>
  <si>
    <t>TRM0906</t>
  </si>
  <si>
    <t>METAL SCOOP 32 OZ ALUMUNIUM</t>
  </si>
  <si>
    <t>TRM1536</t>
  </si>
  <si>
    <t>METERAN TAJIMA 10M</t>
  </si>
  <si>
    <t>TRM0948</t>
  </si>
  <si>
    <t>MICROWAVE OVEN SMALL SHARP R21 S0(S)IN</t>
  </si>
  <si>
    <t>TRM1617</t>
  </si>
  <si>
    <t>MOTOR 0,4KW/380V,REPARASI,GANTI BEARING</t>
  </si>
  <si>
    <t>TRM1618</t>
  </si>
  <si>
    <t>MOTOR 11KW/15HP,REWINDING GANTI TERMINAL KAWAT</t>
  </si>
  <si>
    <t>TRM0538</t>
  </si>
  <si>
    <t>MOTOR SERVO MDD 112D-H-030-HZM RPM 3000 REWINDING GANTI MEKANIK SEAL</t>
  </si>
  <si>
    <t>JOB</t>
  </si>
  <si>
    <t>TRM1445</t>
  </si>
  <si>
    <t>NEEDED HYDROLICH FITTINGS FOR RUD UNIT</t>
  </si>
  <si>
    <t>TRM0702</t>
  </si>
  <si>
    <t>NIPPLE HOSE ELBOW 8 1/4"</t>
  </si>
  <si>
    <t>TRM0700</t>
  </si>
  <si>
    <t>NIPPLE HOSE STRAIGHT 8 X 1/4"</t>
  </si>
  <si>
    <t>TRM1267</t>
  </si>
  <si>
    <t>NON DRYING PRUSSIAN BLUE ITEM #80038 (35V)</t>
  </si>
  <si>
    <t>TRM1676</t>
  </si>
  <si>
    <t>NYLON PE SHEET 8MM X 6,3CM X 49,8CM</t>
  </si>
  <si>
    <t>TRM1009</t>
  </si>
  <si>
    <t>OHB95J12 HANDLE (1SCA022381R0830)</t>
  </si>
  <si>
    <t>TRM3532</t>
  </si>
  <si>
    <t>O-RING 109,5X3 FKM</t>
  </si>
  <si>
    <t>TRM1785</t>
  </si>
  <si>
    <t>O-RING 15X3.5 A BAHAN FKMM VITON</t>
  </si>
  <si>
    <t>TRM3530</t>
  </si>
  <si>
    <t>O-RING 17,3X2,4 FKM</t>
  </si>
  <si>
    <t>TRM1786</t>
  </si>
  <si>
    <t>O-RING 28X3.5 BAHAN FKM VITON</t>
  </si>
  <si>
    <t>TRM3529</t>
  </si>
  <si>
    <t>O-RING 44,2X3 FKM701 SS162670</t>
  </si>
  <si>
    <t>TRM3531</t>
  </si>
  <si>
    <t>O-RING BAND 3MM FKM</t>
  </si>
  <si>
    <t>TRM3528</t>
  </si>
  <si>
    <t>O-RING STRIP 3,00-E2-FKM 70IRHD</t>
  </si>
  <si>
    <t>TRM1066</t>
  </si>
  <si>
    <t>PALLET MESH DAWSON 05 + WHEEL HOD 72-100/4” PU SWIVEL BRAKE AND FIXED</t>
  </si>
  <si>
    <t>TRM1830</t>
  </si>
  <si>
    <t>PERMATEX 26B</t>
  </si>
  <si>
    <t>TRM1667</t>
  </si>
  <si>
    <t>PI TAPE 50MM - 300MM</t>
  </si>
  <si>
    <t>TRM1611</t>
  </si>
  <si>
    <t>PIPA GALVANIS + CLAMP (SEWA 1 BULAN)</t>
  </si>
  <si>
    <t>TRM0920</t>
  </si>
  <si>
    <t>PIPE CLAMP 3/8"</t>
  </si>
  <si>
    <t>TRM1741</t>
  </si>
  <si>
    <t>PIPE WRENCH 10 INCH</t>
  </si>
  <si>
    <t>TRM0698</t>
  </si>
  <si>
    <t>PL KNEE 8 X 1/4"</t>
  </si>
  <si>
    <t>TRM0699</t>
  </si>
  <si>
    <t>PL STRAIGHT 8 X 1/4"</t>
  </si>
  <si>
    <t>TRM0928</t>
  </si>
  <si>
    <t>PLASTIC CABLE GLAND M20</t>
  </si>
  <si>
    <t>TRM1538</t>
  </si>
  <si>
    <t>PLAT BAJA SK5 0,25MM LEBAR 200MM PANJANG 1 METER</t>
  </si>
  <si>
    <t>TRM0318</t>
  </si>
  <si>
    <t>PLAW 0.6 M10 PEWAG</t>
  </si>
  <si>
    <t>TRM0319</t>
  </si>
  <si>
    <t>PLAW 1.0 M12 PEWAG</t>
  </si>
  <si>
    <t>TRM0320</t>
  </si>
  <si>
    <t>PLAW 1.5 M16 PEWAG</t>
  </si>
  <si>
    <t>TRM0321</t>
  </si>
  <si>
    <t>PLAW 2.5 M20 PEWAG</t>
  </si>
  <si>
    <t>TRM0322</t>
  </si>
  <si>
    <t>PLAW 4.0 M24 PEWAG</t>
  </si>
  <si>
    <t>TRM1150</t>
  </si>
  <si>
    <t>POWER CABLE (15M) WITH MALE POWER PLUG 16A 4 PIN</t>
  </si>
  <si>
    <t>TRM1148</t>
  </si>
  <si>
    <t>POWER CABLE (15M) WITH MALE POWER PLUG 32A 4 PIN</t>
  </si>
  <si>
    <t>TRM1145</t>
  </si>
  <si>
    <t>POWER CABLE WITH MALE AND FEMALE POWER PLUG 3 PIN 16A</t>
  </si>
  <si>
    <t>TRM1146</t>
  </si>
  <si>
    <t>POWER CABLE WITH MALE AND FEMALE POWER PLUG 5 PIN 32A</t>
  </si>
  <si>
    <t>TRM1260</t>
  </si>
  <si>
    <t>PRESSURE GAUGE WIKA 35PSI WITH 2.5 BAR (DUAL SCALE) 2.5"</t>
  </si>
  <si>
    <t>TRM0447</t>
  </si>
  <si>
    <t>PU HOSE OD 10MM</t>
  </si>
  <si>
    <t>TRM0446</t>
  </si>
  <si>
    <t>PU HOSE OD 12MM</t>
  </si>
  <si>
    <t>TRM0449</t>
  </si>
  <si>
    <t>PU HOSE OD 6MM</t>
  </si>
  <si>
    <t>TRM0448</t>
  </si>
  <si>
    <t>PU HOSE OD 8MM</t>
  </si>
  <si>
    <t>TRM1793</t>
  </si>
  <si>
    <t>RAL YELOLOW GEEN (RAL 6018)</t>
  </si>
  <si>
    <t>TRM1670</t>
  </si>
  <si>
    <t>RELAY G2R-1-S DC24(S) BY OMB</t>
  </si>
  <si>
    <t>TRM1307</t>
  </si>
  <si>
    <t>REPARASI MESIN CHILER</t>
  </si>
  <si>
    <t>TRM1268</t>
  </si>
  <si>
    <t>REPLACEMENT FILTER AIR PURIFIER COWAY AP-3008FH / HEPA + CARBON</t>
  </si>
  <si>
    <t>TRM1206</t>
  </si>
  <si>
    <t>REWINDING MOTOR SINGLE PHASE YY7122 0.5 KW</t>
  </si>
  <si>
    <t>TRM1207</t>
  </si>
  <si>
    <t>REWINDING MOTOR VALVE 220V HONEYWELL</t>
  </si>
  <si>
    <t>TRM0567</t>
  </si>
  <si>
    <t>REWINDING SOMPY MOTOR 400 V / 1.9 A</t>
  </si>
  <si>
    <t>TRM1564</t>
  </si>
  <si>
    <t>REWINDING THE COIL OF GRINDING COOLANT SUCTION PUMP MOTOR ON GROUND TANK</t>
  </si>
  <si>
    <t>TRM2670</t>
  </si>
  <si>
    <t>RING CEMBUNG 16</t>
  </si>
  <si>
    <t>TRM2671</t>
  </si>
  <si>
    <t>RING CEMBUNG 24</t>
  </si>
  <si>
    <t>TRM2068</t>
  </si>
  <si>
    <t>RING PLAT SG 316 M5</t>
  </si>
  <si>
    <t>TRM2069</t>
  </si>
  <si>
    <t>RING PLAT SG 316 M8</t>
  </si>
  <si>
    <t>TRM0824</t>
  </si>
  <si>
    <t>ROOFING 12 X 25</t>
  </si>
  <si>
    <t>TRM0839</t>
  </si>
  <si>
    <t>ROTARY JOINT</t>
  </si>
  <si>
    <t>TRM4099</t>
  </si>
  <si>
    <t>ROUND SLING 5 TONE 3 METRE</t>
  </si>
  <si>
    <t>TRM0677</t>
  </si>
  <si>
    <t>RUBBER COUPLING FOR HYDRANT TOZAN TWINFLEX 40 (1 1/2)</t>
  </si>
  <si>
    <t>TRM1149</t>
  </si>
  <si>
    <t>RUBBER HOSE (INCLUDE 3/8" FEMALE HOSE CONNECTOR)</t>
  </si>
  <si>
    <t>TRM0919</t>
  </si>
  <si>
    <t>RUBBER HOSE 3/8" PN10 BLACK</t>
  </si>
  <si>
    <t>TRM2756</t>
  </si>
  <si>
    <t>SAFETY PULL CORD/PULL ROPE SWITCH TYPE : SN4170 SL-C-R</t>
  </si>
  <si>
    <t>TRM1156</t>
  </si>
  <si>
    <t>SAND BLASTER GUN TEKIRO</t>
  </si>
  <si>
    <t>TRM1439</t>
  </si>
  <si>
    <t>SATA - KUNCI L 22MM</t>
  </si>
  <si>
    <t>TRM1440</t>
  </si>
  <si>
    <t>SATA - KUNCI SOCK 22MM</t>
  </si>
  <si>
    <t>TRM1814</t>
  </si>
  <si>
    <t>SCOTCH BRITE 3M BRAND</t>
  </si>
  <si>
    <t>TRM1749</t>
  </si>
  <si>
    <t>SEAL COUPLING CHICAGO 1"</t>
  </si>
  <si>
    <t>TRM1750</t>
  </si>
  <si>
    <t>SEAL COUPLING CHICAGO 3/4"</t>
  </si>
  <si>
    <t>TRM0561</t>
  </si>
  <si>
    <t>SERVICE ON SITE (PEKANBARU)</t>
  </si>
  <si>
    <t>TRM1236</t>
  </si>
  <si>
    <t>SET KOMBINASI DAIMOND AS 3MM</t>
  </si>
  <si>
    <t>TRM1610</t>
  </si>
  <si>
    <t>SEWA TANGGA GALVANIS (SEWA 1 BULAN)</t>
  </si>
  <si>
    <t>TRM0949</t>
  </si>
  <si>
    <t>SHARP LEMARI ES 1 PINTU SJ-X185MG-GB-BIRU</t>
  </si>
  <si>
    <t>TRM1154</t>
  </si>
  <si>
    <t>SHIM PLATE 0.2X100X200 MM BRONZE</t>
  </si>
  <si>
    <t>TRM1155</t>
  </si>
  <si>
    <t>SHIM PLATE 0.2X100X200 MM CARBON STEEL</t>
  </si>
  <si>
    <t>TRM0734</t>
  </si>
  <si>
    <t>SHOCK 1-1/2 X 1-1/4"</t>
  </si>
  <si>
    <t>TRM0438</t>
  </si>
  <si>
    <t>SINGLE SOLENOID VALVE 24VDC</t>
  </si>
  <si>
    <t>TRM1079</t>
  </si>
  <si>
    <t>SIRINE-WERMA-439 SERIES RED SOUNDER BEACON, IP65, WALL MOUNT, 98DB AT 1 METRE</t>
  </si>
  <si>
    <t>TRM0653</t>
  </si>
  <si>
    <t>SNAP RING TYPE S22</t>
  </si>
  <si>
    <t>TRM1044</t>
  </si>
  <si>
    <t>SOCK DRAT DALAM FEMALE 1" #3000 SUS 304</t>
  </si>
  <si>
    <t>TRM1775</t>
  </si>
  <si>
    <t>SOCKET 12POINT SQ 1/2 INCH 16MM S.16</t>
  </si>
  <si>
    <t>TRM1671</t>
  </si>
  <si>
    <t>SOCKET P2RFZ-05-E BY OMZ</t>
  </si>
  <si>
    <t>TRM1659</t>
  </si>
  <si>
    <t>SOFTSEAL SELF-ADHESIVE MATERIAL PTFE - 15MMX5MMX5MTR</t>
  </si>
  <si>
    <t>TRM0987</t>
  </si>
  <si>
    <t>SOFTSTARTER PSE 142-600-70</t>
  </si>
  <si>
    <t>TRM0635</t>
  </si>
  <si>
    <t>SPLIT PIN SUS304</t>
  </si>
  <si>
    <t>TRM0845</t>
  </si>
  <si>
    <t>STAINLESS STEEL SCOOP BRAND : SUGIKO</t>
  </si>
  <si>
    <t>TRM01031</t>
  </si>
  <si>
    <t>STAMP DUTY 20 LEMBAR @50 PCS/LBR</t>
  </si>
  <si>
    <t>TRM1887</t>
  </si>
  <si>
    <t>STUD BOLT M20 X 1MTR + 28 NUT</t>
  </si>
  <si>
    <t>TRM1296</t>
  </si>
  <si>
    <t>SWITCH TP-LINK TL-SG2210PV1 8 PORT</t>
  </si>
  <si>
    <t>TRM3498</t>
  </si>
  <si>
    <t>TAPER-LOCK BUSHING FOR 95MM SHAFT DIAMETER</t>
  </si>
  <si>
    <t>TRM1460</t>
  </si>
  <si>
    <t>TB70365 - UVEX ASSEMBLY GLOVES, ATHLETIC ALL-ROUND</t>
  </si>
  <si>
    <t>TRM0572</t>
  </si>
  <si>
    <t>TERMINAL BLOCK UT4 3044102</t>
  </si>
  <si>
    <t>TRM1736</t>
  </si>
  <si>
    <t>THINNER NO 10 (5 LT)</t>
  </si>
  <si>
    <t>TRM2306</t>
  </si>
  <si>
    <t>TISSUE KESAT / HAND TOILET MERK LIVI</t>
  </si>
  <si>
    <t>TRM2307</t>
  </si>
  <si>
    <t>TISSUE ROLL / TISSUE TOILET MERK PASEO</t>
  </si>
  <si>
    <t>TRM2308</t>
  </si>
  <si>
    <t>TISU NICE FACIAL TISSUE 1000 GRAM</t>
  </si>
  <si>
    <t>TRM1208</t>
  </si>
  <si>
    <t>TRAFFIC SIGNS DIAMETER 60CM 2 SIGNS - 1 SISI</t>
  </si>
  <si>
    <t>TRM1240</t>
  </si>
  <si>
    <t>TRUSCO WELDING BLANKET ALPHA SPS-4A</t>
  </si>
  <si>
    <t>TRM0703</t>
  </si>
  <si>
    <t>TUBING PU 4MM</t>
  </si>
  <si>
    <t>TRM0704</t>
  </si>
  <si>
    <t>TUBING PU 6MM</t>
  </si>
  <si>
    <t>TRM0705</t>
  </si>
  <si>
    <t>TUBING PU 8MM</t>
  </si>
  <si>
    <t>TRM1441</t>
  </si>
  <si>
    <t>UNION - CONNECTOR 12MM SUS</t>
  </si>
  <si>
    <t>TRM0259</t>
  </si>
  <si>
    <t>VACUM GAUGE 0 BAR - 1.0 BAR BRAND WIKA S EN837-I WITH FLANGE</t>
  </si>
  <si>
    <t>TRM1261</t>
  </si>
  <si>
    <t>VACUUM GAUGE WIKA 760-0 MMHG 4"</t>
  </si>
  <si>
    <t>TRM0719</t>
  </si>
  <si>
    <t>VACUUM HOSE, DIA 2 INCH, LENGTH 10 METER, 10 METER IN 1 PIECE</t>
  </si>
  <si>
    <t>TRM0718</t>
  </si>
  <si>
    <t>VACUUM HOSE, DIA 4 INCH, LENGTH 30 METER, 30 IN 1 PIECE</t>
  </si>
  <si>
    <t>TRM1724</t>
  </si>
  <si>
    <t>V-BELT FOR AHU IN CO[ ROO  TYPE SPA 800LW BRAND : OPTIBELT</t>
  </si>
  <si>
    <t>TRM1637</t>
  </si>
  <si>
    <t>V-BELT TYPE  L050 3/8"</t>
  </si>
  <si>
    <t>TRM3533</t>
  </si>
  <si>
    <t>V-RING VA-130 FKM</t>
  </si>
  <si>
    <t>TRM1701</t>
  </si>
  <si>
    <t>V-RING/LIP SEAL VA-350 BRAND TS NBR60 (HITAM)</t>
  </si>
  <si>
    <t>TRM1702</t>
  </si>
  <si>
    <t>V-RING/LIP SEAL VA-500 BRAND TS NBR60 (HITAM)</t>
  </si>
  <si>
    <t>TRM1443</t>
  </si>
  <si>
    <t>WASHER NORD-LOCK NL10SS STAINLESS-STEEL FOR M18</t>
  </si>
  <si>
    <t>TRM1815</t>
  </si>
  <si>
    <t>WD 40, SIZE : 333ML</t>
  </si>
  <si>
    <t>TRM0963</t>
  </si>
  <si>
    <t>WEDGE ANCHOR M20X220MM</t>
  </si>
  <si>
    <t>TRM1305</t>
  </si>
  <si>
    <t>WIEBROCK GLY-PRESSURE GAUGE 2.5" BACK MOUN 0-10 KG/CM2 / 150PSI 1/4 NPT</t>
  </si>
  <si>
    <t>TRM1438</t>
  </si>
  <si>
    <t>YAMAWA - HAND TAP M10 X 1.5</t>
  </si>
  <si>
    <t>TRM1437</t>
  </si>
  <si>
    <t>YAMAWA - TAP M8 X 1.25</t>
  </si>
  <si>
    <t>TRM0998</t>
  </si>
  <si>
    <t>3M SCOTCH BRITE 7447</t>
  </si>
  <si>
    <t>VTC</t>
  </si>
  <si>
    <t>TRM0999</t>
  </si>
  <si>
    <t>ABB SOFTSTARTER TYPE PSE142-600-70</t>
  </si>
  <si>
    <t>TRM0984</t>
  </si>
  <si>
    <t>ACS-HI LED 15 KG</t>
  </si>
  <si>
    <t>TRM0435</t>
  </si>
  <si>
    <t>AIR CONDITIONING MAINTENANCE</t>
  </si>
  <si>
    <t>TRM0793</t>
  </si>
  <si>
    <t>AIR FILTER REGULATOR COMBINATION SERIES BFC 3000-03 LUMIC</t>
  </si>
  <si>
    <t>TRM0639</t>
  </si>
  <si>
    <t>ANGLE DRILL/CLOSE QUARTER DRILL DA3010FJ 450W MAKITA</t>
  </si>
  <si>
    <t>TRM0403</t>
  </si>
  <si>
    <t>AQUAPROOF 061 ABU-ABU 20KG</t>
  </si>
  <si>
    <t>TRM1257</t>
  </si>
  <si>
    <t>ARCAIR GOUGING ELECTRODES, POINTED COPPERCLAD DC 5/16X12</t>
  </si>
  <si>
    <t>TRM0654</t>
  </si>
  <si>
    <t>BALL VALVE 1 INCHI TYPE 600 STAINLESS STEEL KITZ</t>
  </si>
  <si>
    <t>TRM0528</t>
  </si>
  <si>
    <t>BATA TAHAN API</t>
  </si>
  <si>
    <t>TRM0585</t>
  </si>
  <si>
    <t>BAUT L 12.9 M24X180 HALF THREAD HITAM</t>
  </si>
  <si>
    <t>TRM1340</t>
  </si>
  <si>
    <t>BEARING 6304 ZZ</t>
  </si>
  <si>
    <t>TRM0365</t>
  </si>
  <si>
    <t>BOLT &amp; NUT M24 X 120</t>
  </si>
  <si>
    <t>TRM0709</t>
  </si>
  <si>
    <t>BOLT M22X80 INCLUDING NUT</t>
  </si>
  <si>
    <t>TRM0727</t>
  </si>
  <si>
    <t>BUILDING GROUNDING CHECKING</t>
  </si>
  <si>
    <t>TRM1338</t>
  </si>
  <si>
    <t>CAT BESI WARNA HITAM</t>
  </si>
  <si>
    <t>TRM0288</t>
  </si>
  <si>
    <t>CAT MINYAK VINAYA PAINT WARNA APRICOT YELLOW 20KG</t>
  </si>
  <si>
    <t>TRM0289</t>
  </si>
  <si>
    <t>CAT MINYAK VINAYA PAINT WARNA MINT GREEN 20KG</t>
  </si>
  <si>
    <t>TRM1339</t>
  </si>
  <si>
    <t>CAT ZINC CHROMATE WARNA HITAM</t>
  </si>
  <si>
    <t>TRM1130</t>
  </si>
  <si>
    <t>CIK LIGTNING ROD REPAIR/REPLACEMENT</t>
  </si>
  <si>
    <t>TRM0381</t>
  </si>
  <si>
    <t>CONNECTOR VACUUM GAUGE</t>
  </si>
  <si>
    <t>TRM1189</t>
  </si>
  <si>
    <t>CONTACT TIP M10 (ID DIA 1.0) P/N 4.200.015.057</t>
  </si>
  <si>
    <t>TRM1451</t>
  </si>
  <si>
    <t>COUNTERSUNK HEAD SCREW M8X30 GRADE A4-80</t>
  </si>
  <si>
    <t>TRM0997</t>
  </si>
  <si>
    <t>CUTTING WHEEL 3" MERK FLEXOVIT CUT OFF 76X2.5 10.0 A30S-BF41</t>
  </si>
  <si>
    <t>TRM0303</t>
  </si>
  <si>
    <t>DAIMARU BLACK TAPE 48MM X 21MTR</t>
  </si>
  <si>
    <t>TRM0975</t>
  </si>
  <si>
    <t>DRAT LUAR PIPA PPR 1/2 INCH</t>
  </si>
  <si>
    <t>TRM1197</t>
  </si>
  <si>
    <t>DRUM GALVANIS KAPASITAS 200 LITER</t>
  </si>
  <si>
    <t>TRM0480</t>
  </si>
  <si>
    <t>DYNABOLT M12X75</t>
  </si>
  <si>
    <t>TRM0404</t>
  </si>
  <si>
    <t>DYNABOLT M8X100 MM</t>
  </si>
  <si>
    <t>TRM0362</t>
  </si>
  <si>
    <t>DYNABOLT M8X40MM</t>
  </si>
  <si>
    <t>TRM0972</t>
  </si>
  <si>
    <t>ELBOW PVC 1 INCH</t>
  </si>
  <si>
    <t>TRM0791</t>
  </si>
  <si>
    <t>EMBER PLASTIC 1.50 GALON / 5 LITER</t>
  </si>
  <si>
    <t>TRM0790</t>
  </si>
  <si>
    <t>EMBER PLASTIC BEKAS KAPASITAS 20 LITER</t>
  </si>
  <si>
    <t>TRM1136</t>
  </si>
  <si>
    <t>EXHAUST FAN BRAND YILIDA 18 INCH</t>
  </si>
  <si>
    <t>TRM1457</t>
  </si>
  <si>
    <t>EXTRUDER COOLING SYSTEM REPAIR</t>
  </si>
  <si>
    <t>TRM1312</t>
  </si>
  <si>
    <t>EYEBOLT M30</t>
  </si>
  <si>
    <t>TRM0794</t>
  </si>
  <si>
    <t>FLANGE 3 INCH RUCIKA 8 BOLONG</t>
  </si>
  <si>
    <t>TRM1127</t>
  </si>
  <si>
    <t>FLEXIBLE METAL HOSE DN 150 FLANGE DN 150 TO FLANGE DN 200 PN 16 PANJANG 4 METER FLANGE TO FLANGE MATERIAL FULL SUS 304</t>
  </si>
  <si>
    <t>TRM1274</t>
  </si>
  <si>
    <t>FRONT MOUNTING ABB BRAND 1NC</t>
  </si>
  <si>
    <t>TRM1269</t>
  </si>
  <si>
    <t>FRONT MOUNTING ABB BRAND 1NO</t>
  </si>
  <si>
    <t>TRM0325</t>
  </si>
  <si>
    <t>FUCHS ANTICORIT 4540 ID 20 LITER / PAIL</t>
  </si>
  <si>
    <t>TRM1003</t>
  </si>
  <si>
    <t>GALVANIZE CABLE TRAY</t>
  </si>
  <si>
    <t>TRM0730</t>
  </si>
  <si>
    <t>GREASE NIPPLE B R1/8 A3F</t>
  </si>
  <si>
    <t>TRM0363</t>
  </si>
  <si>
    <t>HEX. BOLT (INCLUDE NUT) M10X30MM</t>
  </si>
  <si>
    <t>TRM1446</t>
  </si>
  <si>
    <t>HEXAGON BOLT M14X50 GRADE A2-80</t>
  </si>
  <si>
    <t>TRM1447</t>
  </si>
  <si>
    <t>HEXAGON BOLT M16X80 GRADE A2-80</t>
  </si>
  <si>
    <t>TRM1450</t>
  </si>
  <si>
    <t>HEXAGON SOCKET HEAD CUP M10X30 GRADE A2-80</t>
  </si>
  <si>
    <t>TRM1449</t>
  </si>
  <si>
    <t>HEXAGON SOCKET HEAD CUP M14X50 GRADE A2-80</t>
  </si>
  <si>
    <t>TRM1448</t>
  </si>
  <si>
    <t>HEXAGON SOCKET HEAD CUP M18X75 GRADE A2-80</t>
  </si>
  <si>
    <t>TRM0262</t>
  </si>
  <si>
    <t>HEXAGONAL BOLT M16 X 100 (STEEL)</t>
  </si>
  <si>
    <t>TRM1042</t>
  </si>
  <si>
    <t>HT (WALKIE TALKIE)</t>
  </si>
  <si>
    <t>TRM0352</t>
  </si>
  <si>
    <t>HYDRAULIC CYLINDER SCA2-LB-80B-300 CKD</t>
  </si>
  <si>
    <t>TRM1306</t>
  </si>
  <si>
    <t>HYDRAULIC RUBBER HOSE 4" (102MM ID X 120MM OD) 10 BAR</t>
  </si>
  <si>
    <t>TRM1137</t>
  </si>
  <si>
    <t>INDUSTRIAL WALL FAN WF-ECO-75-TH</t>
  </si>
  <si>
    <t>TRM0300</t>
  </si>
  <si>
    <t>IRON SWING CHECK VALVE 10K - 40S</t>
  </si>
  <si>
    <t>TRM0529</t>
  </si>
  <si>
    <t>JOTUN THINNER NO.10</t>
  </si>
  <si>
    <t>TRM0276</t>
  </si>
  <si>
    <t>KABEL TRAY U 100X50X3000MM TEBAL 1.2MM</t>
  </si>
  <si>
    <t>TRM1175</t>
  </si>
  <si>
    <t>KACA FILM 3M + PEMASANGAN</t>
  </si>
  <si>
    <t>TRM0364</t>
  </si>
  <si>
    <t>KANSAI PAINT FLATIT CAT BESI</t>
  </si>
  <si>
    <t>TRM0286</t>
  </si>
  <si>
    <t>KAWAT SILET BTO-22</t>
  </si>
  <si>
    <t>TRM0531</t>
  </si>
  <si>
    <t>KEPALA BOR</t>
  </si>
  <si>
    <t>TRM1041</t>
  </si>
  <si>
    <t>LAMPU DOWNLIGHT PHILIPS LED EQUIVALENT 21 WATT</t>
  </si>
  <si>
    <t>TRM0275</t>
  </si>
  <si>
    <t>LAMPU SOROT 30 WATT HANNOCHS CAHAYA PUTIH</t>
  </si>
  <si>
    <t>TRM0402</t>
  </si>
  <si>
    <t>LED TUBE LAMP 16 WATT 1200MM</t>
  </si>
  <si>
    <t>TRM0428</t>
  </si>
  <si>
    <t>M10X12 MATERIAL SUS 304 GRADE 70</t>
  </si>
  <si>
    <t>TRM0429</t>
  </si>
  <si>
    <t>M16X12 MATERIAL SUS 304 GRADE 70</t>
  </si>
  <si>
    <t>TRM0640</t>
  </si>
  <si>
    <t>MATA BOR DIAMETER 3 FOR ABOVE MACHINERY GOOD BRAND</t>
  </si>
  <si>
    <t>TRM0641</t>
  </si>
  <si>
    <t>MATA BOR DIAMETER 4 FOR ABOVE MACHINERY GOOD BRAND</t>
  </si>
  <si>
    <t>TRM0887</t>
  </si>
  <si>
    <t>MATA BOR HSS DIA 5MM NACHI</t>
  </si>
  <si>
    <t>TRM0725</t>
  </si>
  <si>
    <t>MATERIAL BUILDING POLE APRESTER REPAIR (PENANGKAL PETIR)</t>
  </si>
  <si>
    <t>TRM1212</t>
  </si>
  <si>
    <t>MATERIAL DAN JASA PEMASANGAN MARKA JALAN</t>
  </si>
  <si>
    <t>TRM0916</t>
  </si>
  <si>
    <t>MCB SCHNEIDER FOR BLASTING MACHINE DUE TO BROKEN</t>
  </si>
  <si>
    <t>TRM0785</t>
  </si>
  <si>
    <t>MECHANICAL MAINTENANCE</t>
  </si>
  <si>
    <t>TRM0568</t>
  </si>
  <si>
    <t>MICROBACT LIQIUD BACTERIA MICROBA LF</t>
  </si>
  <si>
    <t>TRM0985</t>
  </si>
  <si>
    <t>MILWAUKEE M18 3/4" HIGHT TORQUE IMPACT WRENCH</t>
  </si>
  <si>
    <t>TRM0517</t>
  </si>
  <si>
    <t>MOTOR REWINDING 0.18 KW</t>
  </si>
  <si>
    <t>TRM1053</t>
  </si>
  <si>
    <t>MSDS TOOLS</t>
  </si>
  <si>
    <t>TRM0586</t>
  </si>
  <si>
    <t>MUR 10.9 M24 THK 35MM HITAM</t>
  </si>
  <si>
    <t>TRM0964</t>
  </si>
  <si>
    <t>NANOTEC 1354 FILTER WITH 3 WAY VALVE</t>
  </si>
  <si>
    <t>TRM1001</t>
  </si>
  <si>
    <t>NEW MOTOR PUMP SP GEAR TK 160</t>
  </si>
  <si>
    <t>TRM0530</t>
  </si>
  <si>
    <t>NTN BEARING 6302</t>
  </si>
  <si>
    <t>TRM1106</t>
  </si>
  <si>
    <t>OLLITAL TWO ROLL MILL OLT-120L</t>
  </si>
  <si>
    <t>TRM0280</t>
  </si>
  <si>
    <t>ON/OFF SWITCH 3 PHASE</t>
  </si>
  <si>
    <t>TRM0890</t>
  </si>
  <si>
    <t>O-RING ID 6MM</t>
  </si>
  <si>
    <t>TRM1040</t>
  </si>
  <si>
    <t>PHILIPS DOWNLIGHT LED EQUIVALENT 14 WATT</t>
  </si>
  <si>
    <t>TRM1237</t>
  </si>
  <si>
    <t>PHILMAX DIGITAL TIMER STOP CONTACT</t>
  </si>
  <si>
    <t>TRM0969</t>
  </si>
  <si>
    <t>PIPA CLAMP 3/4" PVC</t>
  </si>
  <si>
    <t>TRM0968</t>
  </si>
  <si>
    <t>PIPA CLAMP1 INCH GALVANIS</t>
  </si>
  <si>
    <t>TRM0359</t>
  </si>
  <si>
    <t>PIPA CONDUIT DIA 20MM X 3000MM LENGTH</t>
  </si>
  <si>
    <t>TRM0973</t>
  </si>
  <si>
    <t>PIPA PVC 1 INCH</t>
  </si>
  <si>
    <t>TRM0974</t>
  </si>
  <si>
    <t>PIPA REDUCER PVC 1 X 1/2 INCH</t>
  </si>
  <si>
    <t>TRM0795</t>
  </si>
  <si>
    <t>PIPA RUCIKA ABU 3INCH AW</t>
  </si>
  <si>
    <t>TRM0302</t>
  </si>
  <si>
    <t>PLASTIK COR PE 0.8MM 1MTRX30MTR 80 MICRON</t>
  </si>
  <si>
    <t>TRM0886</t>
  </si>
  <si>
    <t>PNEUMATIC NIPPLE JOINT 6MM</t>
  </si>
  <si>
    <t>TRM0885</t>
  </si>
  <si>
    <t>PNEUMATIC T-JOINT 6MM</t>
  </si>
  <si>
    <t>TRM0792</t>
  </si>
  <si>
    <t>PORTABLE LAMP</t>
  </si>
  <si>
    <t>TRM0277</t>
  </si>
  <si>
    <t>PRESSURE GAUGE 16 BAR 4INCH RANSBURG EN-837-1</t>
  </si>
  <si>
    <t>TRM0889</t>
  </si>
  <si>
    <t>PTFE FLAT WASHER ID 6MM</t>
  </si>
  <si>
    <t>TRM1141</t>
  </si>
  <si>
    <t>REWINDING MOTOR EXHAUST FAN 1</t>
  </si>
  <si>
    <t>TRM1142</t>
  </si>
  <si>
    <t>REWINDING MOTOR EXHAUST FAN 2</t>
  </si>
  <si>
    <t>TRM1000</t>
  </si>
  <si>
    <t>REWINDING MOTOR PUMP SP GEAR TK 160</t>
  </si>
  <si>
    <t>TRM1143</t>
  </si>
  <si>
    <t>REWINDING MOTOR STARTER</t>
  </si>
  <si>
    <t>TRM1140</t>
  </si>
  <si>
    <t>REWINDING MOTOR WALL FAN</t>
  </si>
  <si>
    <t>TRM0468</t>
  </si>
  <si>
    <t>RUBBER COUPLING SPIDEX 38/38</t>
  </si>
  <si>
    <t>TRM1275</t>
  </si>
  <si>
    <t>RUBBER FLEXIBLE JOIN FOR PIPE COMPRESSOR CONNECTION</t>
  </si>
  <si>
    <t>TRM0278</t>
  </si>
  <si>
    <t>SAKLAR 1 BUTTON PANASONIC</t>
  </si>
  <si>
    <t>TRM0279</t>
  </si>
  <si>
    <t>SAKLAR 2 BUTTON PANASONIC</t>
  </si>
  <si>
    <t>TRM0942</t>
  </si>
  <si>
    <t>SANITARY METAL SCOOP</t>
  </si>
  <si>
    <t>TRM0398</t>
  </si>
  <si>
    <t>SANPOLAC 1 KG</t>
  </si>
  <si>
    <t>TRM0351</t>
  </si>
  <si>
    <t>SEAL KIT SCA2-80K CKD</t>
  </si>
  <si>
    <t>TRM0996</t>
  </si>
  <si>
    <t>SEAL TAPE ONDA 1/2"</t>
  </si>
  <si>
    <t>TRM0266</t>
  </si>
  <si>
    <t>SELANG FLEXIBLE HOSE 250 PSI 2"X3MTR BESTFLEX INCLUDE FITTING EO 2PCS + PRESS</t>
  </si>
  <si>
    <t>TRM0726</t>
  </si>
  <si>
    <t>SERVICE - BUILDING POLE APRESTER REPAIR (PENANGKAL PETIR)</t>
  </si>
  <si>
    <t>TRM0971</t>
  </si>
  <si>
    <t>SHOCK DRAT DALAM PVC 1/2"</t>
  </si>
  <si>
    <t>TRM0970</t>
  </si>
  <si>
    <t>SHOCK DRAT LUAR PVC 1 INCH</t>
  </si>
  <si>
    <t>TRM0967</t>
  </si>
  <si>
    <t>SILIKA 0.1MM 20KG LOWER POSITION</t>
  </si>
  <si>
    <t>TRM0966</t>
  </si>
  <si>
    <t>SILIKA 0.25MM 20KG MIDDLE POSITION</t>
  </si>
  <si>
    <t>TRM0965</t>
  </si>
  <si>
    <t>SILIKA 0.5MM 20KG UPPER POSITION</t>
  </si>
  <si>
    <t>TRM0361</t>
  </si>
  <si>
    <t>SOK PIPA CONDUIT 20MM (100PCS/PCK)</t>
  </si>
  <si>
    <t>TRM0983</t>
  </si>
  <si>
    <t>SONIC A 12 E</t>
  </si>
  <si>
    <t>TRM0789</t>
  </si>
  <si>
    <t>STATIONARY AND OFFICE SUPPLIES</t>
  </si>
  <si>
    <t>TRM0918</t>
  </si>
  <si>
    <t>STUD BOLT FULL M16 LENGHT 100MM</t>
  </si>
  <si>
    <t>TRM0888</t>
  </si>
  <si>
    <t>TAP M6 STANDARD PITCH</t>
  </si>
  <si>
    <t>TRM1211</t>
  </si>
  <si>
    <t>TIANG GALVANIS TANAM 2 METER</t>
  </si>
  <si>
    <t>TRM0884</t>
  </si>
  <si>
    <t>TUBING PU 6MM DIA 10M LENGTH</t>
  </si>
  <si>
    <t>TRM1452</t>
  </si>
  <si>
    <t>WASHER NORD-LOCK NL10SS STAINLESS-STEEL FOR M10</t>
  </si>
  <si>
    <t>TRM1453</t>
  </si>
  <si>
    <t>WASHER NORD-LOCK NL10SS STAINLESS-STEEL FOR M14</t>
  </si>
  <si>
    <t>TRM1454</t>
  </si>
  <si>
    <t>WASHER NORD-LOCK NL10SS STAINLESS-STEEL FOR M16</t>
  </si>
  <si>
    <t>TRM0708</t>
  </si>
  <si>
    <t>WELDING STICK, RD260, 2.6MM NIKKO STEEL</t>
  </si>
  <si>
    <t>TRM0287</t>
  </si>
  <si>
    <t>WIRE ROPE DIAMETER 4MM</t>
  </si>
  <si>
    <t>TRM0986</t>
  </si>
  <si>
    <t>YAMAYO DIAMETER TAPE</t>
  </si>
  <si>
    <t>TOTAL 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</si>
</sst>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13809]d\ mmm\ yyyy;@"/>
    <numFmt numFmtId="165" formatCode="_-* #,##0_-;\-* #,##0_-;_-* &quot;-&quot;??_-;_-@_-"/>
    <numFmt numFmtId="166" formatCode="_-[$Rp-3809]* #,##0_-;\-[$Rp-3809]* #,##0_-;_-[$Rp-3809]* &quot;-&quot;??_-;_-@_-"/>
  </numFmts>
  <fonts count="1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5" fillId="0" borderId="0" applyFont="0" applyFill="0" applyBorder="0" applyAlignment="0" applyProtection="0"/>
  </cellStyleXfs>
  <cellXfs count="122">
    <xf numFmtId="0" fontId="0" fillId="0" borderId="0" xfId="0"/>
    <xf numFmtId="0" fontId="5" fillId="0" borderId="0" xfId="1" applyAlignment="1">
      <alignment horizontal="left" vertical="center"/>
    </xf>
    <xf numFmtId="0" fontId="3" fillId="2" borderId="1" xfId="2" applyFont="1" applyFill="1" applyBorder="1" applyAlignment="1">
      <alignment horizontal="center" vertical="center"/>
    </xf>
    <xf numFmtId="165" fontId="3" fillId="2" borderId="1" xfId="3" applyNumberFormat="1" applyFont="1" applyFill="1" applyBorder="1" applyAlignment="1">
      <alignment horizontal="center" vertical="center"/>
    </xf>
    <xf numFmtId="166" fontId="3" fillId="2" borderId="1" xfId="2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1" xfId="2" applyBorder="1" applyAlignment="1">
      <alignment horizontal="left" vertical="center"/>
    </xf>
    <xf numFmtId="165" fontId="1" fillId="0" borderId="1" xfId="3" applyNumberFormat="1" applyFont="1" applyBorder="1" applyAlignment="1">
      <alignment horizontal="left" vertical="center"/>
    </xf>
    <xf numFmtId="166" fontId="1" fillId="0" borderId="1" xfId="2" applyNumberFormat="1" applyBorder="1" applyAlignment="1">
      <alignment horizontal="left" vertical="center"/>
    </xf>
    <xf numFmtId="0" fontId="2" fillId="2" borderId="1" xfId="2" applyFont="1" applyFill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165" fontId="6" fillId="0" borderId="1" xfId="3" applyNumberFormat="1" applyFont="1" applyBorder="1" applyAlignment="1">
      <alignment horizontal="left" vertical="center"/>
    </xf>
    <xf numFmtId="166" fontId="6" fillId="0" borderId="1" xfId="2" applyNumberFormat="1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5" fillId="0" borderId="0" xfId="1" applyAlignment="1">
      <alignment horizontal="center" vertical="center"/>
    </xf>
    <xf numFmtId="165" fontId="0" fillId="0" borderId="0" xfId="3" applyNumberFormat="1" applyFont="1" applyAlignment="1">
      <alignment horizontal="left" vertical="center"/>
    </xf>
    <xf numFmtId="166" fontId="5" fillId="0" borderId="0" xfId="1" applyNumberFormat="1" applyAlignment="1">
      <alignment horizontal="left"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1" applyFont="1" applyAlignment="1">
      <alignment horizontal="left" vertical="center"/>
    </xf>
    <xf numFmtId="0" fontId="6" fillId="0" borderId="1" xfId="2" applyFont="1" applyFill="1" applyBorder="1" applyAlignment="1">
      <alignment horizontal="left" vertical="center"/>
    </xf>
    <xf numFmtId="165" fontId="6" fillId="0" borderId="1" xfId="3" applyNumberFormat="1" applyFont="1" applyFill="1" applyBorder="1" applyAlignment="1">
      <alignment horizontal="left" vertical="center"/>
    </xf>
    <xf numFmtId="166" fontId="6" fillId="0" borderId="1" xfId="2" applyNumberFormat="1" applyFont="1" applyFill="1" applyBorder="1" applyAlignment="1">
      <alignment horizontal="left" vertical="center"/>
    </xf>
    <xf numFmtId="0" fontId="6" fillId="0" borderId="0" xfId="1" applyFont="1" applyFill="1" applyAlignment="1">
      <alignment horizontal="left" vertical="center"/>
    </xf>
    <xf numFmtId="165" fontId="4" fillId="3" borderId="1" xfId="3" applyNumberFormat="1" applyFont="1" applyFill="1" applyBorder="1" applyAlignment="1">
      <alignment horizontal="left" vertical="center"/>
    </xf>
    <xf numFmtId="166" fontId="3" fillId="3" borderId="1" xfId="1" applyNumberFormat="1" applyFont="1" applyFill="1" applyBorder="1" applyAlignment="1">
      <alignment horizontal="left" vertical="center"/>
    </xf>
    <xf numFmtId="166" fontId="7" fillId="3" borderId="1" xfId="2" applyNumberFormat="1" applyFont="1" applyFill="1" applyBorder="1" applyAlignment="1">
      <alignment horizontal="left" vertical="center"/>
    </xf>
    <xf numFmtId="165" fontId="4" fillId="0" borderId="0" xfId="3" applyNumberFormat="1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left" vertical="center" wrapText="1"/>
    </xf>
    <xf numFmtId="0" fontId="6" fillId="0" borderId="0" xfId="2" applyFont="1" applyAlignment="1">
      <alignment horizontal="left" vertical="center"/>
    </xf>
    <xf numFmtId="166" fontId="6" fillId="2" borderId="1" xfId="2" applyNumberFormat="1" applyFont="1" applyFill="1" applyBorder="1" applyAlignment="1">
      <alignment horizontal="left" vertical="center"/>
    </xf>
    <xf numFmtId="165" fontId="8" fillId="0" borderId="1" xfId="3" applyNumberFormat="1" applyFont="1" applyBorder="1" applyAlignment="1">
      <alignment horizontal="left" vertical="center"/>
    </xf>
    <xf numFmtId="166" fontId="7" fillId="0" borderId="1" xfId="1" applyNumberFormat="1" applyFont="1" applyBorder="1" applyAlignment="1">
      <alignment horizontal="left" vertical="center"/>
    </xf>
    <xf numFmtId="166" fontId="7" fillId="0" borderId="1" xfId="2" applyNumberFormat="1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5" fontId="9" fillId="0" borderId="0" xfId="3" applyNumberFormat="1" applyFont="1" applyAlignment="1">
      <alignment horizontal="left" vertical="center"/>
    </xf>
    <xf numFmtId="166" fontId="6" fillId="0" borderId="0" xfId="1" applyNumberFormat="1" applyFont="1" applyAlignment="1">
      <alignment horizontal="left" vertical="center"/>
    </xf>
    <xf numFmtId="0" fontId="1" fillId="0" borderId="1" xfId="2" applyFont="1" applyFill="1" applyBorder="1" applyAlignment="1">
      <alignment horizontal="center" vertical="center"/>
    </xf>
    <xf numFmtId="0" fontId="1" fillId="0" borderId="1" xfId="2" applyFont="1" applyBorder="1" applyAlignment="1">
      <alignment horizontal="left" vertical="center"/>
    </xf>
    <xf numFmtId="166" fontId="1" fillId="0" borderId="1" xfId="2" applyNumberFormat="1" applyFont="1" applyBorder="1" applyAlignment="1">
      <alignment horizontal="left" vertical="center"/>
    </xf>
    <xf numFmtId="0" fontId="1" fillId="0" borderId="0" xfId="1" applyFont="1" applyFill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165" fontId="7" fillId="2" borderId="1" xfId="3" applyNumberFormat="1" applyFont="1" applyFill="1" applyBorder="1" applyAlignment="1">
      <alignment horizontal="center" vertical="center"/>
    </xf>
    <xf numFmtId="166" fontId="7" fillId="2" borderId="1" xfId="2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49" fontId="12" fillId="0" borderId="1" xfId="0" applyNumberFormat="1" applyFont="1" applyBorder="1" applyAlignment="1">
      <alignment vertical="top"/>
    </xf>
    <xf numFmtId="49" fontId="12" fillId="0" borderId="1" xfId="0" applyNumberFormat="1" applyFont="1" applyBorder="1" applyAlignment="1">
      <alignment vertical="top" wrapText="1"/>
    </xf>
    <xf numFmtId="3" fontId="12" fillId="0" borderId="1" xfId="0" applyNumberFormat="1" applyFont="1" applyBorder="1" applyAlignment="1">
      <alignment horizontal="center" vertical="top"/>
    </xf>
    <xf numFmtId="49" fontId="12" fillId="0" borderId="1" xfId="0" applyNumberFormat="1" applyFont="1" applyBorder="1" applyAlignment="1">
      <alignment horizontal="left" vertical="top"/>
    </xf>
    <xf numFmtId="4" fontId="12" fillId="0" borderId="1" xfId="0" applyNumberFormat="1" applyFont="1" applyBorder="1" applyAlignment="1">
      <alignment horizontal="center" vertical="top"/>
    </xf>
    <xf numFmtId="166" fontId="12" fillId="0" borderId="1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/>
    <xf numFmtId="0" fontId="9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vertical="top"/>
    </xf>
    <xf numFmtId="49" fontId="14" fillId="0" borderId="1" xfId="0" applyNumberFormat="1" applyFont="1" applyBorder="1" applyAlignment="1">
      <alignment vertical="top" wrapText="1"/>
    </xf>
    <xf numFmtId="49" fontId="14" fillId="0" borderId="1" xfId="0" applyNumberFormat="1" applyFont="1" applyBorder="1" applyAlignment="1">
      <alignment horizontal="left" vertical="top"/>
    </xf>
    <xf numFmtId="4" fontId="14" fillId="0" borderId="1" xfId="0" applyNumberFormat="1" applyFont="1" applyBorder="1" applyAlignment="1">
      <alignment horizontal="center" vertical="top"/>
    </xf>
    <xf numFmtId="166" fontId="14" fillId="0" borderId="1" xfId="0" applyNumberFormat="1" applyFont="1" applyBorder="1" applyAlignment="1">
      <alignment horizontal="center" vertical="top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vertical="top" wrapText="1"/>
    </xf>
    <xf numFmtId="3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 vertical="top"/>
    </xf>
    <xf numFmtId="49" fontId="14" fillId="0" borderId="0" xfId="0" applyNumberFormat="1" applyFont="1" applyAlignment="1">
      <alignment vertical="top"/>
    </xf>
    <xf numFmtId="0" fontId="9" fillId="0" borderId="0" xfId="0" applyFont="1" applyAlignment="1">
      <alignment wrapText="1"/>
    </xf>
    <xf numFmtId="49" fontId="14" fillId="0" borderId="0" xfId="0" applyNumberFormat="1" applyFont="1" applyAlignment="1">
      <alignment horizontal="left" vertical="top" wrapText="1"/>
    </xf>
    <xf numFmtId="166" fontId="14" fillId="0" borderId="0" xfId="0" applyNumberFormat="1" applyFont="1" applyAlignment="1">
      <alignment horizontal="center" vertical="top"/>
    </xf>
    <xf numFmtId="49" fontId="15" fillId="0" borderId="0" xfId="0" applyNumberFormat="1" applyFont="1" applyAlignment="1">
      <alignment vertical="top" wrapText="1"/>
    </xf>
    <xf numFmtId="0" fontId="0" fillId="0" borderId="0" xfId="0" applyFill="1"/>
    <xf numFmtId="3" fontId="12" fillId="0" borderId="1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1" fillId="0" borderId="1" xfId="0" applyNumberFormat="1" applyFont="1" applyBorder="1" applyAlignment="1">
      <alignment horizontal="right" vertical="center"/>
    </xf>
    <xf numFmtId="3" fontId="14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1" fillId="0" borderId="5" xfId="2" applyFont="1" applyBorder="1" applyAlignment="1">
      <alignment horizontal="left" vertical="center"/>
    </xf>
    <xf numFmtId="0" fontId="1" fillId="0" borderId="6" xfId="2" applyFont="1" applyBorder="1" applyAlignment="1">
      <alignment horizontal="left" vertical="center"/>
    </xf>
    <xf numFmtId="0" fontId="1" fillId="0" borderId="7" xfId="2" applyFont="1" applyBorder="1" applyAlignment="1">
      <alignment horizontal="left" vertical="center"/>
    </xf>
    <xf numFmtId="0" fontId="1" fillId="0" borderId="5" xfId="2" applyBorder="1" applyAlignment="1">
      <alignment horizontal="left" vertical="center"/>
    </xf>
    <xf numFmtId="0" fontId="1" fillId="0" borderId="7" xfId="2" applyBorder="1" applyAlignment="1">
      <alignment horizontal="left" vertical="center"/>
    </xf>
    <xf numFmtId="0" fontId="1" fillId="0" borderId="6" xfId="2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6" fillId="0" borderId="6" xfId="2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/>
    </xf>
    <xf numFmtId="166" fontId="1" fillId="0" borderId="5" xfId="2" applyNumberFormat="1" applyBorder="1" applyAlignment="1">
      <alignment horizontal="left" vertical="center"/>
    </xf>
    <xf numFmtId="166" fontId="1" fillId="0" borderId="5" xfId="2" applyNumberFormat="1" applyFont="1" applyBorder="1" applyAlignment="1">
      <alignment horizontal="left" vertical="center"/>
    </xf>
    <xf numFmtId="166" fontId="6" fillId="0" borderId="5" xfId="2" applyNumberFormat="1" applyFont="1" applyBorder="1" applyAlignment="1">
      <alignment horizontal="left" vertical="center"/>
    </xf>
    <xf numFmtId="166" fontId="1" fillId="0" borderId="1" xfId="2" applyNumberFormat="1" applyBorder="1" applyAlignment="1">
      <alignment horizontal="left" vertic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Comma 2" xfId="3" xr:uid="{B5BBF760-2704-4B0B-B874-CA3BA5B83E7A}"/>
    <cellStyle name="Normal" xfId="0" builtinId="0"/>
    <cellStyle name="Normal 2" xfId="2" xr:uid="{A6657838-5DF7-433B-9E45-6C14D26D3B5F}"/>
    <cellStyle name="Normal 3" xfId="1" xr:uid="{00E945D2-1415-4AE2-A6CF-E8085EE797B3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ED94-F528-46AD-92CF-E57B37F935CD}">
  <sheetPr>
    <tabColor rgb="FF00B0F0"/>
  </sheetPr>
  <dimension ref="A1:J177"/>
  <sheetViews>
    <sheetView zoomScale="102" workbookViewId="0">
      <pane xSplit="3" ySplit="4" topLeftCell="E142" activePane="bottomRight" state="frozen"/>
      <selection activeCell="J57" sqref="J57"/>
      <selection pane="topRight" activeCell="J57" sqref="J57"/>
      <selection pane="bottomLeft" activeCell="J57" sqref="J57"/>
      <selection pane="bottomRight" activeCell="E4" sqref="E1:E1048576"/>
    </sheetView>
  </sheetViews>
  <sheetFormatPr defaultColWidth="9.08984375" defaultRowHeight="14.5" x14ac:dyDescent="0.35"/>
  <cols>
    <col min="1" max="1" width="4.08984375" style="16" customWidth="1"/>
    <col min="2" max="2" width="25.453125" style="1" customWidth="1"/>
    <col min="3" max="3" width="14.453125" style="1" customWidth="1"/>
    <col min="4" max="4" width="25.453125" style="1" hidden="1" customWidth="1"/>
    <col min="5" max="5" width="43.81640625" style="1" customWidth="1"/>
    <col min="6" max="6" width="10.36328125" style="17" customWidth="1"/>
    <col min="7" max="8" width="16.81640625" style="18" customWidth="1"/>
    <col min="9" max="9" width="15.7265625" style="1" bestFit="1" customWidth="1"/>
    <col min="10" max="10" width="13.81640625" style="1" hidden="1" customWidth="1"/>
    <col min="11" max="16384" width="9.08984375" style="1"/>
  </cols>
  <sheetData>
    <row r="1" spans="1:10" x14ac:dyDescent="0.35">
      <c r="A1" s="98" t="s">
        <v>0</v>
      </c>
      <c r="B1" s="98"/>
      <c r="C1" s="98"/>
      <c r="D1" s="98"/>
      <c r="E1" s="98"/>
      <c r="F1" s="98"/>
      <c r="G1" s="98"/>
      <c r="H1" s="98"/>
      <c r="I1" s="19"/>
      <c r="J1" s="19"/>
    </row>
    <row r="2" spans="1:10" x14ac:dyDescent="0.35">
      <c r="A2" s="98" t="s">
        <v>1</v>
      </c>
      <c r="B2" s="98"/>
      <c r="C2" s="98"/>
      <c r="D2" s="98"/>
      <c r="E2" s="98"/>
      <c r="F2" s="98"/>
      <c r="G2" s="98"/>
      <c r="H2" s="98"/>
      <c r="I2" s="19"/>
      <c r="J2" s="19"/>
    </row>
    <row r="3" spans="1:10" x14ac:dyDescent="0.35">
      <c r="A3" s="99">
        <v>45991</v>
      </c>
      <c r="B3" s="99"/>
      <c r="C3" s="99"/>
      <c r="D3" s="99"/>
      <c r="E3" s="99"/>
      <c r="F3" s="99"/>
      <c r="G3" s="99"/>
      <c r="H3" s="99"/>
      <c r="I3" s="20"/>
      <c r="J3" s="20"/>
    </row>
    <row r="4" spans="1:10" s="5" customFormat="1" x14ac:dyDescent="0.35">
      <c r="A4" s="2" t="s">
        <v>2</v>
      </c>
      <c r="B4" s="2" t="s">
        <v>777</v>
      </c>
      <c r="C4" s="2" t="s">
        <v>3</v>
      </c>
      <c r="D4" s="2" t="s">
        <v>4</v>
      </c>
      <c r="E4" s="2" t="s">
        <v>778</v>
      </c>
      <c r="F4" s="3" t="s">
        <v>5</v>
      </c>
      <c r="G4" s="4" t="s">
        <v>779</v>
      </c>
      <c r="H4" s="4" t="s">
        <v>7480</v>
      </c>
      <c r="I4" s="2" t="s">
        <v>780</v>
      </c>
      <c r="J4" s="2" t="s">
        <v>6</v>
      </c>
    </row>
    <row r="5" spans="1:10" s="47" customFormat="1" x14ac:dyDescent="0.35">
      <c r="A5" s="44">
        <v>1</v>
      </c>
      <c r="B5" s="45" t="s">
        <v>476</v>
      </c>
      <c r="C5" s="45" t="s">
        <v>475</v>
      </c>
      <c r="D5" s="101" t="s">
        <v>476</v>
      </c>
      <c r="E5" s="45" t="s">
        <v>477</v>
      </c>
      <c r="F5" s="8">
        <f>3600+7200</f>
        <v>10800</v>
      </c>
      <c r="G5" s="46">
        <v>1100</v>
      </c>
      <c r="H5" s="46">
        <f t="shared" ref="H5:H36" si="0">F5*G5</f>
        <v>11880000</v>
      </c>
      <c r="I5" s="111">
        <f>SUM(H5:H7)</f>
        <v>66767000</v>
      </c>
      <c r="J5" s="44"/>
    </row>
    <row r="6" spans="1:10" x14ac:dyDescent="0.35">
      <c r="A6" s="6">
        <f>A5+1</f>
        <v>2</v>
      </c>
      <c r="B6" s="11" t="s">
        <v>476</v>
      </c>
      <c r="C6" s="11" t="s">
        <v>479</v>
      </c>
      <c r="D6" s="102"/>
      <c r="E6" s="11" t="s">
        <v>480</v>
      </c>
      <c r="F6" s="12">
        <v>4</v>
      </c>
      <c r="G6" s="13">
        <v>126000</v>
      </c>
      <c r="H6" s="13">
        <f t="shared" si="0"/>
        <v>504000</v>
      </c>
      <c r="I6" s="102"/>
      <c r="J6" s="7" t="s">
        <v>10</v>
      </c>
    </row>
    <row r="7" spans="1:10" x14ac:dyDescent="0.35">
      <c r="A7" s="6">
        <f t="shared" ref="A7:A70" si="1">A6+1</f>
        <v>3</v>
      </c>
      <c r="B7" s="7" t="s">
        <v>476</v>
      </c>
      <c r="C7" s="7" t="s">
        <v>481</v>
      </c>
      <c r="D7" s="103"/>
      <c r="E7" s="7" t="s">
        <v>482</v>
      </c>
      <c r="F7" s="8">
        <f>1920+1960+690</f>
        <v>4570</v>
      </c>
      <c r="G7" s="9">
        <v>11900</v>
      </c>
      <c r="H7" s="9">
        <f t="shared" si="0"/>
        <v>54383000</v>
      </c>
      <c r="I7" s="103"/>
      <c r="J7" s="7" t="s">
        <v>13</v>
      </c>
    </row>
    <row r="8" spans="1:10" x14ac:dyDescent="0.35">
      <c r="A8" s="6">
        <f t="shared" si="1"/>
        <v>4</v>
      </c>
      <c r="B8" s="7" t="s">
        <v>8</v>
      </c>
      <c r="C8" s="7" t="s">
        <v>7</v>
      </c>
      <c r="D8" s="104" t="s">
        <v>8</v>
      </c>
      <c r="E8" s="7" t="s">
        <v>9</v>
      </c>
      <c r="F8" s="8">
        <v>360</v>
      </c>
      <c r="G8" s="9">
        <v>9310</v>
      </c>
      <c r="H8" s="9">
        <f t="shared" si="0"/>
        <v>3351600</v>
      </c>
      <c r="I8" s="110">
        <f>SUM(H8:H9)</f>
        <v>8293500</v>
      </c>
      <c r="J8" s="7" t="s">
        <v>17</v>
      </c>
    </row>
    <row r="9" spans="1:10" x14ac:dyDescent="0.35">
      <c r="A9" s="6">
        <f t="shared" si="1"/>
        <v>5</v>
      </c>
      <c r="B9" s="7" t="s">
        <v>8</v>
      </c>
      <c r="C9" s="7" t="s">
        <v>11</v>
      </c>
      <c r="D9" s="105"/>
      <c r="E9" s="7" t="s">
        <v>12</v>
      </c>
      <c r="F9" s="8">
        <v>170</v>
      </c>
      <c r="G9" s="9">
        <v>29070</v>
      </c>
      <c r="H9" s="9">
        <f t="shared" si="0"/>
        <v>4941900</v>
      </c>
      <c r="I9" s="105"/>
      <c r="J9" s="7" t="s">
        <v>21</v>
      </c>
    </row>
    <row r="10" spans="1:10" x14ac:dyDescent="0.35">
      <c r="A10" s="6">
        <f t="shared" si="1"/>
        <v>6</v>
      </c>
      <c r="B10" s="7" t="s">
        <v>15</v>
      </c>
      <c r="C10" s="7" t="s">
        <v>14</v>
      </c>
      <c r="D10" s="7" t="s">
        <v>15</v>
      </c>
      <c r="E10" s="7" t="s">
        <v>16</v>
      </c>
      <c r="F10" s="8">
        <v>500</v>
      </c>
      <c r="G10" s="9">
        <v>3900</v>
      </c>
      <c r="H10" s="9">
        <f t="shared" si="0"/>
        <v>1950000</v>
      </c>
      <c r="I10" s="9">
        <f>H10</f>
        <v>1950000</v>
      </c>
      <c r="J10" s="7" t="s">
        <v>24</v>
      </c>
    </row>
    <row r="11" spans="1:10" x14ac:dyDescent="0.35">
      <c r="A11" s="6">
        <f t="shared" si="1"/>
        <v>7</v>
      </c>
      <c r="B11" s="7" t="s">
        <v>19</v>
      </c>
      <c r="C11" s="7" t="s">
        <v>18</v>
      </c>
      <c r="D11" s="104" t="s">
        <v>19</v>
      </c>
      <c r="E11" s="7" t="s">
        <v>20</v>
      </c>
      <c r="F11" s="8">
        <f>600+290+320+300</f>
        <v>1510</v>
      </c>
      <c r="G11" s="9">
        <v>11200</v>
      </c>
      <c r="H11" s="9">
        <f t="shared" si="0"/>
        <v>16912000</v>
      </c>
      <c r="I11" s="110">
        <f>SUM(H11:H12)</f>
        <v>17392000</v>
      </c>
      <c r="J11" s="7" t="s">
        <v>28</v>
      </c>
    </row>
    <row r="12" spans="1:10" x14ac:dyDescent="0.35">
      <c r="A12" s="6">
        <f t="shared" si="1"/>
        <v>8</v>
      </c>
      <c r="B12" s="7" t="s">
        <v>19</v>
      </c>
      <c r="C12" s="7" t="s">
        <v>22</v>
      </c>
      <c r="D12" s="105"/>
      <c r="E12" s="7" t="s">
        <v>23</v>
      </c>
      <c r="F12" s="8">
        <v>30</v>
      </c>
      <c r="G12" s="9">
        <v>16000</v>
      </c>
      <c r="H12" s="9">
        <f t="shared" si="0"/>
        <v>480000</v>
      </c>
      <c r="I12" s="105"/>
      <c r="J12" s="7" t="s">
        <v>31</v>
      </c>
    </row>
    <row r="13" spans="1:10" x14ac:dyDescent="0.35">
      <c r="A13" s="6">
        <f t="shared" si="1"/>
        <v>9</v>
      </c>
      <c r="B13" s="7" t="s">
        <v>26</v>
      </c>
      <c r="C13" s="7" t="s">
        <v>25</v>
      </c>
      <c r="D13" s="104" t="s">
        <v>26</v>
      </c>
      <c r="E13" s="7" t="s">
        <v>27</v>
      </c>
      <c r="F13" s="8">
        <f>230+520</f>
        <v>750</v>
      </c>
      <c r="G13" s="9">
        <v>9400</v>
      </c>
      <c r="H13" s="9">
        <f t="shared" si="0"/>
        <v>7050000</v>
      </c>
      <c r="I13" s="110">
        <f>SUM(H13:H33)</f>
        <v>67735360</v>
      </c>
      <c r="J13" s="7" t="s">
        <v>34</v>
      </c>
    </row>
    <row r="14" spans="1:10" x14ac:dyDescent="0.35">
      <c r="A14" s="6">
        <f t="shared" si="1"/>
        <v>10</v>
      </c>
      <c r="B14" s="7" t="s">
        <v>26</v>
      </c>
      <c r="C14" s="7" t="s">
        <v>29</v>
      </c>
      <c r="D14" s="106"/>
      <c r="E14" s="7" t="s">
        <v>30</v>
      </c>
      <c r="F14" s="8">
        <f>140+300</f>
        <v>440</v>
      </c>
      <c r="G14" s="9">
        <v>5320</v>
      </c>
      <c r="H14" s="9">
        <f t="shared" si="0"/>
        <v>2340800</v>
      </c>
      <c r="I14" s="106"/>
      <c r="J14" s="7" t="s">
        <v>37</v>
      </c>
    </row>
    <row r="15" spans="1:10" x14ac:dyDescent="0.35">
      <c r="A15" s="6">
        <f t="shared" si="1"/>
        <v>11</v>
      </c>
      <c r="B15" s="7" t="s">
        <v>26</v>
      </c>
      <c r="C15" s="7" t="s">
        <v>32</v>
      </c>
      <c r="D15" s="106"/>
      <c r="E15" s="7" t="s">
        <v>33</v>
      </c>
      <c r="F15" s="8">
        <v>95</v>
      </c>
      <c r="G15" s="9">
        <v>22700</v>
      </c>
      <c r="H15" s="9">
        <f t="shared" si="0"/>
        <v>2156500</v>
      </c>
      <c r="I15" s="106"/>
      <c r="J15" s="7" t="s">
        <v>40</v>
      </c>
    </row>
    <row r="16" spans="1:10" x14ac:dyDescent="0.35">
      <c r="A16" s="6">
        <f t="shared" si="1"/>
        <v>12</v>
      </c>
      <c r="B16" s="7" t="s">
        <v>26</v>
      </c>
      <c r="C16" s="7" t="s">
        <v>35</v>
      </c>
      <c r="D16" s="106"/>
      <c r="E16" s="7" t="s">
        <v>36</v>
      </c>
      <c r="F16" s="8">
        <f>440+60</f>
        <v>500</v>
      </c>
      <c r="G16" s="9">
        <v>9450</v>
      </c>
      <c r="H16" s="9">
        <f t="shared" si="0"/>
        <v>4725000</v>
      </c>
      <c r="I16" s="106"/>
      <c r="J16" s="7" t="s">
        <v>43</v>
      </c>
    </row>
    <row r="17" spans="1:10" x14ac:dyDescent="0.35">
      <c r="A17" s="6">
        <f t="shared" si="1"/>
        <v>13</v>
      </c>
      <c r="B17" s="7" t="s">
        <v>26</v>
      </c>
      <c r="C17" s="7" t="s">
        <v>38</v>
      </c>
      <c r="D17" s="106"/>
      <c r="E17" s="7" t="s">
        <v>39</v>
      </c>
      <c r="F17" s="8">
        <v>300</v>
      </c>
      <c r="G17" s="9">
        <v>12800</v>
      </c>
      <c r="H17" s="9">
        <f t="shared" si="0"/>
        <v>3840000</v>
      </c>
      <c r="I17" s="106"/>
      <c r="J17" s="7" t="s">
        <v>46</v>
      </c>
    </row>
    <row r="18" spans="1:10" x14ac:dyDescent="0.35">
      <c r="A18" s="6">
        <f t="shared" si="1"/>
        <v>14</v>
      </c>
      <c r="B18" s="7" t="s">
        <v>26</v>
      </c>
      <c r="C18" s="7" t="s">
        <v>41</v>
      </c>
      <c r="D18" s="106"/>
      <c r="E18" s="7" t="s">
        <v>42</v>
      </c>
      <c r="F18" s="8">
        <f>250+80</f>
        <v>330</v>
      </c>
      <c r="G18" s="9">
        <v>15000</v>
      </c>
      <c r="H18" s="9">
        <f t="shared" si="0"/>
        <v>4950000</v>
      </c>
      <c r="I18" s="106"/>
      <c r="J18" s="7" t="s">
        <v>49</v>
      </c>
    </row>
    <row r="19" spans="1:10" x14ac:dyDescent="0.35">
      <c r="A19" s="6">
        <f t="shared" si="1"/>
        <v>15</v>
      </c>
      <c r="B19" s="7" t="s">
        <v>26</v>
      </c>
      <c r="C19" s="7" t="s">
        <v>44</v>
      </c>
      <c r="D19" s="106"/>
      <c r="E19" s="7" t="s">
        <v>45</v>
      </c>
      <c r="F19" s="8">
        <f>350+200+420</f>
        <v>970</v>
      </c>
      <c r="G19" s="9">
        <v>6750</v>
      </c>
      <c r="H19" s="9">
        <f t="shared" si="0"/>
        <v>6547500</v>
      </c>
      <c r="I19" s="106"/>
      <c r="J19" s="7" t="s">
        <v>52</v>
      </c>
    </row>
    <row r="20" spans="1:10" x14ac:dyDescent="0.35">
      <c r="A20" s="6">
        <f t="shared" si="1"/>
        <v>16</v>
      </c>
      <c r="B20" s="7" t="s">
        <v>26</v>
      </c>
      <c r="C20" s="7" t="s">
        <v>47</v>
      </c>
      <c r="D20" s="106"/>
      <c r="E20" s="7" t="s">
        <v>48</v>
      </c>
      <c r="F20" s="8">
        <v>240</v>
      </c>
      <c r="G20" s="9">
        <v>6060</v>
      </c>
      <c r="H20" s="9">
        <f t="shared" si="0"/>
        <v>1454400</v>
      </c>
      <c r="I20" s="106"/>
      <c r="J20" s="7" t="s">
        <v>55</v>
      </c>
    </row>
    <row r="21" spans="1:10" x14ac:dyDescent="0.35">
      <c r="A21" s="6">
        <f t="shared" si="1"/>
        <v>17</v>
      </c>
      <c r="B21" s="7" t="s">
        <v>26</v>
      </c>
      <c r="C21" s="7" t="s">
        <v>50</v>
      </c>
      <c r="D21" s="106"/>
      <c r="E21" s="7" t="s">
        <v>51</v>
      </c>
      <c r="F21" s="8">
        <v>70</v>
      </c>
      <c r="G21" s="9">
        <v>1100</v>
      </c>
      <c r="H21" s="9">
        <f t="shared" si="0"/>
        <v>77000</v>
      </c>
      <c r="I21" s="106"/>
      <c r="J21" s="7" t="s">
        <v>58</v>
      </c>
    </row>
    <row r="22" spans="1:10" x14ac:dyDescent="0.35">
      <c r="A22" s="6">
        <f t="shared" si="1"/>
        <v>18</v>
      </c>
      <c r="B22" s="7" t="s">
        <v>26</v>
      </c>
      <c r="C22" s="7" t="s">
        <v>53</v>
      </c>
      <c r="D22" s="106"/>
      <c r="E22" s="7" t="s">
        <v>54</v>
      </c>
      <c r="F22" s="8">
        <f>380+380</f>
        <v>760</v>
      </c>
      <c r="G22" s="9">
        <v>7980</v>
      </c>
      <c r="H22" s="9">
        <f t="shared" si="0"/>
        <v>6064800</v>
      </c>
      <c r="I22" s="106"/>
      <c r="J22" s="7" t="s">
        <v>61</v>
      </c>
    </row>
    <row r="23" spans="1:10" x14ac:dyDescent="0.35">
      <c r="A23" s="6">
        <f t="shared" si="1"/>
        <v>19</v>
      </c>
      <c r="B23" s="7" t="s">
        <v>26</v>
      </c>
      <c r="C23" s="7" t="s">
        <v>56</v>
      </c>
      <c r="D23" s="106"/>
      <c r="E23" s="7" t="s">
        <v>57</v>
      </c>
      <c r="F23" s="8">
        <v>560</v>
      </c>
      <c r="G23" s="9">
        <v>4130</v>
      </c>
      <c r="H23" s="9">
        <f t="shared" si="0"/>
        <v>2312800</v>
      </c>
      <c r="I23" s="106"/>
      <c r="J23" s="7" t="s">
        <v>64</v>
      </c>
    </row>
    <row r="24" spans="1:10" x14ac:dyDescent="0.35">
      <c r="A24" s="6">
        <f t="shared" si="1"/>
        <v>20</v>
      </c>
      <c r="B24" s="7" t="s">
        <v>26</v>
      </c>
      <c r="C24" s="7" t="s">
        <v>59</v>
      </c>
      <c r="D24" s="106"/>
      <c r="E24" s="7" t="s">
        <v>60</v>
      </c>
      <c r="F24" s="8">
        <v>100</v>
      </c>
      <c r="G24" s="9">
        <v>14500</v>
      </c>
      <c r="H24" s="9">
        <f t="shared" si="0"/>
        <v>1450000</v>
      </c>
      <c r="I24" s="106"/>
      <c r="J24" s="7" t="s">
        <v>67</v>
      </c>
    </row>
    <row r="25" spans="1:10" x14ac:dyDescent="0.35">
      <c r="A25" s="6">
        <f t="shared" si="1"/>
        <v>21</v>
      </c>
      <c r="B25" s="7" t="s">
        <v>26</v>
      </c>
      <c r="C25" s="7" t="s">
        <v>62</v>
      </c>
      <c r="D25" s="106"/>
      <c r="E25" s="7" t="s">
        <v>63</v>
      </c>
      <c r="F25" s="8">
        <v>150</v>
      </c>
      <c r="G25" s="9">
        <v>21480</v>
      </c>
      <c r="H25" s="9">
        <f t="shared" si="0"/>
        <v>3222000</v>
      </c>
      <c r="I25" s="106"/>
      <c r="J25" s="7" t="s">
        <v>70</v>
      </c>
    </row>
    <row r="26" spans="1:10" x14ac:dyDescent="0.35">
      <c r="A26" s="6">
        <f t="shared" si="1"/>
        <v>22</v>
      </c>
      <c r="B26" s="7" t="s">
        <v>26</v>
      </c>
      <c r="C26" s="7" t="s">
        <v>65</v>
      </c>
      <c r="D26" s="106"/>
      <c r="E26" s="7" t="s">
        <v>66</v>
      </c>
      <c r="F26" s="8">
        <v>50</v>
      </c>
      <c r="G26" s="9">
        <v>6160</v>
      </c>
      <c r="H26" s="9">
        <f t="shared" si="0"/>
        <v>308000</v>
      </c>
      <c r="I26" s="106"/>
      <c r="J26" s="7" t="s">
        <v>73</v>
      </c>
    </row>
    <row r="27" spans="1:10" s="25" customFormat="1" x14ac:dyDescent="0.35">
      <c r="A27" s="6">
        <f t="shared" si="1"/>
        <v>23</v>
      </c>
      <c r="B27" s="7" t="s">
        <v>26</v>
      </c>
      <c r="C27" s="7" t="s">
        <v>68</v>
      </c>
      <c r="D27" s="106"/>
      <c r="E27" s="7" t="s">
        <v>69</v>
      </c>
      <c r="F27" s="8">
        <v>50</v>
      </c>
      <c r="G27" s="9">
        <v>11500</v>
      </c>
      <c r="H27" s="9">
        <f t="shared" si="0"/>
        <v>575000</v>
      </c>
      <c r="I27" s="106"/>
      <c r="J27" s="10" t="e">
        <v>#N/A</v>
      </c>
    </row>
    <row r="28" spans="1:10" s="25" customFormat="1" x14ac:dyDescent="0.35">
      <c r="A28" s="6">
        <f t="shared" si="1"/>
        <v>24</v>
      </c>
      <c r="B28" s="7" t="s">
        <v>26</v>
      </c>
      <c r="C28" s="7" t="s">
        <v>71</v>
      </c>
      <c r="D28" s="106"/>
      <c r="E28" s="7" t="s">
        <v>72</v>
      </c>
      <c r="F28" s="8">
        <v>520</v>
      </c>
      <c r="G28" s="9">
        <v>11800</v>
      </c>
      <c r="H28" s="9">
        <f t="shared" si="0"/>
        <v>6136000</v>
      </c>
      <c r="I28" s="106"/>
      <c r="J28" s="10" t="e">
        <v>#N/A</v>
      </c>
    </row>
    <row r="29" spans="1:10" s="25" customFormat="1" x14ac:dyDescent="0.35">
      <c r="A29" s="6">
        <f t="shared" si="1"/>
        <v>25</v>
      </c>
      <c r="B29" s="22" t="s">
        <v>26</v>
      </c>
      <c r="C29" s="22" t="s">
        <v>74</v>
      </c>
      <c r="D29" s="106"/>
      <c r="E29" s="22" t="s">
        <v>75</v>
      </c>
      <c r="F29" s="23">
        <v>160</v>
      </c>
      <c r="G29" s="24">
        <v>8900</v>
      </c>
      <c r="H29" s="24">
        <f t="shared" si="0"/>
        <v>1424000</v>
      </c>
      <c r="I29" s="106"/>
      <c r="J29" s="10" t="s">
        <v>80</v>
      </c>
    </row>
    <row r="30" spans="1:10" x14ac:dyDescent="0.35">
      <c r="A30" s="6">
        <f t="shared" si="1"/>
        <v>26</v>
      </c>
      <c r="B30" s="22" t="s">
        <v>26</v>
      </c>
      <c r="C30" s="22" t="s">
        <v>76</v>
      </c>
      <c r="D30" s="106"/>
      <c r="E30" s="22" t="s">
        <v>77</v>
      </c>
      <c r="F30" s="23">
        <f>160+260</f>
        <v>420</v>
      </c>
      <c r="G30" s="24">
        <v>14500</v>
      </c>
      <c r="H30" s="24">
        <f t="shared" si="0"/>
        <v>6090000</v>
      </c>
      <c r="I30" s="106"/>
      <c r="J30" s="7" t="s">
        <v>83</v>
      </c>
    </row>
    <row r="31" spans="1:10" x14ac:dyDescent="0.35">
      <c r="A31" s="6">
        <f t="shared" si="1"/>
        <v>27</v>
      </c>
      <c r="B31" s="22" t="s">
        <v>26</v>
      </c>
      <c r="C31" s="22" t="s">
        <v>78</v>
      </c>
      <c r="D31" s="106"/>
      <c r="E31" s="22" t="s">
        <v>79</v>
      </c>
      <c r="F31" s="23">
        <f>300+90</f>
        <v>390</v>
      </c>
      <c r="G31" s="24">
        <v>9364</v>
      </c>
      <c r="H31" s="24">
        <f t="shared" si="0"/>
        <v>3651960</v>
      </c>
      <c r="I31" s="106"/>
      <c r="J31" s="7" t="s">
        <v>87</v>
      </c>
    </row>
    <row r="32" spans="1:10" x14ac:dyDescent="0.35">
      <c r="A32" s="6">
        <f t="shared" si="1"/>
        <v>28</v>
      </c>
      <c r="B32" s="7" t="s">
        <v>26</v>
      </c>
      <c r="C32" s="7" t="s">
        <v>81</v>
      </c>
      <c r="D32" s="106"/>
      <c r="E32" s="7" t="s">
        <v>82</v>
      </c>
      <c r="F32" s="8">
        <v>50</v>
      </c>
      <c r="G32" s="9">
        <v>15000</v>
      </c>
      <c r="H32" s="9">
        <f t="shared" si="0"/>
        <v>750000</v>
      </c>
      <c r="I32" s="106"/>
      <c r="J32" s="7" t="s">
        <v>90</v>
      </c>
    </row>
    <row r="33" spans="1:10" x14ac:dyDescent="0.35">
      <c r="A33" s="6">
        <f t="shared" si="1"/>
        <v>29</v>
      </c>
      <c r="B33" s="22" t="s">
        <v>26</v>
      </c>
      <c r="C33" s="22" t="s">
        <v>166</v>
      </c>
      <c r="D33" s="105"/>
      <c r="E33" s="22" t="s">
        <v>167</v>
      </c>
      <c r="F33" s="23">
        <v>560</v>
      </c>
      <c r="G33" s="24">
        <v>4660</v>
      </c>
      <c r="H33" s="24">
        <f t="shared" si="0"/>
        <v>2609600</v>
      </c>
      <c r="I33" s="105"/>
      <c r="J33" s="7" t="s">
        <v>93</v>
      </c>
    </row>
    <row r="34" spans="1:10" x14ac:dyDescent="0.35">
      <c r="A34" s="6">
        <f t="shared" si="1"/>
        <v>30</v>
      </c>
      <c r="B34" s="7" t="s">
        <v>85</v>
      </c>
      <c r="C34" s="7" t="s">
        <v>84</v>
      </c>
      <c r="D34" s="104" t="s">
        <v>85</v>
      </c>
      <c r="E34" s="7" t="s">
        <v>86</v>
      </c>
      <c r="F34" s="8">
        <v>80</v>
      </c>
      <c r="G34" s="9">
        <v>16780</v>
      </c>
      <c r="H34" s="9">
        <f t="shared" si="0"/>
        <v>1342400</v>
      </c>
      <c r="I34" s="110">
        <f>SUM(H34:H61)</f>
        <v>56884370</v>
      </c>
      <c r="J34" s="7" t="s">
        <v>96</v>
      </c>
    </row>
    <row r="35" spans="1:10" x14ac:dyDescent="0.35">
      <c r="A35" s="6">
        <f t="shared" si="1"/>
        <v>31</v>
      </c>
      <c r="B35" s="7" t="s">
        <v>85</v>
      </c>
      <c r="C35" s="7" t="s">
        <v>88</v>
      </c>
      <c r="D35" s="106"/>
      <c r="E35" s="7" t="s">
        <v>89</v>
      </c>
      <c r="F35" s="8">
        <v>300</v>
      </c>
      <c r="G35" s="9">
        <v>6543</v>
      </c>
      <c r="H35" s="9">
        <f t="shared" si="0"/>
        <v>1962900</v>
      </c>
      <c r="I35" s="106"/>
      <c r="J35" s="7" t="s">
        <v>99</v>
      </c>
    </row>
    <row r="36" spans="1:10" x14ac:dyDescent="0.35">
      <c r="A36" s="6">
        <f t="shared" si="1"/>
        <v>32</v>
      </c>
      <c r="B36" s="7" t="s">
        <v>85</v>
      </c>
      <c r="C36" s="7" t="s">
        <v>91</v>
      </c>
      <c r="D36" s="106"/>
      <c r="E36" s="7" t="s">
        <v>92</v>
      </c>
      <c r="F36" s="8">
        <v>200</v>
      </c>
      <c r="G36" s="9">
        <v>8284</v>
      </c>
      <c r="H36" s="9">
        <f t="shared" si="0"/>
        <v>1656800</v>
      </c>
      <c r="I36" s="106"/>
      <c r="J36" s="7" t="s">
        <v>102</v>
      </c>
    </row>
    <row r="37" spans="1:10" x14ac:dyDescent="0.35">
      <c r="A37" s="6">
        <f t="shared" si="1"/>
        <v>33</v>
      </c>
      <c r="B37" s="7" t="s">
        <v>85</v>
      </c>
      <c r="C37" s="7" t="s">
        <v>94</v>
      </c>
      <c r="D37" s="106"/>
      <c r="E37" s="7" t="s">
        <v>95</v>
      </c>
      <c r="F37" s="8">
        <v>200</v>
      </c>
      <c r="G37" s="9">
        <v>5840</v>
      </c>
      <c r="H37" s="9">
        <f t="shared" ref="H37:H68" si="2">F37*G37</f>
        <v>1168000</v>
      </c>
      <c r="I37" s="106"/>
      <c r="J37" s="7" t="s">
        <v>105</v>
      </c>
    </row>
    <row r="38" spans="1:10" x14ac:dyDescent="0.35">
      <c r="A38" s="6">
        <f t="shared" si="1"/>
        <v>34</v>
      </c>
      <c r="B38" s="7" t="s">
        <v>85</v>
      </c>
      <c r="C38" s="7" t="s">
        <v>97</v>
      </c>
      <c r="D38" s="106"/>
      <c r="E38" s="7" t="s">
        <v>98</v>
      </c>
      <c r="F38" s="8">
        <f>2200+100</f>
        <v>2300</v>
      </c>
      <c r="G38" s="9">
        <v>1160</v>
      </c>
      <c r="H38" s="9">
        <f t="shared" si="2"/>
        <v>2668000</v>
      </c>
      <c r="I38" s="106"/>
      <c r="J38" s="7" t="s">
        <v>108</v>
      </c>
    </row>
    <row r="39" spans="1:10" x14ac:dyDescent="0.35">
      <c r="A39" s="6">
        <f t="shared" si="1"/>
        <v>35</v>
      </c>
      <c r="B39" s="7" t="s">
        <v>85</v>
      </c>
      <c r="C39" s="7" t="s">
        <v>100</v>
      </c>
      <c r="D39" s="106"/>
      <c r="E39" s="7" t="s">
        <v>101</v>
      </c>
      <c r="F39" s="8">
        <v>200</v>
      </c>
      <c r="G39" s="9">
        <v>1730</v>
      </c>
      <c r="H39" s="9">
        <f t="shared" si="2"/>
        <v>346000</v>
      </c>
      <c r="I39" s="106"/>
      <c r="J39" s="7" t="s">
        <v>111</v>
      </c>
    </row>
    <row r="40" spans="1:10" x14ac:dyDescent="0.35">
      <c r="A40" s="6">
        <f t="shared" si="1"/>
        <v>36</v>
      </c>
      <c r="B40" s="7" t="s">
        <v>85</v>
      </c>
      <c r="C40" s="7" t="s">
        <v>103</v>
      </c>
      <c r="D40" s="106"/>
      <c r="E40" s="7" t="s">
        <v>104</v>
      </c>
      <c r="F40" s="8">
        <v>260</v>
      </c>
      <c r="G40" s="9">
        <v>11640</v>
      </c>
      <c r="H40" s="9">
        <f t="shared" si="2"/>
        <v>3026400</v>
      </c>
      <c r="I40" s="106"/>
      <c r="J40" s="7" t="s">
        <v>114</v>
      </c>
    </row>
    <row r="41" spans="1:10" x14ac:dyDescent="0.35">
      <c r="A41" s="6">
        <f t="shared" si="1"/>
        <v>37</v>
      </c>
      <c r="B41" s="7" t="s">
        <v>85</v>
      </c>
      <c r="C41" s="7" t="s">
        <v>106</v>
      </c>
      <c r="D41" s="106"/>
      <c r="E41" s="7" t="s">
        <v>107</v>
      </c>
      <c r="F41" s="8">
        <v>900</v>
      </c>
      <c r="G41" s="9">
        <v>1649</v>
      </c>
      <c r="H41" s="9">
        <f t="shared" si="2"/>
        <v>1484100</v>
      </c>
      <c r="I41" s="106"/>
      <c r="J41" s="7" t="s">
        <v>117</v>
      </c>
    </row>
    <row r="42" spans="1:10" x14ac:dyDescent="0.35">
      <c r="A42" s="6">
        <f t="shared" si="1"/>
        <v>38</v>
      </c>
      <c r="B42" s="7" t="s">
        <v>85</v>
      </c>
      <c r="C42" s="7" t="s">
        <v>109</v>
      </c>
      <c r="D42" s="106"/>
      <c r="E42" s="7" t="s">
        <v>110</v>
      </c>
      <c r="F42" s="8">
        <v>500</v>
      </c>
      <c r="G42" s="9">
        <v>4760</v>
      </c>
      <c r="H42" s="9">
        <f t="shared" si="2"/>
        <v>2380000</v>
      </c>
      <c r="I42" s="106"/>
      <c r="J42" s="7" t="s">
        <v>120</v>
      </c>
    </row>
    <row r="43" spans="1:10" x14ac:dyDescent="0.35">
      <c r="A43" s="6">
        <f t="shared" si="1"/>
        <v>39</v>
      </c>
      <c r="B43" s="7" t="s">
        <v>85</v>
      </c>
      <c r="C43" s="7" t="s">
        <v>112</v>
      </c>
      <c r="D43" s="106"/>
      <c r="E43" s="7" t="s">
        <v>113</v>
      </c>
      <c r="F43" s="8">
        <v>800</v>
      </c>
      <c r="G43" s="9">
        <v>5800</v>
      </c>
      <c r="H43" s="9">
        <f t="shared" si="2"/>
        <v>4640000</v>
      </c>
      <c r="I43" s="106"/>
      <c r="J43" s="7" t="s">
        <v>123</v>
      </c>
    </row>
    <row r="44" spans="1:10" x14ac:dyDescent="0.35">
      <c r="A44" s="6">
        <f t="shared" si="1"/>
        <v>40</v>
      </c>
      <c r="B44" s="7" t="s">
        <v>85</v>
      </c>
      <c r="C44" s="7" t="s">
        <v>115</v>
      </c>
      <c r="D44" s="106"/>
      <c r="E44" s="7" t="s">
        <v>116</v>
      </c>
      <c r="F44" s="8">
        <v>100</v>
      </c>
      <c r="G44" s="9">
        <v>13483</v>
      </c>
      <c r="H44" s="9">
        <f t="shared" si="2"/>
        <v>1348300</v>
      </c>
      <c r="I44" s="106"/>
      <c r="J44" s="7" t="s">
        <v>126</v>
      </c>
    </row>
    <row r="45" spans="1:10" x14ac:dyDescent="0.35">
      <c r="A45" s="6">
        <f t="shared" si="1"/>
        <v>41</v>
      </c>
      <c r="B45" s="7" t="s">
        <v>85</v>
      </c>
      <c r="C45" s="7" t="s">
        <v>118</v>
      </c>
      <c r="D45" s="106"/>
      <c r="E45" s="7" t="s">
        <v>119</v>
      </c>
      <c r="F45" s="8">
        <v>1300</v>
      </c>
      <c r="G45" s="9">
        <v>3482</v>
      </c>
      <c r="H45" s="9">
        <f t="shared" si="2"/>
        <v>4526600</v>
      </c>
      <c r="I45" s="106"/>
      <c r="J45" s="7" t="s">
        <v>129</v>
      </c>
    </row>
    <row r="46" spans="1:10" x14ac:dyDescent="0.35">
      <c r="A46" s="6">
        <f t="shared" si="1"/>
        <v>42</v>
      </c>
      <c r="B46" s="7" t="s">
        <v>85</v>
      </c>
      <c r="C46" s="7" t="s">
        <v>121</v>
      </c>
      <c r="D46" s="106"/>
      <c r="E46" s="7" t="s">
        <v>122</v>
      </c>
      <c r="F46" s="8">
        <v>210</v>
      </c>
      <c r="G46" s="9">
        <v>4753</v>
      </c>
      <c r="H46" s="9">
        <f t="shared" si="2"/>
        <v>998130</v>
      </c>
      <c r="I46" s="106"/>
      <c r="J46" s="7" t="s">
        <v>132</v>
      </c>
    </row>
    <row r="47" spans="1:10" x14ac:dyDescent="0.35">
      <c r="A47" s="6">
        <f t="shared" si="1"/>
        <v>43</v>
      </c>
      <c r="B47" s="7" t="s">
        <v>85</v>
      </c>
      <c r="C47" s="7" t="s">
        <v>124</v>
      </c>
      <c r="D47" s="106"/>
      <c r="E47" s="7" t="s">
        <v>125</v>
      </c>
      <c r="F47" s="8">
        <v>160</v>
      </c>
      <c r="G47" s="9">
        <v>3798</v>
      </c>
      <c r="H47" s="9">
        <f t="shared" si="2"/>
        <v>607680</v>
      </c>
      <c r="I47" s="106"/>
      <c r="J47" s="7" t="s">
        <v>135</v>
      </c>
    </row>
    <row r="48" spans="1:10" x14ac:dyDescent="0.35">
      <c r="A48" s="6">
        <f t="shared" si="1"/>
        <v>44</v>
      </c>
      <c r="B48" s="7" t="s">
        <v>85</v>
      </c>
      <c r="C48" s="7" t="s">
        <v>127</v>
      </c>
      <c r="D48" s="106"/>
      <c r="E48" s="7" t="s">
        <v>128</v>
      </c>
      <c r="F48" s="8">
        <v>200</v>
      </c>
      <c r="G48" s="9">
        <v>2015</v>
      </c>
      <c r="H48" s="9">
        <f t="shared" si="2"/>
        <v>403000</v>
      </c>
      <c r="I48" s="106"/>
      <c r="J48" s="7" t="s">
        <v>138</v>
      </c>
    </row>
    <row r="49" spans="1:10" x14ac:dyDescent="0.35">
      <c r="A49" s="6">
        <f t="shared" si="1"/>
        <v>45</v>
      </c>
      <c r="B49" s="7" t="s">
        <v>85</v>
      </c>
      <c r="C49" s="7" t="s">
        <v>130</v>
      </c>
      <c r="D49" s="106"/>
      <c r="E49" s="7" t="s">
        <v>131</v>
      </c>
      <c r="F49" s="8">
        <f>150+250</f>
        <v>400</v>
      </c>
      <c r="G49" s="9">
        <v>13871</v>
      </c>
      <c r="H49" s="9">
        <f t="shared" si="2"/>
        <v>5548400</v>
      </c>
      <c r="I49" s="106"/>
      <c r="J49" s="7" t="s">
        <v>141</v>
      </c>
    </row>
    <row r="50" spans="1:10" x14ac:dyDescent="0.35">
      <c r="A50" s="6">
        <f t="shared" si="1"/>
        <v>46</v>
      </c>
      <c r="B50" s="7" t="s">
        <v>85</v>
      </c>
      <c r="C50" s="7" t="s">
        <v>133</v>
      </c>
      <c r="D50" s="106"/>
      <c r="E50" s="7" t="s">
        <v>134</v>
      </c>
      <c r="F50" s="8">
        <v>700</v>
      </c>
      <c r="G50" s="9">
        <v>10300</v>
      </c>
      <c r="H50" s="9">
        <f t="shared" si="2"/>
        <v>7210000</v>
      </c>
      <c r="I50" s="106"/>
      <c r="J50" s="7" t="s">
        <v>144</v>
      </c>
    </row>
    <row r="51" spans="1:10" x14ac:dyDescent="0.35">
      <c r="A51" s="6">
        <f t="shared" si="1"/>
        <v>47</v>
      </c>
      <c r="B51" s="7" t="s">
        <v>85</v>
      </c>
      <c r="C51" s="7" t="s">
        <v>136</v>
      </c>
      <c r="D51" s="106"/>
      <c r="E51" s="7" t="s">
        <v>137</v>
      </c>
      <c r="F51" s="8">
        <v>260</v>
      </c>
      <c r="G51" s="9">
        <v>3185</v>
      </c>
      <c r="H51" s="9">
        <f t="shared" si="2"/>
        <v>828100</v>
      </c>
      <c r="I51" s="106"/>
      <c r="J51" s="7" t="s">
        <v>147</v>
      </c>
    </row>
    <row r="52" spans="1:10" x14ac:dyDescent="0.35">
      <c r="A52" s="6">
        <f t="shared" si="1"/>
        <v>48</v>
      </c>
      <c r="B52" s="7" t="s">
        <v>85</v>
      </c>
      <c r="C52" s="7" t="s">
        <v>139</v>
      </c>
      <c r="D52" s="106"/>
      <c r="E52" s="7" t="s">
        <v>140</v>
      </c>
      <c r="F52" s="8">
        <v>500</v>
      </c>
      <c r="G52" s="9">
        <v>8720</v>
      </c>
      <c r="H52" s="9">
        <f t="shared" si="2"/>
        <v>4360000</v>
      </c>
      <c r="I52" s="106"/>
      <c r="J52" s="7" t="s">
        <v>150</v>
      </c>
    </row>
    <row r="53" spans="1:10" x14ac:dyDescent="0.35">
      <c r="A53" s="6">
        <f t="shared" si="1"/>
        <v>49</v>
      </c>
      <c r="B53" s="7" t="s">
        <v>85</v>
      </c>
      <c r="C53" s="7" t="s">
        <v>142</v>
      </c>
      <c r="D53" s="106"/>
      <c r="E53" s="7" t="s">
        <v>143</v>
      </c>
      <c r="F53" s="8">
        <v>100</v>
      </c>
      <c r="G53" s="9">
        <v>2793</v>
      </c>
      <c r="H53" s="9">
        <f t="shared" si="2"/>
        <v>279300</v>
      </c>
      <c r="I53" s="106"/>
      <c r="J53" s="7" t="s">
        <v>153</v>
      </c>
    </row>
    <row r="54" spans="1:10" x14ac:dyDescent="0.35">
      <c r="A54" s="6">
        <f t="shared" si="1"/>
        <v>50</v>
      </c>
      <c r="B54" s="7" t="s">
        <v>85</v>
      </c>
      <c r="C54" s="7" t="s">
        <v>145</v>
      </c>
      <c r="D54" s="106"/>
      <c r="E54" s="7" t="s">
        <v>146</v>
      </c>
      <c r="F54" s="8">
        <v>100</v>
      </c>
      <c r="G54" s="9">
        <v>1746</v>
      </c>
      <c r="H54" s="9">
        <f t="shared" si="2"/>
        <v>174600</v>
      </c>
      <c r="I54" s="106"/>
      <c r="J54" s="7" t="s">
        <v>156</v>
      </c>
    </row>
    <row r="55" spans="1:10" x14ac:dyDescent="0.35">
      <c r="A55" s="6">
        <f t="shared" si="1"/>
        <v>51</v>
      </c>
      <c r="B55" s="7" t="s">
        <v>85</v>
      </c>
      <c r="C55" s="7" t="s">
        <v>148</v>
      </c>
      <c r="D55" s="106"/>
      <c r="E55" s="7" t="s">
        <v>149</v>
      </c>
      <c r="F55" s="8">
        <v>520</v>
      </c>
      <c r="G55" s="9">
        <v>6305</v>
      </c>
      <c r="H55" s="9">
        <f t="shared" si="2"/>
        <v>3278600</v>
      </c>
      <c r="I55" s="106"/>
      <c r="J55" s="7" t="s">
        <v>159</v>
      </c>
    </row>
    <row r="56" spans="1:10" x14ac:dyDescent="0.35">
      <c r="A56" s="6">
        <f t="shared" si="1"/>
        <v>52</v>
      </c>
      <c r="B56" s="7" t="s">
        <v>85</v>
      </c>
      <c r="C56" s="7" t="s">
        <v>151</v>
      </c>
      <c r="D56" s="106"/>
      <c r="E56" s="7" t="s">
        <v>152</v>
      </c>
      <c r="F56" s="8">
        <v>400</v>
      </c>
      <c r="G56" s="9">
        <v>2279</v>
      </c>
      <c r="H56" s="9">
        <f t="shared" si="2"/>
        <v>911600</v>
      </c>
      <c r="I56" s="106"/>
      <c r="J56" s="7" t="s">
        <v>162</v>
      </c>
    </row>
    <row r="57" spans="1:10" x14ac:dyDescent="0.35">
      <c r="A57" s="6">
        <f t="shared" si="1"/>
        <v>53</v>
      </c>
      <c r="B57" s="7" t="s">
        <v>85</v>
      </c>
      <c r="C57" s="7" t="s">
        <v>154</v>
      </c>
      <c r="D57" s="106"/>
      <c r="E57" s="7" t="s">
        <v>155</v>
      </c>
      <c r="F57" s="8">
        <v>400</v>
      </c>
      <c r="G57" s="9">
        <v>2058</v>
      </c>
      <c r="H57" s="9">
        <f t="shared" si="2"/>
        <v>823200</v>
      </c>
      <c r="I57" s="106"/>
      <c r="J57" s="7" t="s">
        <v>165</v>
      </c>
    </row>
    <row r="58" spans="1:10" s="25" customFormat="1" x14ac:dyDescent="0.35">
      <c r="A58" s="6">
        <f t="shared" si="1"/>
        <v>54</v>
      </c>
      <c r="B58" s="7" t="s">
        <v>85</v>
      </c>
      <c r="C58" s="7" t="s">
        <v>157</v>
      </c>
      <c r="D58" s="106"/>
      <c r="E58" s="7" t="s">
        <v>158</v>
      </c>
      <c r="F58" s="8">
        <v>60</v>
      </c>
      <c r="G58" s="9">
        <v>5351</v>
      </c>
      <c r="H58" s="9">
        <f t="shared" si="2"/>
        <v>321060</v>
      </c>
      <c r="I58" s="106"/>
      <c r="J58" s="10" t="s">
        <v>168</v>
      </c>
    </row>
    <row r="59" spans="1:10" s="25" customFormat="1" x14ac:dyDescent="0.35">
      <c r="A59" s="6">
        <f t="shared" si="1"/>
        <v>55</v>
      </c>
      <c r="B59" s="7" t="s">
        <v>85</v>
      </c>
      <c r="C59" s="7" t="s">
        <v>160</v>
      </c>
      <c r="D59" s="106"/>
      <c r="E59" s="7" t="s">
        <v>161</v>
      </c>
      <c r="F59" s="8">
        <v>900</v>
      </c>
      <c r="G59" s="9">
        <v>3626</v>
      </c>
      <c r="H59" s="9">
        <f t="shared" si="2"/>
        <v>3263400</v>
      </c>
      <c r="I59" s="106"/>
      <c r="J59" s="10" t="e">
        <v>#N/A</v>
      </c>
    </row>
    <row r="60" spans="1:10" s="15" customFormat="1" x14ac:dyDescent="0.35">
      <c r="A60" s="6">
        <f t="shared" si="1"/>
        <v>56</v>
      </c>
      <c r="B60" s="7" t="s">
        <v>85</v>
      </c>
      <c r="C60" s="7" t="s">
        <v>163</v>
      </c>
      <c r="D60" s="106"/>
      <c r="E60" s="7" t="s">
        <v>164</v>
      </c>
      <c r="F60" s="8">
        <v>240</v>
      </c>
      <c r="G60" s="9">
        <v>2500</v>
      </c>
      <c r="H60" s="9">
        <f t="shared" si="2"/>
        <v>600000</v>
      </c>
      <c r="I60" s="106"/>
      <c r="J60" s="14" t="e">
        <v>#N/A</v>
      </c>
    </row>
    <row r="61" spans="1:10" s="15" customFormat="1" x14ac:dyDescent="0.35">
      <c r="A61" s="6">
        <f t="shared" si="1"/>
        <v>57</v>
      </c>
      <c r="B61" s="22" t="s">
        <v>85</v>
      </c>
      <c r="C61" s="22" t="s">
        <v>169</v>
      </c>
      <c r="D61" s="105"/>
      <c r="E61" s="22" t="s">
        <v>170</v>
      </c>
      <c r="F61" s="23">
        <v>60</v>
      </c>
      <c r="G61" s="24">
        <v>12130</v>
      </c>
      <c r="H61" s="24">
        <f t="shared" si="2"/>
        <v>727800</v>
      </c>
      <c r="I61" s="105"/>
      <c r="J61" s="14" t="e">
        <v>#N/A</v>
      </c>
    </row>
    <row r="62" spans="1:10" x14ac:dyDescent="0.35">
      <c r="A62" s="6">
        <f t="shared" si="1"/>
        <v>58</v>
      </c>
      <c r="B62" s="7" t="s">
        <v>189</v>
      </c>
      <c r="C62" s="7" t="s">
        <v>188</v>
      </c>
      <c r="D62" s="104" t="s">
        <v>189</v>
      </c>
      <c r="E62" s="7" t="s">
        <v>190</v>
      </c>
      <c r="F62" s="8">
        <v>1700</v>
      </c>
      <c r="G62" s="9">
        <v>900</v>
      </c>
      <c r="H62" s="9">
        <f t="shared" si="2"/>
        <v>1530000</v>
      </c>
      <c r="I62" s="110">
        <f>SUM(H62:H68)</f>
        <v>14839500</v>
      </c>
      <c r="J62" s="7" t="s">
        <v>178</v>
      </c>
    </row>
    <row r="63" spans="1:10" x14ac:dyDescent="0.35">
      <c r="A63" s="6">
        <f t="shared" si="1"/>
        <v>59</v>
      </c>
      <c r="B63" s="7" t="s">
        <v>189</v>
      </c>
      <c r="C63" s="7" t="s">
        <v>192</v>
      </c>
      <c r="D63" s="106"/>
      <c r="E63" s="7" t="s">
        <v>193</v>
      </c>
      <c r="F63" s="8">
        <f>1800+1000</f>
        <v>2800</v>
      </c>
      <c r="G63" s="9">
        <v>800</v>
      </c>
      <c r="H63" s="9">
        <f t="shared" si="2"/>
        <v>2240000</v>
      </c>
      <c r="I63" s="106"/>
      <c r="J63" s="7" t="s">
        <v>181</v>
      </c>
    </row>
    <row r="64" spans="1:10" x14ac:dyDescent="0.35">
      <c r="A64" s="6">
        <f t="shared" si="1"/>
        <v>60</v>
      </c>
      <c r="B64" s="7" t="s">
        <v>189</v>
      </c>
      <c r="C64" s="7" t="s">
        <v>195</v>
      </c>
      <c r="D64" s="106"/>
      <c r="E64" s="7" t="s">
        <v>196</v>
      </c>
      <c r="F64" s="8">
        <v>600</v>
      </c>
      <c r="G64" s="9">
        <v>1600</v>
      </c>
      <c r="H64" s="9">
        <f t="shared" si="2"/>
        <v>960000</v>
      </c>
      <c r="I64" s="106"/>
      <c r="J64" s="7" t="s">
        <v>184</v>
      </c>
    </row>
    <row r="65" spans="1:10" x14ac:dyDescent="0.35">
      <c r="A65" s="6">
        <f t="shared" si="1"/>
        <v>61</v>
      </c>
      <c r="B65" s="7" t="s">
        <v>189</v>
      </c>
      <c r="C65" s="7" t="s">
        <v>198</v>
      </c>
      <c r="D65" s="106"/>
      <c r="E65" s="7" t="s">
        <v>199</v>
      </c>
      <c r="F65" s="8">
        <f>250+165</f>
        <v>415</v>
      </c>
      <c r="G65" s="9">
        <v>14900</v>
      </c>
      <c r="H65" s="9">
        <f t="shared" si="2"/>
        <v>6183500</v>
      </c>
      <c r="I65" s="106"/>
      <c r="J65" s="7" t="s">
        <v>187</v>
      </c>
    </row>
    <row r="66" spans="1:10" x14ac:dyDescent="0.35">
      <c r="A66" s="6">
        <f t="shared" si="1"/>
        <v>62</v>
      </c>
      <c r="B66" s="7" t="s">
        <v>189</v>
      </c>
      <c r="C66" s="7" t="s">
        <v>201</v>
      </c>
      <c r="D66" s="106"/>
      <c r="E66" s="7" t="s">
        <v>202</v>
      </c>
      <c r="F66" s="8">
        <v>3260</v>
      </c>
      <c r="G66" s="9">
        <v>500</v>
      </c>
      <c r="H66" s="9">
        <f t="shared" si="2"/>
        <v>1630000</v>
      </c>
      <c r="I66" s="106"/>
      <c r="J66" s="7" t="s">
        <v>191</v>
      </c>
    </row>
    <row r="67" spans="1:10" x14ac:dyDescent="0.35">
      <c r="A67" s="6">
        <f t="shared" si="1"/>
        <v>63</v>
      </c>
      <c r="B67" s="7" t="s">
        <v>189</v>
      </c>
      <c r="C67" s="7" t="s">
        <v>204</v>
      </c>
      <c r="D67" s="106"/>
      <c r="E67" s="7" t="s">
        <v>205</v>
      </c>
      <c r="F67" s="8">
        <v>80</v>
      </c>
      <c r="G67" s="9">
        <v>4900</v>
      </c>
      <c r="H67" s="9">
        <f t="shared" si="2"/>
        <v>392000</v>
      </c>
      <c r="I67" s="106"/>
      <c r="J67" s="7" t="s">
        <v>194</v>
      </c>
    </row>
    <row r="68" spans="1:10" x14ac:dyDescent="0.35">
      <c r="A68" s="6">
        <f t="shared" si="1"/>
        <v>64</v>
      </c>
      <c r="B68" s="7" t="s">
        <v>189</v>
      </c>
      <c r="C68" s="7" t="s">
        <v>207</v>
      </c>
      <c r="D68" s="105"/>
      <c r="E68" s="7" t="s">
        <v>208</v>
      </c>
      <c r="F68" s="8">
        <v>560</v>
      </c>
      <c r="G68" s="9">
        <v>3400</v>
      </c>
      <c r="H68" s="9">
        <f t="shared" si="2"/>
        <v>1904000</v>
      </c>
      <c r="I68" s="105"/>
      <c r="J68" s="7" t="s">
        <v>197</v>
      </c>
    </row>
    <row r="69" spans="1:10" x14ac:dyDescent="0.35">
      <c r="A69" s="6">
        <f t="shared" si="1"/>
        <v>65</v>
      </c>
      <c r="B69" s="11" t="s">
        <v>172</v>
      </c>
      <c r="C69" s="11" t="s">
        <v>171</v>
      </c>
      <c r="D69" s="107" t="s">
        <v>172</v>
      </c>
      <c r="E69" s="11" t="s">
        <v>173</v>
      </c>
      <c r="F69" s="12">
        <f>40+45+1250</f>
        <v>1335</v>
      </c>
      <c r="G69" s="13">
        <v>18600</v>
      </c>
      <c r="H69" s="13">
        <f t="shared" ref="H69:H100" si="3">F69*G69</f>
        <v>24831000</v>
      </c>
      <c r="I69" s="112">
        <f>SUM(H69:H74)</f>
        <v>62121525</v>
      </c>
      <c r="J69" s="7" t="s">
        <v>200</v>
      </c>
    </row>
    <row r="70" spans="1:10" x14ac:dyDescent="0.35">
      <c r="A70" s="6">
        <f t="shared" si="1"/>
        <v>66</v>
      </c>
      <c r="B70" s="11" t="s">
        <v>172</v>
      </c>
      <c r="C70" s="11" t="s">
        <v>174</v>
      </c>
      <c r="D70" s="108"/>
      <c r="E70" s="11" t="s">
        <v>175</v>
      </c>
      <c r="F70" s="12">
        <f>150+150+1700</f>
        <v>2000</v>
      </c>
      <c r="G70" s="13">
        <v>17500</v>
      </c>
      <c r="H70" s="13">
        <f t="shared" si="3"/>
        <v>35000000</v>
      </c>
      <c r="I70" s="108"/>
      <c r="J70" s="7" t="s">
        <v>203</v>
      </c>
    </row>
    <row r="71" spans="1:10" x14ac:dyDescent="0.35">
      <c r="A71" s="6">
        <f t="shared" ref="A71:A134" si="4">A70+1</f>
        <v>67</v>
      </c>
      <c r="B71" s="7" t="s">
        <v>172</v>
      </c>
      <c r="C71" s="7" t="s">
        <v>176</v>
      </c>
      <c r="D71" s="108"/>
      <c r="E71" s="7" t="s">
        <v>177</v>
      </c>
      <c r="F71" s="8">
        <v>100</v>
      </c>
      <c r="G71" s="9">
        <v>4200</v>
      </c>
      <c r="H71" s="9">
        <f t="shared" si="3"/>
        <v>420000</v>
      </c>
      <c r="I71" s="108"/>
      <c r="J71" s="7" t="s">
        <v>206</v>
      </c>
    </row>
    <row r="72" spans="1:10" x14ac:dyDescent="0.35">
      <c r="A72" s="6">
        <f t="shared" si="4"/>
        <v>68</v>
      </c>
      <c r="B72" s="7" t="s">
        <v>172</v>
      </c>
      <c r="C72" s="7" t="s">
        <v>179</v>
      </c>
      <c r="D72" s="108"/>
      <c r="E72" s="7" t="s">
        <v>180</v>
      </c>
      <c r="F72" s="8">
        <v>100</v>
      </c>
      <c r="G72" s="9">
        <v>6300</v>
      </c>
      <c r="H72" s="9">
        <f t="shared" si="3"/>
        <v>630000</v>
      </c>
      <c r="I72" s="108"/>
      <c r="J72" s="7" t="s">
        <v>209</v>
      </c>
    </row>
    <row r="73" spans="1:10" x14ac:dyDescent="0.35">
      <c r="A73" s="6">
        <f t="shared" si="4"/>
        <v>69</v>
      </c>
      <c r="B73" s="7" t="s">
        <v>172</v>
      </c>
      <c r="C73" s="7" t="s">
        <v>182</v>
      </c>
      <c r="D73" s="108"/>
      <c r="E73" s="7" t="s">
        <v>183</v>
      </c>
      <c r="F73" s="8">
        <v>100</v>
      </c>
      <c r="G73" s="9">
        <v>7000</v>
      </c>
      <c r="H73" s="9">
        <f t="shared" si="3"/>
        <v>700000</v>
      </c>
      <c r="I73" s="108"/>
      <c r="J73" s="7" t="s">
        <v>213</v>
      </c>
    </row>
    <row r="74" spans="1:10" x14ac:dyDescent="0.35">
      <c r="A74" s="6">
        <f t="shared" si="4"/>
        <v>70</v>
      </c>
      <c r="B74" s="7" t="s">
        <v>172</v>
      </c>
      <c r="C74" s="7" t="s">
        <v>185</v>
      </c>
      <c r="D74" s="109"/>
      <c r="E74" s="7" t="s">
        <v>186</v>
      </c>
      <c r="F74" s="8">
        <v>25</v>
      </c>
      <c r="G74" s="9">
        <v>21621</v>
      </c>
      <c r="H74" s="9">
        <f t="shared" si="3"/>
        <v>540525</v>
      </c>
      <c r="I74" s="109"/>
      <c r="J74" s="7" t="s">
        <v>216</v>
      </c>
    </row>
    <row r="75" spans="1:10" s="15" customFormat="1" x14ac:dyDescent="0.35">
      <c r="A75" s="6">
        <f t="shared" si="4"/>
        <v>71</v>
      </c>
      <c r="B75" s="7" t="s">
        <v>211</v>
      </c>
      <c r="C75" s="7" t="s">
        <v>210</v>
      </c>
      <c r="D75" s="104" t="s">
        <v>211</v>
      </c>
      <c r="E75" s="7" t="s">
        <v>212</v>
      </c>
      <c r="F75" s="8">
        <v>150</v>
      </c>
      <c r="G75" s="9">
        <v>340</v>
      </c>
      <c r="H75" s="9">
        <f t="shared" si="3"/>
        <v>51000</v>
      </c>
      <c r="I75" s="110">
        <f>SUM(H75:H83)</f>
        <v>35084000</v>
      </c>
      <c r="J75" s="14" t="e">
        <v>#N/A</v>
      </c>
    </row>
    <row r="76" spans="1:10" x14ac:dyDescent="0.35">
      <c r="A76" s="6">
        <f t="shared" si="4"/>
        <v>72</v>
      </c>
      <c r="B76" s="7" t="s">
        <v>211</v>
      </c>
      <c r="C76" s="7" t="s">
        <v>214</v>
      </c>
      <c r="D76" s="106"/>
      <c r="E76" s="7" t="s">
        <v>215</v>
      </c>
      <c r="F76" s="8">
        <f>320+20</f>
        <v>340</v>
      </c>
      <c r="G76" s="9">
        <v>7100</v>
      </c>
      <c r="H76" s="9">
        <f t="shared" si="3"/>
        <v>2414000</v>
      </c>
      <c r="I76" s="106"/>
      <c r="J76" s="7" t="s">
        <v>221</v>
      </c>
    </row>
    <row r="77" spans="1:10" x14ac:dyDescent="0.35">
      <c r="A77" s="6">
        <f t="shared" si="4"/>
        <v>73</v>
      </c>
      <c r="B77" s="11" t="s">
        <v>211</v>
      </c>
      <c r="C77" s="11" t="s">
        <v>217</v>
      </c>
      <c r="D77" s="106"/>
      <c r="E77" s="11" t="s">
        <v>218</v>
      </c>
      <c r="F77" s="12">
        <v>220</v>
      </c>
      <c r="G77" s="13">
        <v>1500</v>
      </c>
      <c r="H77" s="13">
        <f t="shared" si="3"/>
        <v>330000</v>
      </c>
      <c r="I77" s="106"/>
      <c r="J77" s="7" t="s">
        <v>224</v>
      </c>
    </row>
    <row r="78" spans="1:10" x14ac:dyDescent="0.35">
      <c r="A78" s="6">
        <f t="shared" si="4"/>
        <v>74</v>
      </c>
      <c r="B78" s="7" t="s">
        <v>211</v>
      </c>
      <c r="C78" s="7" t="s">
        <v>219</v>
      </c>
      <c r="D78" s="106"/>
      <c r="E78" s="7" t="s">
        <v>220</v>
      </c>
      <c r="F78" s="8">
        <f>680+490</f>
        <v>1170</v>
      </c>
      <c r="G78" s="9">
        <v>7000</v>
      </c>
      <c r="H78" s="9">
        <f t="shared" si="3"/>
        <v>8190000</v>
      </c>
      <c r="I78" s="106"/>
      <c r="J78" s="7" t="s">
        <v>227</v>
      </c>
    </row>
    <row r="79" spans="1:10" x14ac:dyDescent="0.35">
      <c r="A79" s="6">
        <f t="shared" si="4"/>
        <v>75</v>
      </c>
      <c r="B79" s="7" t="s">
        <v>211</v>
      </c>
      <c r="C79" s="7" t="s">
        <v>222</v>
      </c>
      <c r="D79" s="106"/>
      <c r="E79" s="7" t="s">
        <v>223</v>
      </c>
      <c r="F79" s="8">
        <v>300</v>
      </c>
      <c r="G79" s="9">
        <v>12300</v>
      </c>
      <c r="H79" s="9">
        <f t="shared" si="3"/>
        <v>3690000</v>
      </c>
      <c r="I79" s="106"/>
      <c r="J79" s="7" t="s">
        <v>230</v>
      </c>
    </row>
    <row r="80" spans="1:10" x14ac:dyDescent="0.35">
      <c r="A80" s="6">
        <f t="shared" si="4"/>
        <v>76</v>
      </c>
      <c r="B80" s="7" t="s">
        <v>211</v>
      </c>
      <c r="C80" s="7" t="s">
        <v>225</v>
      </c>
      <c r="D80" s="106"/>
      <c r="E80" s="7" t="s">
        <v>226</v>
      </c>
      <c r="F80" s="8">
        <v>600</v>
      </c>
      <c r="G80" s="9">
        <v>5800</v>
      </c>
      <c r="H80" s="9">
        <f t="shared" si="3"/>
        <v>3480000</v>
      </c>
      <c r="I80" s="106"/>
      <c r="J80" s="7" t="s">
        <v>233</v>
      </c>
    </row>
    <row r="81" spans="1:10" s="15" customFormat="1" x14ac:dyDescent="0.35">
      <c r="A81" s="6">
        <f t="shared" si="4"/>
        <v>77</v>
      </c>
      <c r="B81" s="7" t="s">
        <v>211</v>
      </c>
      <c r="C81" s="7" t="s">
        <v>228</v>
      </c>
      <c r="D81" s="106"/>
      <c r="E81" s="7" t="s">
        <v>229</v>
      </c>
      <c r="F81" s="8">
        <v>150</v>
      </c>
      <c r="G81" s="9">
        <v>1900</v>
      </c>
      <c r="H81" s="9">
        <f t="shared" si="3"/>
        <v>285000</v>
      </c>
      <c r="I81" s="106"/>
      <c r="J81" s="14" t="e">
        <v>#N/A</v>
      </c>
    </row>
    <row r="82" spans="1:10" x14ac:dyDescent="0.35">
      <c r="A82" s="6">
        <f t="shared" si="4"/>
        <v>78</v>
      </c>
      <c r="B82" s="7" t="s">
        <v>211</v>
      </c>
      <c r="C82" s="7" t="s">
        <v>231</v>
      </c>
      <c r="D82" s="106"/>
      <c r="E82" s="7" t="s">
        <v>232</v>
      </c>
      <c r="F82" s="8">
        <f>130+600+1000</f>
        <v>1730</v>
      </c>
      <c r="G82" s="9">
        <v>7300</v>
      </c>
      <c r="H82" s="9">
        <f t="shared" si="3"/>
        <v>12629000</v>
      </c>
      <c r="I82" s="106"/>
      <c r="J82" s="7" t="s">
        <v>239</v>
      </c>
    </row>
    <row r="83" spans="1:10" x14ac:dyDescent="0.35">
      <c r="A83" s="6">
        <f t="shared" si="4"/>
        <v>79</v>
      </c>
      <c r="B83" s="11" t="s">
        <v>211</v>
      </c>
      <c r="C83" s="11" t="s">
        <v>234</v>
      </c>
      <c r="D83" s="105"/>
      <c r="E83" s="11" t="s">
        <v>235</v>
      </c>
      <c r="F83" s="12">
        <v>550</v>
      </c>
      <c r="G83" s="13">
        <v>7300</v>
      </c>
      <c r="H83" s="13">
        <f t="shared" si="3"/>
        <v>4015000</v>
      </c>
      <c r="I83" s="105"/>
      <c r="J83" s="7" t="s">
        <v>242</v>
      </c>
    </row>
    <row r="84" spans="1:10" x14ac:dyDescent="0.35">
      <c r="A84" s="6">
        <f t="shared" si="4"/>
        <v>80</v>
      </c>
      <c r="B84" s="7" t="s">
        <v>237</v>
      </c>
      <c r="C84" s="7" t="s">
        <v>236</v>
      </c>
      <c r="D84" s="104" t="s">
        <v>237</v>
      </c>
      <c r="E84" s="7" t="s">
        <v>238</v>
      </c>
      <c r="F84" s="8">
        <v>50</v>
      </c>
      <c r="G84" s="9">
        <v>20850</v>
      </c>
      <c r="H84" s="9">
        <f t="shared" si="3"/>
        <v>1042500</v>
      </c>
      <c r="I84" s="110">
        <f>SUM(H84:H85)</f>
        <v>1830500</v>
      </c>
      <c r="J84" s="7" t="s">
        <v>246</v>
      </c>
    </row>
    <row r="85" spans="1:10" x14ac:dyDescent="0.35">
      <c r="A85" s="6">
        <f t="shared" si="4"/>
        <v>81</v>
      </c>
      <c r="B85" s="7" t="s">
        <v>237</v>
      </c>
      <c r="C85" s="7" t="s">
        <v>240</v>
      </c>
      <c r="D85" s="105"/>
      <c r="E85" s="7" t="s">
        <v>241</v>
      </c>
      <c r="F85" s="8">
        <v>50</v>
      </c>
      <c r="G85" s="9">
        <v>15760</v>
      </c>
      <c r="H85" s="9">
        <f t="shared" si="3"/>
        <v>788000</v>
      </c>
      <c r="I85" s="105"/>
      <c r="J85" s="7" t="s">
        <v>250</v>
      </c>
    </row>
    <row r="86" spans="1:10" x14ac:dyDescent="0.35">
      <c r="A86" s="6">
        <f t="shared" si="4"/>
        <v>82</v>
      </c>
      <c r="B86" s="7" t="s">
        <v>248</v>
      </c>
      <c r="C86" s="7" t="s">
        <v>247</v>
      </c>
      <c r="D86" s="104" t="s">
        <v>248</v>
      </c>
      <c r="E86" s="7" t="s">
        <v>249</v>
      </c>
      <c r="F86" s="8">
        <f>960+120</f>
        <v>1080</v>
      </c>
      <c r="G86" s="9">
        <v>6353</v>
      </c>
      <c r="H86" s="9">
        <f t="shared" si="3"/>
        <v>6861240</v>
      </c>
      <c r="I86" s="110">
        <f>SUM(H86:H98)</f>
        <v>167181850</v>
      </c>
      <c r="J86" s="7" t="s">
        <v>253</v>
      </c>
    </row>
    <row r="87" spans="1:10" x14ac:dyDescent="0.35">
      <c r="A87" s="6">
        <f t="shared" si="4"/>
        <v>83</v>
      </c>
      <c r="B87" s="7" t="s">
        <v>248</v>
      </c>
      <c r="C87" s="7" t="s">
        <v>251</v>
      </c>
      <c r="D87" s="106"/>
      <c r="E87" s="7" t="s">
        <v>252</v>
      </c>
      <c r="F87" s="8">
        <v>600</v>
      </c>
      <c r="G87" s="9">
        <v>4935</v>
      </c>
      <c r="H87" s="9">
        <f t="shared" si="3"/>
        <v>2961000</v>
      </c>
      <c r="I87" s="106"/>
      <c r="J87" s="7" t="s">
        <v>256</v>
      </c>
    </row>
    <row r="88" spans="1:10" x14ac:dyDescent="0.35">
      <c r="A88" s="6">
        <f t="shared" si="4"/>
        <v>84</v>
      </c>
      <c r="B88" s="7" t="s">
        <v>248</v>
      </c>
      <c r="C88" s="7" t="s">
        <v>254</v>
      </c>
      <c r="D88" s="106"/>
      <c r="E88" s="7" t="s">
        <v>255</v>
      </c>
      <c r="F88" s="8">
        <f>300+420</f>
        <v>720</v>
      </c>
      <c r="G88" s="9">
        <v>6143</v>
      </c>
      <c r="H88" s="9">
        <f t="shared" si="3"/>
        <v>4422960</v>
      </c>
      <c r="I88" s="106"/>
      <c r="J88" s="7" t="s">
        <v>259</v>
      </c>
    </row>
    <row r="89" spans="1:10" x14ac:dyDescent="0.35">
      <c r="A89" s="6">
        <f t="shared" si="4"/>
        <v>85</v>
      </c>
      <c r="B89" s="7" t="s">
        <v>248</v>
      </c>
      <c r="C89" s="7" t="s">
        <v>257</v>
      </c>
      <c r="D89" s="106"/>
      <c r="E89" s="7" t="s">
        <v>258</v>
      </c>
      <c r="F89" s="8">
        <f>500+880+820</f>
        <v>2200</v>
      </c>
      <c r="G89" s="9">
        <v>5563</v>
      </c>
      <c r="H89" s="9">
        <f t="shared" si="3"/>
        <v>12238600</v>
      </c>
      <c r="I89" s="106"/>
      <c r="J89" s="7" t="s">
        <v>262</v>
      </c>
    </row>
    <row r="90" spans="1:10" x14ac:dyDescent="0.35">
      <c r="A90" s="6">
        <f t="shared" si="4"/>
        <v>86</v>
      </c>
      <c r="B90" s="7" t="s">
        <v>248</v>
      </c>
      <c r="C90" s="7" t="s">
        <v>260</v>
      </c>
      <c r="D90" s="106"/>
      <c r="E90" s="7" t="s">
        <v>261</v>
      </c>
      <c r="F90" s="8">
        <f>300+350+50+320+300+290</f>
        <v>1610</v>
      </c>
      <c r="G90" s="9">
        <v>23750</v>
      </c>
      <c r="H90" s="9">
        <f t="shared" si="3"/>
        <v>38237500</v>
      </c>
      <c r="I90" s="106"/>
      <c r="J90" s="7" t="s">
        <v>265</v>
      </c>
    </row>
    <row r="91" spans="1:10" x14ac:dyDescent="0.35">
      <c r="A91" s="6">
        <f t="shared" si="4"/>
        <v>87</v>
      </c>
      <c r="B91" s="7" t="s">
        <v>248</v>
      </c>
      <c r="C91" s="7" t="s">
        <v>263</v>
      </c>
      <c r="D91" s="106"/>
      <c r="E91" s="7" t="s">
        <v>264</v>
      </c>
      <c r="F91" s="8">
        <f>500+970</f>
        <v>1470</v>
      </c>
      <c r="G91" s="9">
        <v>23750</v>
      </c>
      <c r="H91" s="9">
        <f t="shared" si="3"/>
        <v>34912500</v>
      </c>
      <c r="I91" s="106"/>
      <c r="J91" s="7" t="s">
        <v>268</v>
      </c>
    </row>
    <row r="92" spans="1:10" s="15" customFormat="1" x14ac:dyDescent="0.35">
      <c r="A92" s="6">
        <f t="shared" si="4"/>
        <v>88</v>
      </c>
      <c r="B92" s="7" t="s">
        <v>248</v>
      </c>
      <c r="C92" s="7" t="s">
        <v>266</v>
      </c>
      <c r="D92" s="106"/>
      <c r="E92" s="7" t="s">
        <v>267</v>
      </c>
      <c r="F92" s="8">
        <f>500+200+240+840</f>
        <v>1780</v>
      </c>
      <c r="G92" s="9">
        <v>15500</v>
      </c>
      <c r="H92" s="9">
        <f t="shared" si="3"/>
        <v>27590000</v>
      </c>
      <c r="I92" s="106"/>
      <c r="J92" s="14" t="e">
        <v>#N/A</v>
      </c>
    </row>
    <row r="93" spans="1:10" s="15" customFormat="1" x14ac:dyDescent="0.35">
      <c r="A93" s="6">
        <f t="shared" si="4"/>
        <v>89</v>
      </c>
      <c r="B93" s="11" t="s">
        <v>248</v>
      </c>
      <c r="C93" s="11" t="s">
        <v>269</v>
      </c>
      <c r="D93" s="106"/>
      <c r="E93" s="11" t="s">
        <v>270</v>
      </c>
      <c r="F93" s="12">
        <v>280</v>
      </c>
      <c r="G93" s="13">
        <v>10185</v>
      </c>
      <c r="H93" s="13">
        <f t="shared" si="3"/>
        <v>2851800</v>
      </c>
      <c r="I93" s="106"/>
      <c r="J93" s="14" t="e">
        <v>#N/A</v>
      </c>
    </row>
    <row r="94" spans="1:10" s="15" customFormat="1" x14ac:dyDescent="0.35">
      <c r="A94" s="6">
        <f t="shared" si="4"/>
        <v>90</v>
      </c>
      <c r="B94" s="11" t="s">
        <v>248</v>
      </c>
      <c r="C94" s="11" t="s">
        <v>271</v>
      </c>
      <c r="D94" s="106"/>
      <c r="E94" s="11" t="s">
        <v>272</v>
      </c>
      <c r="F94" s="12">
        <v>112</v>
      </c>
      <c r="G94" s="13">
        <v>106000</v>
      </c>
      <c r="H94" s="13">
        <f t="shared" si="3"/>
        <v>11872000</v>
      </c>
      <c r="I94" s="106"/>
      <c r="J94" s="14" t="e">
        <v>#N/A</v>
      </c>
    </row>
    <row r="95" spans="1:10" x14ac:dyDescent="0.35">
      <c r="A95" s="6">
        <f t="shared" si="4"/>
        <v>91</v>
      </c>
      <c r="B95" s="11" t="s">
        <v>248</v>
      </c>
      <c r="C95" s="11" t="s">
        <v>273</v>
      </c>
      <c r="D95" s="106"/>
      <c r="E95" s="11" t="s">
        <v>274</v>
      </c>
      <c r="F95" s="12">
        <v>700</v>
      </c>
      <c r="G95" s="13">
        <v>6353</v>
      </c>
      <c r="H95" s="13">
        <f t="shared" si="3"/>
        <v>4447100</v>
      </c>
      <c r="I95" s="106"/>
      <c r="J95" s="7" t="s">
        <v>277</v>
      </c>
    </row>
    <row r="96" spans="1:10" x14ac:dyDescent="0.35">
      <c r="A96" s="6">
        <f t="shared" si="4"/>
        <v>92</v>
      </c>
      <c r="B96" s="7" t="s">
        <v>248</v>
      </c>
      <c r="C96" s="7" t="s">
        <v>275</v>
      </c>
      <c r="D96" s="106"/>
      <c r="E96" s="7" t="s">
        <v>276</v>
      </c>
      <c r="F96" s="8">
        <v>900</v>
      </c>
      <c r="G96" s="9">
        <v>1900</v>
      </c>
      <c r="H96" s="9">
        <f t="shared" si="3"/>
        <v>1710000</v>
      </c>
      <c r="I96" s="106"/>
      <c r="J96" s="7" t="s">
        <v>280</v>
      </c>
    </row>
    <row r="97" spans="1:10" x14ac:dyDescent="0.35">
      <c r="A97" s="6">
        <f t="shared" si="4"/>
        <v>93</v>
      </c>
      <c r="B97" s="7" t="s">
        <v>248</v>
      </c>
      <c r="C97" s="7" t="s">
        <v>278</v>
      </c>
      <c r="D97" s="106"/>
      <c r="E97" s="7" t="s">
        <v>279</v>
      </c>
      <c r="F97" s="8">
        <f>400+200+600</f>
        <v>1200</v>
      </c>
      <c r="G97" s="9">
        <v>10400</v>
      </c>
      <c r="H97" s="9">
        <f t="shared" si="3"/>
        <v>12480000</v>
      </c>
      <c r="I97" s="106"/>
      <c r="J97" s="7" t="s">
        <v>283</v>
      </c>
    </row>
    <row r="98" spans="1:10" x14ac:dyDescent="0.35">
      <c r="A98" s="6">
        <f t="shared" si="4"/>
        <v>94</v>
      </c>
      <c r="B98" s="7" t="s">
        <v>248</v>
      </c>
      <c r="C98" s="7" t="s">
        <v>281</v>
      </c>
      <c r="D98" s="105"/>
      <c r="E98" s="7" t="s">
        <v>282</v>
      </c>
      <c r="F98" s="8">
        <f>210+250+150</f>
        <v>610</v>
      </c>
      <c r="G98" s="9">
        <v>10815</v>
      </c>
      <c r="H98" s="9">
        <f t="shared" si="3"/>
        <v>6597150</v>
      </c>
      <c r="I98" s="105"/>
      <c r="J98" s="7" t="s">
        <v>287</v>
      </c>
    </row>
    <row r="99" spans="1:10" x14ac:dyDescent="0.35">
      <c r="A99" s="6">
        <f t="shared" si="4"/>
        <v>95</v>
      </c>
      <c r="B99" s="7" t="s">
        <v>244</v>
      </c>
      <c r="C99" s="7" t="s">
        <v>243</v>
      </c>
      <c r="D99" s="7" t="s">
        <v>244</v>
      </c>
      <c r="E99" s="7" t="s">
        <v>245</v>
      </c>
      <c r="F99" s="8">
        <f>220+490</f>
        <v>710</v>
      </c>
      <c r="G99" s="9">
        <v>13650</v>
      </c>
      <c r="H99" s="9">
        <f t="shared" si="3"/>
        <v>9691500</v>
      </c>
      <c r="I99" s="9">
        <f>H99</f>
        <v>9691500</v>
      </c>
      <c r="J99" s="7" t="s">
        <v>290</v>
      </c>
    </row>
    <row r="100" spans="1:10" x14ac:dyDescent="0.35">
      <c r="A100" s="6">
        <f t="shared" si="4"/>
        <v>96</v>
      </c>
      <c r="B100" s="7" t="s">
        <v>285</v>
      </c>
      <c r="C100" s="7" t="s">
        <v>284</v>
      </c>
      <c r="D100" s="104" t="s">
        <v>285</v>
      </c>
      <c r="E100" s="7" t="s">
        <v>286</v>
      </c>
      <c r="F100" s="8">
        <v>5000</v>
      </c>
      <c r="G100" s="9">
        <v>1000</v>
      </c>
      <c r="H100" s="9">
        <f t="shared" si="3"/>
        <v>5000000</v>
      </c>
      <c r="I100" s="110">
        <f>SUM(H100:H107)</f>
        <v>248836400</v>
      </c>
      <c r="J100" s="7" t="s">
        <v>293</v>
      </c>
    </row>
    <row r="101" spans="1:10" s="15" customFormat="1" x14ac:dyDescent="0.35">
      <c r="A101" s="6">
        <f t="shared" si="4"/>
        <v>97</v>
      </c>
      <c r="B101" s="7" t="s">
        <v>285</v>
      </c>
      <c r="C101" s="7" t="s">
        <v>288</v>
      </c>
      <c r="D101" s="106"/>
      <c r="E101" s="7" t="s">
        <v>289</v>
      </c>
      <c r="F101" s="8">
        <f>100+850+220</f>
        <v>1170</v>
      </c>
      <c r="G101" s="9">
        <v>500</v>
      </c>
      <c r="H101" s="9">
        <f t="shared" ref="H101:H132" si="5">F101*G101</f>
        <v>585000</v>
      </c>
      <c r="I101" s="106"/>
      <c r="J101" s="14" t="e">
        <v>#N/A</v>
      </c>
    </row>
    <row r="102" spans="1:10" s="15" customFormat="1" x14ac:dyDescent="0.35">
      <c r="A102" s="6">
        <f t="shared" si="4"/>
        <v>98</v>
      </c>
      <c r="B102" s="7" t="s">
        <v>285</v>
      </c>
      <c r="C102" s="7" t="s">
        <v>291</v>
      </c>
      <c r="D102" s="106"/>
      <c r="E102" s="7" t="s">
        <v>292</v>
      </c>
      <c r="F102" s="8">
        <f>50+1120</f>
        <v>1170</v>
      </c>
      <c r="G102" s="9">
        <v>24000</v>
      </c>
      <c r="H102" s="9">
        <f t="shared" si="5"/>
        <v>28080000</v>
      </c>
      <c r="I102" s="106"/>
      <c r="J102" s="14" t="e">
        <v>#N/A</v>
      </c>
    </row>
    <row r="103" spans="1:10" x14ac:dyDescent="0.35">
      <c r="A103" s="6">
        <f t="shared" si="4"/>
        <v>99</v>
      </c>
      <c r="B103" s="11" t="s">
        <v>285</v>
      </c>
      <c r="C103" s="11" t="s">
        <v>294</v>
      </c>
      <c r="D103" s="106"/>
      <c r="E103" s="11" t="s">
        <v>295</v>
      </c>
      <c r="F103" s="12">
        <v>15000</v>
      </c>
      <c r="G103" s="13">
        <v>10556</v>
      </c>
      <c r="H103" s="13">
        <f t="shared" si="5"/>
        <v>158340000</v>
      </c>
      <c r="I103" s="106"/>
      <c r="J103" s="7" t="s">
        <v>300</v>
      </c>
    </row>
    <row r="104" spans="1:10" x14ac:dyDescent="0.35">
      <c r="A104" s="6">
        <f t="shared" si="4"/>
        <v>100</v>
      </c>
      <c r="B104" s="11" t="s">
        <v>285</v>
      </c>
      <c r="C104" s="11" t="s">
        <v>296</v>
      </c>
      <c r="D104" s="106"/>
      <c r="E104" s="11" t="s">
        <v>297</v>
      </c>
      <c r="F104" s="12">
        <v>1500</v>
      </c>
      <c r="G104" s="13">
        <v>8479</v>
      </c>
      <c r="H104" s="13">
        <f t="shared" si="5"/>
        <v>12718500</v>
      </c>
      <c r="I104" s="106"/>
      <c r="J104" s="7" t="s">
        <v>303</v>
      </c>
    </row>
    <row r="105" spans="1:10" x14ac:dyDescent="0.35">
      <c r="A105" s="6">
        <f t="shared" si="4"/>
        <v>101</v>
      </c>
      <c r="B105" s="7" t="s">
        <v>285</v>
      </c>
      <c r="C105" s="7" t="s">
        <v>298</v>
      </c>
      <c r="D105" s="106"/>
      <c r="E105" s="7" t="s">
        <v>299</v>
      </c>
      <c r="F105" s="8">
        <f>180+200</f>
        <v>380</v>
      </c>
      <c r="G105" s="9">
        <v>24000</v>
      </c>
      <c r="H105" s="9">
        <f t="shared" si="5"/>
        <v>9120000</v>
      </c>
      <c r="I105" s="106"/>
      <c r="J105" s="7" t="s">
        <v>306</v>
      </c>
    </row>
    <row r="106" spans="1:10" s="25" customFormat="1" x14ac:dyDescent="0.35">
      <c r="A106" s="6">
        <f t="shared" si="4"/>
        <v>102</v>
      </c>
      <c r="B106" s="7" t="s">
        <v>285</v>
      </c>
      <c r="C106" s="7" t="s">
        <v>301</v>
      </c>
      <c r="D106" s="106"/>
      <c r="E106" s="7" t="s">
        <v>302</v>
      </c>
      <c r="F106" s="8">
        <f>170+90+160+580+100</f>
        <v>1100</v>
      </c>
      <c r="G106" s="9">
        <v>29925</v>
      </c>
      <c r="H106" s="9">
        <f t="shared" si="5"/>
        <v>32917500</v>
      </c>
      <c r="I106" s="106"/>
      <c r="J106" s="10" t="s">
        <v>310</v>
      </c>
    </row>
    <row r="107" spans="1:10" x14ac:dyDescent="0.35">
      <c r="A107" s="6">
        <f t="shared" si="4"/>
        <v>103</v>
      </c>
      <c r="B107" s="7" t="s">
        <v>285</v>
      </c>
      <c r="C107" s="7" t="s">
        <v>304</v>
      </c>
      <c r="D107" s="105"/>
      <c r="E107" s="7" t="s">
        <v>305</v>
      </c>
      <c r="F107" s="8">
        <v>90</v>
      </c>
      <c r="G107" s="9">
        <v>23060</v>
      </c>
      <c r="H107" s="9">
        <f t="shared" si="5"/>
        <v>2075400</v>
      </c>
      <c r="I107" s="105"/>
      <c r="J107" s="7" t="s">
        <v>313</v>
      </c>
    </row>
    <row r="108" spans="1:10" x14ac:dyDescent="0.35">
      <c r="A108" s="6">
        <f t="shared" si="4"/>
        <v>104</v>
      </c>
      <c r="B108" s="22" t="s">
        <v>308</v>
      </c>
      <c r="C108" s="22" t="s">
        <v>307</v>
      </c>
      <c r="D108" s="22" t="s">
        <v>308</v>
      </c>
      <c r="E108" s="22" t="s">
        <v>309</v>
      </c>
      <c r="F108" s="23">
        <v>70</v>
      </c>
      <c r="G108" s="24">
        <v>53750</v>
      </c>
      <c r="H108" s="24">
        <f t="shared" si="5"/>
        <v>3762500</v>
      </c>
      <c r="I108" s="24">
        <f>H108</f>
        <v>3762500</v>
      </c>
      <c r="J108" s="7" t="s">
        <v>316</v>
      </c>
    </row>
    <row r="109" spans="1:10" x14ac:dyDescent="0.35">
      <c r="A109" s="6">
        <f t="shared" si="4"/>
        <v>105</v>
      </c>
      <c r="B109" s="7" t="s">
        <v>308</v>
      </c>
      <c r="C109" s="7" t="s">
        <v>311</v>
      </c>
      <c r="D109" s="104" t="s">
        <v>308</v>
      </c>
      <c r="E109" s="7" t="s">
        <v>312</v>
      </c>
      <c r="F109" s="8">
        <v>440</v>
      </c>
      <c r="G109" s="9">
        <v>5800</v>
      </c>
      <c r="H109" s="9">
        <f t="shared" si="5"/>
        <v>2552000</v>
      </c>
      <c r="I109" s="110">
        <f>SUM(H109:H129)</f>
        <v>181719320</v>
      </c>
      <c r="J109" s="7" t="s">
        <v>319</v>
      </c>
    </row>
    <row r="110" spans="1:10" x14ac:dyDescent="0.35">
      <c r="A110" s="6">
        <f t="shared" si="4"/>
        <v>106</v>
      </c>
      <c r="B110" s="7" t="s">
        <v>308</v>
      </c>
      <c r="C110" s="7" t="s">
        <v>314</v>
      </c>
      <c r="D110" s="106"/>
      <c r="E110" s="7" t="s">
        <v>315</v>
      </c>
      <c r="F110" s="8">
        <v>500</v>
      </c>
      <c r="G110" s="9">
        <v>4855</v>
      </c>
      <c r="H110" s="9">
        <f t="shared" si="5"/>
        <v>2427500</v>
      </c>
      <c r="I110" s="106"/>
      <c r="J110" s="7" t="s">
        <v>322</v>
      </c>
    </row>
    <row r="111" spans="1:10" x14ac:dyDescent="0.35">
      <c r="A111" s="6">
        <f t="shared" si="4"/>
        <v>107</v>
      </c>
      <c r="B111" s="7" t="s">
        <v>308</v>
      </c>
      <c r="C111" s="7" t="s">
        <v>317</v>
      </c>
      <c r="D111" s="106"/>
      <c r="E111" s="7" t="s">
        <v>318</v>
      </c>
      <c r="F111" s="8">
        <v>1500</v>
      </c>
      <c r="G111" s="9">
        <v>2083</v>
      </c>
      <c r="H111" s="9">
        <f t="shared" si="5"/>
        <v>3124500</v>
      </c>
      <c r="I111" s="106"/>
      <c r="J111" s="7" t="s">
        <v>325</v>
      </c>
    </row>
    <row r="112" spans="1:10" x14ac:dyDescent="0.35">
      <c r="A112" s="6">
        <f t="shared" si="4"/>
        <v>108</v>
      </c>
      <c r="B112" s="7" t="s">
        <v>308</v>
      </c>
      <c r="C112" s="7" t="s">
        <v>320</v>
      </c>
      <c r="D112" s="106"/>
      <c r="E112" s="7" t="s">
        <v>321</v>
      </c>
      <c r="F112" s="8">
        <f>240+640</f>
        <v>880</v>
      </c>
      <c r="G112" s="9">
        <v>3901</v>
      </c>
      <c r="H112" s="9">
        <f t="shared" si="5"/>
        <v>3432880</v>
      </c>
      <c r="I112" s="106"/>
      <c r="J112" s="7" t="s">
        <v>328</v>
      </c>
    </row>
    <row r="113" spans="1:10" x14ac:dyDescent="0.35">
      <c r="A113" s="6">
        <f t="shared" si="4"/>
        <v>109</v>
      </c>
      <c r="B113" s="7" t="s">
        <v>308</v>
      </c>
      <c r="C113" s="7" t="s">
        <v>323</v>
      </c>
      <c r="D113" s="106"/>
      <c r="E113" s="7" t="s">
        <v>324</v>
      </c>
      <c r="F113" s="8">
        <v>800</v>
      </c>
      <c r="G113" s="9">
        <v>7120</v>
      </c>
      <c r="H113" s="9">
        <f t="shared" si="5"/>
        <v>5696000</v>
      </c>
      <c r="I113" s="106"/>
      <c r="J113" s="7" t="s">
        <v>331</v>
      </c>
    </row>
    <row r="114" spans="1:10" x14ac:dyDescent="0.35">
      <c r="A114" s="6">
        <f t="shared" si="4"/>
        <v>110</v>
      </c>
      <c r="B114" s="7" t="s">
        <v>308</v>
      </c>
      <c r="C114" s="7" t="s">
        <v>326</v>
      </c>
      <c r="D114" s="106"/>
      <c r="E114" s="7" t="s">
        <v>327</v>
      </c>
      <c r="F114" s="8">
        <v>580</v>
      </c>
      <c r="G114" s="9">
        <v>7385</v>
      </c>
      <c r="H114" s="9">
        <f t="shared" si="5"/>
        <v>4283300</v>
      </c>
      <c r="I114" s="106"/>
      <c r="J114" s="7" t="s">
        <v>334</v>
      </c>
    </row>
    <row r="115" spans="1:10" x14ac:dyDescent="0.35">
      <c r="A115" s="6">
        <f t="shared" si="4"/>
        <v>111</v>
      </c>
      <c r="B115" s="7" t="s">
        <v>308</v>
      </c>
      <c r="C115" s="7" t="s">
        <v>329</v>
      </c>
      <c r="D115" s="106"/>
      <c r="E115" s="7" t="s">
        <v>330</v>
      </c>
      <c r="F115" s="8">
        <f>280+100</f>
        <v>380</v>
      </c>
      <c r="G115" s="9">
        <v>15726</v>
      </c>
      <c r="H115" s="9">
        <f t="shared" si="5"/>
        <v>5975880</v>
      </c>
      <c r="I115" s="106"/>
      <c r="J115" s="7" t="s">
        <v>337</v>
      </c>
    </row>
    <row r="116" spans="1:10" x14ac:dyDescent="0.35">
      <c r="A116" s="6">
        <f t="shared" si="4"/>
        <v>112</v>
      </c>
      <c r="B116" s="7" t="s">
        <v>308</v>
      </c>
      <c r="C116" s="7" t="s">
        <v>332</v>
      </c>
      <c r="D116" s="106"/>
      <c r="E116" s="7" t="s">
        <v>333</v>
      </c>
      <c r="F116" s="8">
        <f>220+150+200+190+190</f>
        <v>950</v>
      </c>
      <c r="G116" s="9">
        <v>14401</v>
      </c>
      <c r="H116" s="9">
        <f t="shared" si="5"/>
        <v>13680950</v>
      </c>
      <c r="I116" s="106"/>
      <c r="J116" s="7" t="s">
        <v>340</v>
      </c>
    </row>
    <row r="117" spans="1:10" x14ac:dyDescent="0.35">
      <c r="A117" s="6">
        <f t="shared" si="4"/>
        <v>113</v>
      </c>
      <c r="B117" s="7" t="s">
        <v>308</v>
      </c>
      <c r="C117" s="7" t="s">
        <v>335</v>
      </c>
      <c r="D117" s="106"/>
      <c r="E117" s="7" t="s">
        <v>336</v>
      </c>
      <c r="F117" s="8">
        <f>280+150+120+180</f>
        <v>730</v>
      </c>
      <c r="G117" s="9">
        <v>8179</v>
      </c>
      <c r="H117" s="9">
        <f t="shared" si="5"/>
        <v>5970670</v>
      </c>
      <c r="I117" s="106"/>
      <c r="J117" s="7" t="s">
        <v>343</v>
      </c>
    </row>
    <row r="118" spans="1:10" x14ac:dyDescent="0.35">
      <c r="A118" s="6">
        <f t="shared" si="4"/>
        <v>114</v>
      </c>
      <c r="B118" s="7" t="s">
        <v>308</v>
      </c>
      <c r="C118" s="7" t="s">
        <v>338</v>
      </c>
      <c r="D118" s="106"/>
      <c r="E118" s="7" t="s">
        <v>339</v>
      </c>
      <c r="F118" s="8">
        <f>50+100</f>
        <v>150</v>
      </c>
      <c r="G118" s="9">
        <v>3734</v>
      </c>
      <c r="H118" s="9">
        <f t="shared" si="5"/>
        <v>560100</v>
      </c>
      <c r="I118" s="106"/>
      <c r="J118" s="7" t="s">
        <v>346</v>
      </c>
    </row>
    <row r="119" spans="1:10" x14ac:dyDescent="0.35">
      <c r="A119" s="6">
        <f t="shared" si="4"/>
        <v>115</v>
      </c>
      <c r="B119" s="7" t="s">
        <v>308</v>
      </c>
      <c r="C119" s="7" t="s">
        <v>341</v>
      </c>
      <c r="D119" s="106"/>
      <c r="E119" s="7" t="s">
        <v>342</v>
      </c>
      <c r="F119" s="8">
        <v>500</v>
      </c>
      <c r="G119" s="9">
        <v>2222</v>
      </c>
      <c r="H119" s="9">
        <f t="shared" si="5"/>
        <v>1111000</v>
      </c>
      <c r="I119" s="106"/>
      <c r="J119" s="7" t="s">
        <v>349</v>
      </c>
    </row>
    <row r="120" spans="1:10" x14ac:dyDescent="0.35">
      <c r="A120" s="6">
        <f t="shared" si="4"/>
        <v>116</v>
      </c>
      <c r="B120" s="7" t="s">
        <v>308</v>
      </c>
      <c r="C120" s="7" t="s">
        <v>344</v>
      </c>
      <c r="D120" s="106"/>
      <c r="E120" s="7" t="s">
        <v>345</v>
      </c>
      <c r="F120" s="8">
        <f>150+100+120+400</f>
        <v>770</v>
      </c>
      <c r="G120" s="9">
        <v>9512</v>
      </c>
      <c r="H120" s="9">
        <f t="shared" si="5"/>
        <v>7324240</v>
      </c>
      <c r="I120" s="106"/>
      <c r="J120" s="7" t="s">
        <v>352</v>
      </c>
    </row>
    <row r="121" spans="1:10" x14ac:dyDescent="0.35">
      <c r="A121" s="6">
        <f t="shared" si="4"/>
        <v>117</v>
      </c>
      <c r="B121" s="7" t="s">
        <v>308</v>
      </c>
      <c r="C121" s="7" t="s">
        <v>347</v>
      </c>
      <c r="D121" s="106"/>
      <c r="E121" s="7" t="s">
        <v>348</v>
      </c>
      <c r="F121" s="8">
        <v>110</v>
      </c>
      <c r="G121" s="9">
        <v>6489</v>
      </c>
      <c r="H121" s="9">
        <f t="shared" si="5"/>
        <v>713790</v>
      </c>
      <c r="I121" s="106"/>
      <c r="J121" s="7" t="s">
        <v>355</v>
      </c>
    </row>
    <row r="122" spans="1:10" x14ac:dyDescent="0.35">
      <c r="A122" s="6">
        <f t="shared" si="4"/>
        <v>118</v>
      </c>
      <c r="B122" s="7" t="s">
        <v>308</v>
      </c>
      <c r="C122" s="7" t="s">
        <v>350</v>
      </c>
      <c r="D122" s="106"/>
      <c r="E122" s="7" t="s">
        <v>351</v>
      </c>
      <c r="F122" s="8">
        <f>230+360</f>
        <v>590</v>
      </c>
      <c r="G122" s="9">
        <v>3520</v>
      </c>
      <c r="H122" s="9">
        <f t="shared" si="5"/>
        <v>2076800</v>
      </c>
      <c r="I122" s="106"/>
      <c r="J122" s="7" t="s">
        <v>358</v>
      </c>
    </row>
    <row r="123" spans="1:10" x14ac:dyDescent="0.35">
      <c r="A123" s="6">
        <f t="shared" si="4"/>
        <v>119</v>
      </c>
      <c r="B123" s="7" t="s">
        <v>308</v>
      </c>
      <c r="C123" s="7" t="s">
        <v>353</v>
      </c>
      <c r="D123" s="106"/>
      <c r="E123" s="7" t="s">
        <v>354</v>
      </c>
      <c r="F123" s="8">
        <f>1900+2000</f>
        <v>3900</v>
      </c>
      <c r="G123" s="9">
        <v>7255</v>
      </c>
      <c r="H123" s="9">
        <f t="shared" si="5"/>
        <v>28294500</v>
      </c>
      <c r="I123" s="106"/>
      <c r="J123" s="7" t="s">
        <v>361</v>
      </c>
    </row>
    <row r="124" spans="1:10" x14ac:dyDescent="0.35">
      <c r="A124" s="6">
        <f t="shared" si="4"/>
        <v>120</v>
      </c>
      <c r="B124" s="7" t="s">
        <v>308</v>
      </c>
      <c r="C124" s="7" t="s">
        <v>356</v>
      </c>
      <c r="D124" s="106"/>
      <c r="E124" s="7" t="s">
        <v>357</v>
      </c>
      <c r="F124" s="8">
        <v>300</v>
      </c>
      <c r="G124" s="9">
        <v>54949</v>
      </c>
      <c r="H124" s="9">
        <f t="shared" si="5"/>
        <v>16484700</v>
      </c>
      <c r="I124" s="106"/>
      <c r="J124" s="7" t="s">
        <v>364</v>
      </c>
    </row>
    <row r="125" spans="1:10" x14ac:dyDescent="0.35">
      <c r="A125" s="6">
        <f t="shared" si="4"/>
        <v>121</v>
      </c>
      <c r="B125" s="7" t="s">
        <v>308</v>
      </c>
      <c r="C125" s="7" t="s">
        <v>359</v>
      </c>
      <c r="D125" s="106"/>
      <c r="E125" s="7" t="s">
        <v>360</v>
      </c>
      <c r="F125" s="8">
        <v>100</v>
      </c>
      <c r="G125" s="9">
        <v>83504</v>
      </c>
      <c r="H125" s="9">
        <f t="shared" si="5"/>
        <v>8350400</v>
      </c>
      <c r="I125" s="106"/>
      <c r="J125" s="7" t="s">
        <v>367</v>
      </c>
    </row>
    <row r="126" spans="1:10" x14ac:dyDescent="0.35">
      <c r="A126" s="6">
        <f t="shared" si="4"/>
        <v>122</v>
      </c>
      <c r="B126" s="7" t="s">
        <v>308</v>
      </c>
      <c r="C126" s="7" t="s">
        <v>362</v>
      </c>
      <c r="D126" s="106"/>
      <c r="E126" s="7" t="s">
        <v>363</v>
      </c>
      <c r="F126" s="8">
        <f>950+490+320</f>
        <v>1760</v>
      </c>
      <c r="G126" s="9">
        <v>21711</v>
      </c>
      <c r="H126" s="9">
        <f t="shared" si="5"/>
        <v>38211360</v>
      </c>
      <c r="I126" s="106"/>
      <c r="J126" s="7" t="s">
        <v>370</v>
      </c>
    </row>
    <row r="127" spans="1:10" x14ac:dyDescent="0.35">
      <c r="A127" s="6">
        <f t="shared" si="4"/>
        <v>123</v>
      </c>
      <c r="B127" s="7" t="s">
        <v>308</v>
      </c>
      <c r="C127" s="7" t="s">
        <v>365</v>
      </c>
      <c r="D127" s="106"/>
      <c r="E127" s="7" t="s">
        <v>366</v>
      </c>
      <c r="F127" s="8">
        <v>1710</v>
      </c>
      <c r="G127" s="9">
        <v>10469</v>
      </c>
      <c r="H127" s="9">
        <f t="shared" si="5"/>
        <v>17901990</v>
      </c>
      <c r="I127" s="106"/>
      <c r="J127" s="7" t="s">
        <v>373</v>
      </c>
    </row>
    <row r="128" spans="1:10" x14ac:dyDescent="0.35">
      <c r="A128" s="6">
        <f t="shared" si="4"/>
        <v>124</v>
      </c>
      <c r="B128" s="7" t="s">
        <v>308</v>
      </c>
      <c r="C128" s="7" t="s">
        <v>368</v>
      </c>
      <c r="D128" s="106"/>
      <c r="E128" s="7" t="s">
        <v>369</v>
      </c>
      <c r="F128" s="8">
        <v>140</v>
      </c>
      <c r="G128" s="9">
        <v>46909</v>
      </c>
      <c r="H128" s="9">
        <f t="shared" si="5"/>
        <v>6567260</v>
      </c>
      <c r="I128" s="106"/>
      <c r="J128" s="7" t="s">
        <v>377</v>
      </c>
    </row>
    <row r="129" spans="1:10" s="25" customFormat="1" x14ac:dyDescent="0.35">
      <c r="A129" s="6">
        <f t="shared" si="4"/>
        <v>125</v>
      </c>
      <c r="B129" s="7" t="s">
        <v>308</v>
      </c>
      <c r="C129" s="7" t="s">
        <v>371</v>
      </c>
      <c r="D129" s="105"/>
      <c r="E129" s="7" t="s">
        <v>372</v>
      </c>
      <c r="F129" s="8">
        <v>99</v>
      </c>
      <c r="G129" s="9">
        <v>70500</v>
      </c>
      <c r="H129" s="9">
        <f t="shared" si="5"/>
        <v>6979500</v>
      </c>
      <c r="I129" s="105"/>
      <c r="J129" s="10" t="s">
        <v>380</v>
      </c>
    </row>
    <row r="130" spans="1:10" s="15" customFormat="1" x14ac:dyDescent="0.35">
      <c r="A130" s="6">
        <f t="shared" si="4"/>
        <v>126</v>
      </c>
      <c r="B130" s="7" t="s">
        <v>388</v>
      </c>
      <c r="C130" s="7" t="s">
        <v>387</v>
      </c>
      <c r="D130" s="7" t="s">
        <v>388</v>
      </c>
      <c r="E130" s="7" t="s">
        <v>389</v>
      </c>
      <c r="F130" s="8">
        <v>1600</v>
      </c>
      <c r="G130" s="9">
        <v>400</v>
      </c>
      <c r="H130" s="9">
        <f t="shared" si="5"/>
        <v>640000</v>
      </c>
      <c r="I130" s="9">
        <f>H130</f>
        <v>640000</v>
      </c>
      <c r="J130" s="14" t="e">
        <v>#N/A</v>
      </c>
    </row>
    <row r="131" spans="1:10" x14ac:dyDescent="0.35">
      <c r="A131" s="6">
        <f t="shared" si="4"/>
        <v>127</v>
      </c>
      <c r="B131" s="7" t="s">
        <v>375</v>
      </c>
      <c r="C131" s="7" t="s">
        <v>374</v>
      </c>
      <c r="D131" s="104" t="s">
        <v>375</v>
      </c>
      <c r="E131" s="7" t="s">
        <v>376</v>
      </c>
      <c r="F131" s="8">
        <v>300</v>
      </c>
      <c r="G131" s="9">
        <v>13750</v>
      </c>
      <c r="H131" s="9">
        <f t="shared" si="5"/>
        <v>4125000</v>
      </c>
      <c r="I131" s="110">
        <f>SUM(H131:H132)</f>
        <v>11271000</v>
      </c>
      <c r="J131" s="7" t="s">
        <v>386</v>
      </c>
    </row>
    <row r="132" spans="1:10" x14ac:dyDescent="0.35">
      <c r="A132" s="6">
        <f t="shared" si="4"/>
        <v>128</v>
      </c>
      <c r="B132" s="22" t="s">
        <v>375</v>
      </c>
      <c r="C132" s="22" t="s">
        <v>378</v>
      </c>
      <c r="D132" s="105"/>
      <c r="E132" s="22" t="s">
        <v>379</v>
      </c>
      <c r="F132" s="23">
        <v>300</v>
      </c>
      <c r="G132" s="24">
        <v>23820</v>
      </c>
      <c r="H132" s="24">
        <f t="shared" si="5"/>
        <v>7146000</v>
      </c>
      <c r="I132" s="105"/>
      <c r="J132" s="7" t="s">
        <v>390</v>
      </c>
    </row>
    <row r="133" spans="1:10" x14ac:dyDescent="0.35">
      <c r="A133" s="6">
        <f t="shared" si="4"/>
        <v>129</v>
      </c>
      <c r="B133" s="11" t="s">
        <v>382</v>
      </c>
      <c r="C133" s="11" t="s">
        <v>381</v>
      </c>
      <c r="D133" s="107" t="s">
        <v>382</v>
      </c>
      <c r="E133" s="11" t="s">
        <v>383</v>
      </c>
      <c r="F133" s="12">
        <v>44</v>
      </c>
      <c r="G133" s="13">
        <v>99500</v>
      </c>
      <c r="H133" s="13">
        <f t="shared" ref="H133:H164" si="6">F133*G133</f>
        <v>4378000</v>
      </c>
      <c r="I133" s="112">
        <f>SUM(H133:H134)</f>
        <v>16086400</v>
      </c>
      <c r="J133" s="7" t="s">
        <v>394</v>
      </c>
    </row>
    <row r="134" spans="1:10" x14ac:dyDescent="0.35">
      <c r="A134" s="6">
        <f t="shared" si="4"/>
        <v>130</v>
      </c>
      <c r="B134" s="7" t="s">
        <v>382</v>
      </c>
      <c r="C134" s="7" t="s">
        <v>384</v>
      </c>
      <c r="D134" s="109"/>
      <c r="E134" s="7" t="s">
        <v>385</v>
      </c>
      <c r="F134" s="8">
        <f>63+69</f>
        <v>132</v>
      </c>
      <c r="G134" s="9">
        <v>88700</v>
      </c>
      <c r="H134" s="9">
        <f t="shared" si="6"/>
        <v>11708400</v>
      </c>
      <c r="I134" s="109"/>
      <c r="J134" s="7" t="s">
        <v>398</v>
      </c>
    </row>
    <row r="135" spans="1:10" x14ac:dyDescent="0.35">
      <c r="A135" s="6">
        <f t="shared" ref="A135:A176" si="7">A134+1</f>
        <v>131</v>
      </c>
      <c r="B135" s="7" t="s">
        <v>392</v>
      </c>
      <c r="C135" s="7" t="s">
        <v>391</v>
      </c>
      <c r="D135" s="7" t="s">
        <v>392</v>
      </c>
      <c r="E135" s="7" t="s">
        <v>393</v>
      </c>
      <c r="F135" s="8">
        <v>30</v>
      </c>
      <c r="G135" s="9">
        <v>9600</v>
      </c>
      <c r="H135" s="9">
        <f t="shared" si="6"/>
        <v>288000</v>
      </c>
      <c r="I135" s="9">
        <f>H135</f>
        <v>288000</v>
      </c>
      <c r="J135" s="7" t="s">
        <v>401</v>
      </c>
    </row>
    <row r="136" spans="1:10" s="15" customFormat="1" x14ac:dyDescent="0.35">
      <c r="A136" s="6">
        <f t="shared" si="7"/>
        <v>132</v>
      </c>
      <c r="B136" s="7" t="s">
        <v>460</v>
      </c>
      <c r="C136" s="7" t="s">
        <v>459</v>
      </c>
      <c r="D136" s="104" t="s">
        <v>460</v>
      </c>
      <c r="E136" s="7" t="s">
        <v>461</v>
      </c>
      <c r="F136" s="8">
        <f>700+410</f>
        <v>1110</v>
      </c>
      <c r="G136" s="9">
        <v>6700</v>
      </c>
      <c r="H136" s="9">
        <f t="shared" si="6"/>
        <v>7437000</v>
      </c>
      <c r="I136" s="110">
        <f>SUM(H136:H140)</f>
        <v>10108000</v>
      </c>
      <c r="J136" s="14" t="e">
        <v>#N/A</v>
      </c>
    </row>
    <row r="137" spans="1:10" x14ac:dyDescent="0.35">
      <c r="A137" s="6">
        <f t="shared" si="7"/>
        <v>133</v>
      </c>
      <c r="B137" s="7" t="s">
        <v>460</v>
      </c>
      <c r="C137" s="7" t="s">
        <v>463</v>
      </c>
      <c r="D137" s="106"/>
      <c r="E137" s="7" t="s">
        <v>464</v>
      </c>
      <c r="F137" s="8">
        <v>400</v>
      </c>
      <c r="G137" s="9">
        <v>5000</v>
      </c>
      <c r="H137" s="9">
        <f t="shared" si="6"/>
        <v>2000000</v>
      </c>
      <c r="I137" s="106"/>
      <c r="J137" s="7" t="s">
        <v>406</v>
      </c>
    </row>
    <row r="138" spans="1:10" s="15" customFormat="1" x14ac:dyDescent="0.35">
      <c r="A138" s="6">
        <f t="shared" si="7"/>
        <v>134</v>
      </c>
      <c r="B138" s="7" t="s">
        <v>460</v>
      </c>
      <c r="C138" s="7" t="s">
        <v>466</v>
      </c>
      <c r="D138" s="106"/>
      <c r="E138" s="7" t="s">
        <v>467</v>
      </c>
      <c r="F138" s="8">
        <v>50</v>
      </c>
      <c r="G138" s="9">
        <v>2000</v>
      </c>
      <c r="H138" s="9">
        <f t="shared" si="6"/>
        <v>100000</v>
      </c>
      <c r="I138" s="106"/>
      <c r="J138" s="14" t="e">
        <v>#N/A</v>
      </c>
    </row>
    <row r="139" spans="1:10" s="15" customFormat="1" x14ac:dyDescent="0.35">
      <c r="A139" s="6">
        <f t="shared" si="7"/>
        <v>135</v>
      </c>
      <c r="B139" s="7" t="s">
        <v>460</v>
      </c>
      <c r="C139" s="7" t="s">
        <v>469</v>
      </c>
      <c r="D139" s="106"/>
      <c r="E139" s="7" t="s">
        <v>470</v>
      </c>
      <c r="F139" s="8">
        <v>450</v>
      </c>
      <c r="G139" s="9">
        <v>700</v>
      </c>
      <c r="H139" s="9">
        <f t="shared" si="6"/>
        <v>315000</v>
      </c>
      <c r="I139" s="106"/>
      <c r="J139" s="14" t="e">
        <v>#N/A</v>
      </c>
    </row>
    <row r="140" spans="1:10" x14ac:dyDescent="0.35">
      <c r="A140" s="6">
        <f t="shared" si="7"/>
        <v>136</v>
      </c>
      <c r="B140" s="7" t="s">
        <v>460</v>
      </c>
      <c r="C140" s="7" t="s">
        <v>472</v>
      </c>
      <c r="D140" s="105"/>
      <c r="E140" s="7" t="s">
        <v>473</v>
      </c>
      <c r="F140" s="8">
        <v>160</v>
      </c>
      <c r="G140" s="9">
        <v>1600</v>
      </c>
      <c r="H140" s="9">
        <f t="shared" si="6"/>
        <v>256000</v>
      </c>
      <c r="I140" s="105"/>
      <c r="J140" s="7" t="s">
        <v>413</v>
      </c>
    </row>
    <row r="141" spans="1:10" x14ac:dyDescent="0.35">
      <c r="A141" s="6">
        <f t="shared" si="7"/>
        <v>137</v>
      </c>
      <c r="B141" s="7" t="s">
        <v>415</v>
      </c>
      <c r="C141" s="7" t="s">
        <v>414</v>
      </c>
      <c r="D141" s="104" t="s">
        <v>415</v>
      </c>
      <c r="E141" s="7" t="s">
        <v>416</v>
      </c>
      <c r="F141" s="8">
        <f>280+80</f>
        <v>360</v>
      </c>
      <c r="G141" s="9">
        <v>11439</v>
      </c>
      <c r="H141" s="9">
        <f t="shared" si="6"/>
        <v>4118040</v>
      </c>
      <c r="I141" s="113">
        <f>SUM(H141:H155)</f>
        <v>99227180</v>
      </c>
      <c r="J141" s="7" t="s">
        <v>417</v>
      </c>
    </row>
    <row r="142" spans="1:10" x14ac:dyDescent="0.35">
      <c r="A142" s="6">
        <f t="shared" si="7"/>
        <v>138</v>
      </c>
      <c r="B142" s="7" t="s">
        <v>415</v>
      </c>
      <c r="C142" s="7" t="s">
        <v>418</v>
      </c>
      <c r="D142" s="106"/>
      <c r="E142" s="7" t="s">
        <v>419</v>
      </c>
      <c r="F142" s="8">
        <f>160+55+100</f>
        <v>315</v>
      </c>
      <c r="G142" s="9">
        <v>15996</v>
      </c>
      <c r="H142" s="9">
        <f t="shared" si="6"/>
        <v>5038740</v>
      </c>
      <c r="I142" s="106"/>
      <c r="J142" s="7" t="s">
        <v>420</v>
      </c>
    </row>
    <row r="143" spans="1:10" x14ac:dyDescent="0.35">
      <c r="A143" s="6">
        <f t="shared" si="7"/>
        <v>139</v>
      </c>
      <c r="B143" s="7" t="s">
        <v>415</v>
      </c>
      <c r="C143" s="7" t="s">
        <v>421</v>
      </c>
      <c r="D143" s="106"/>
      <c r="E143" s="7" t="s">
        <v>422</v>
      </c>
      <c r="F143" s="8">
        <v>170</v>
      </c>
      <c r="G143" s="9">
        <v>5487</v>
      </c>
      <c r="H143" s="9">
        <f t="shared" si="6"/>
        <v>932790</v>
      </c>
      <c r="I143" s="106"/>
      <c r="J143" s="7" t="s">
        <v>423</v>
      </c>
    </row>
    <row r="144" spans="1:10" x14ac:dyDescent="0.35">
      <c r="A144" s="6">
        <f t="shared" si="7"/>
        <v>140</v>
      </c>
      <c r="B144" s="7" t="s">
        <v>415</v>
      </c>
      <c r="C144" s="7" t="s">
        <v>424</v>
      </c>
      <c r="D144" s="106"/>
      <c r="E144" s="7" t="s">
        <v>425</v>
      </c>
      <c r="F144" s="8">
        <v>270</v>
      </c>
      <c r="G144" s="9">
        <v>16926</v>
      </c>
      <c r="H144" s="9">
        <f t="shared" si="6"/>
        <v>4570020</v>
      </c>
      <c r="I144" s="106"/>
      <c r="J144" s="7" t="s">
        <v>426</v>
      </c>
    </row>
    <row r="145" spans="1:10" x14ac:dyDescent="0.35">
      <c r="A145" s="6">
        <f t="shared" si="7"/>
        <v>141</v>
      </c>
      <c r="B145" s="7" t="s">
        <v>415</v>
      </c>
      <c r="C145" s="7" t="s">
        <v>427</v>
      </c>
      <c r="D145" s="106"/>
      <c r="E145" s="7" t="s">
        <v>428</v>
      </c>
      <c r="F145" s="8">
        <f>210+45</f>
        <v>255</v>
      </c>
      <c r="G145" s="9">
        <v>14415</v>
      </c>
      <c r="H145" s="9">
        <f t="shared" si="6"/>
        <v>3675825</v>
      </c>
      <c r="I145" s="106"/>
      <c r="J145" s="7" t="s">
        <v>429</v>
      </c>
    </row>
    <row r="146" spans="1:10" x14ac:dyDescent="0.35">
      <c r="A146" s="6">
        <f t="shared" si="7"/>
        <v>142</v>
      </c>
      <c r="B146" s="7" t="s">
        <v>415</v>
      </c>
      <c r="C146" s="7" t="s">
        <v>430</v>
      </c>
      <c r="D146" s="106"/>
      <c r="E146" s="7" t="s">
        <v>431</v>
      </c>
      <c r="F146" s="8">
        <f>310+140</f>
        <v>450</v>
      </c>
      <c r="G146" s="9">
        <v>27342</v>
      </c>
      <c r="H146" s="9">
        <f t="shared" si="6"/>
        <v>12303900</v>
      </c>
      <c r="I146" s="106"/>
      <c r="J146" s="7" t="s">
        <v>432</v>
      </c>
    </row>
    <row r="147" spans="1:10" x14ac:dyDescent="0.35">
      <c r="A147" s="6">
        <f t="shared" si="7"/>
        <v>143</v>
      </c>
      <c r="B147" s="7" t="s">
        <v>415</v>
      </c>
      <c r="C147" s="7" t="s">
        <v>433</v>
      </c>
      <c r="D147" s="106"/>
      <c r="E147" s="7" t="s">
        <v>434</v>
      </c>
      <c r="F147" s="8">
        <v>670</v>
      </c>
      <c r="G147" s="9">
        <v>13485</v>
      </c>
      <c r="H147" s="9">
        <f t="shared" si="6"/>
        <v>9034950</v>
      </c>
      <c r="I147" s="106"/>
      <c r="J147" s="7" t="s">
        <v>435</v>
      </c>
    </row>
    <row r="148" spans="1:10" x14ac:dyDescent="0.35">
      <c r="A148" s="6">
        <f t="shared" si="7"/>
        <v>144</v>
      </c>
      <c r="B148" s="7" t="s">
        <v>415</v>
      </c>
      <c r="C148" s="7" t="s">
        <v>436</v>
      </c>
      <c r="D148" s="106"/>
      <c r="E148" s="7" t="s">
        <v>437</v>
      </c>
      <c r="F148" s="8">
        <v>150</v>
      </c>
      <c r="G148" s="9">
        <v>15345</v>
      </c>
      <c r="H148" s="9">
        <f t="shared" si="6"/>
        <v>2301750</v>
      </c>
      <c r="I148" s="106"/>
      <c r="J148" s="7" t="s">
        <v>438</v>
      </c>
    </row>
    <row r="149" spans="1:10" x14ac:dyDescent="0.35">
      <c r="A149" s="6">
        <f t="shared" si="7"/>
        <v>145</v>
      </c>
      <c r="B149" s="7" t="s">
        <v>415</v>
      </c>
      <c r="C149" s="7" t="s">
        <v>439</v>
      </c>
      <c r="D149" s="106"/>
      <c r="E149" s="7" t="s">
        <v>440</v>
      </c>
      <c r="F149" s="8">
        <f>190+130+200</f>
        <v>520</v>
      </c>
      <c r="G149" s="9">
        <v>18135</v>
      </c>
      <c r="H149" s="9">
        <f t="shared" si="6"/>
        <v>9430200</v>
      </c>
      <c r="I149" s="106"/>
      <c r="J149" s="7" t="s">
        <v>441</v>
      </c>
    </row>
    <row r="150" spans="1:10" x14ac:dyDescent="0.35">
      <c r="A150" s="6">
        <f t="shared" si="7"/>
        <v>146</v>
      </c>
      <c r="B150" s="7" t="s">
        <v>415</v>
      </c>
      <c r="C150" s="7" t="s">
        <v>442</v>
      </c>
      <c r="D150" s="106"/>
      <c r="E150" s="7" t="s">
        <v>443</v>
      </c>
      <c r="F150" s="8">
        <v>285</v>
      </c>
      <c r="G150" s="9">
        <v>10695</v>
      </c>
      <c r="H150" s="9">
        <f t="shared" si="6"/>
        <v>3048075</v>
      </c>
      <c r="I150" s="106"/>
      <c r="J150" s="7" t="s">
        <v>444</v>
      </c>
    </row>
    <row r="151" spans="1:10" x14ac:dyDescent="0.35">
      <c r="A151" s="6">
        <f t="shared" si="7"/>
        <v>147</v>
      </c>
      <c r="B151" s="7" t="s">
        <v>415</v>
      </c>
      <c r="C151" s="7" t="s">
        <v>445</v>
      </c>
      <c r="D151" s="106"/>
      <c r="E151" s="7" t="s">
        <v>446</v>
      </c>
      <c r="F151" s="8">
        <f>200+270+180+120</f>
        <v>770</v>
      </c>
      <c r="G151" s="9">
        <v>12560</v>
      </c>
      <c r="H151" s="9">
        <f t="shared" si="6"/>
        <v>9671200</v>
      </c>
      <c r="I151" s="106"/>
      <c r="J151" s="7" t="s">
        <v>447</v>
      </c>
    </row>
    <row r="152" spans="1:10" x14ac:dyDescent="0.35">
      <c r="A152" s="6">
        <f t="shared" si="7"/>
        <v>148</v>
      </c>
      <c r="B152" s="7" t="s">
        <v>415</v>
      </c>
      <c r="C152" s="7" t="s">
        <v>448</v>
      </c>
      <c r="D152" s="106"/>
      <c r="E152" s="7" t="s">
        <v>449</v>
      </c>
      <c r="F152" s="8">
        <f>50+145+50</f>
        <v>245</v>
      </c>
      <c r="G152" s="9">
        <v>39950</v>
      </c>
      <c r="H152" s="9">
        <f t="shared" si="6"/>
        <v>9787750</v>
      </c>
      <c r="I152" s="106"/>
      <c r="J152" s="7" t="s">
        <v>450</v>
      </c>
    </row>
    <row r="153" spans="1:10" x14ac:dyDescent="0.35">
      <c r="A153" s="6">
        <f t="shared" si="7"/>
        <v>149</v>
      </c>
      <c r="B153" s="7" t="s">
        <v>415</v>
      </c>
      <c r="C153" s="7" t="s">
        <v>451</v>
      </c>
      <c r="D153" s="106"/>
      <c r="E153" s="7" t="s">
        <v>452</v>
      </c>
      <c r="F153" s="8">
        <v>300</v>
      </c>
      <c r="G153" s="9">
        <v>59400</v>
      </c>
      <c r="H153" s="9">
        <f t="shared" si="6"/>
        <v>17820000</v>
      </c>
      <c r="I153" s="106"/>
      <c r="J153" s="7" t="s">
        <v>453</v>
      </c>
    </row>
    <row r="154" spans="1:10" s="15" customFormat="1" x14ac:dyDescent="0.35">
      <c r="A154" s="6">
        <f t="shared" si="7"/>
        <v>150</v>
      </c>
      <c r="B154" s="11" t="s">
        <v>415</v>
      </c>
      <c r="C154" s="11" t="s">
        <v>454</v>
      </c>
      <c r="D154" s="106"/>
      <c r="E154" s="11" t="s">
        <v>455</v>
      </c>
      <c r="F154" s="12">
        <v>400</v>
      </c>
      <c r="G154" s="13">
        <v>8277</v>
      </c>
      <c r="H154" s="13">
        <f t="shared" si="6"/>
        <v>3310800</v>
      </c>
      <c r="I154" s="106"/>
      <c r="J154" s="14" t="e">
        <v>#N/A</v>
      </c>
    </row>
    <row r="155" spans="1:10" x14ac:dyDescent="0.35">
      <c r="A155" s="6">
        <f t="shared" si="7"/>
        <v>151</v>
      </c>
      <c r="B155" s="7" t="s">
        <v>415</v>
      </c>
      <c r="C155" s="7" t="s">
        <v>456</v>
      </c>
      <c r="D155" s="105"/>
      <c r="E155" s="7" t="s">
        <v>457</v>
      </c>
      <c r="F155" s="8">
        <v>260</v>
      </c>
      <c r="G155" s="9">
        <v>16089</v>
      </c>
      <c r="H155" s="9">
        <f t="shared" si="6"/>
        <v>4183140</v>
      </c>
      <c r="I155" s="105"/>
      <c r="J155" s="7" t="s">
        <v>458</v>
      </c>
    </row>
    <row r="156" spans="1:10" x14ac:dyDescent="0.35">
      <c r="A156" s="6">
        <f t="shared" si="7"/>
        <v>152</v>
      </c>
      <c r="B156" s="22" t="s">
        <v>489</v>
      </c>
      <c r="C156" s="22" t="s">
        <v>488</v>
      </c>
      <c r="D156" s="22" t="s">
        <v>489</v>
      </c>
      <c r="E156" s="22" t="s">
        <v>490</v>
      </c>
      <c r="F156" s="23">
        <f>540+460</f>
        <v>1000</v>
      </c>
      <c r="G156" s="24">
        <v>3590</v>
      </c>
      <c r="H156" s="24">
        <f t="shared" si="6"/>
        <v>3590000</v>
      </c>
      <c r="I156" s="24">
        <f>H156</f>
        <v>3590000</v>
      </c>
      <c r="J156" s="7" t="s">
        <v>462</v>
      </c>
    </row>
    <row r="157" spans="1:10" x14ac:dyDescent="0.35">
      <c r="A157" s="6">
        <f t="shared" si="7"/>
        <v>153</v>
      </c>
      <c r="B157" s="7" t="s">
        <v>396</v>
      </c>
      <c r="C157" s="7" t="s">
        <v>395</v>
      </c>
      <c r="D157" s="104" t="s">
        <v>396</v>
      </c>
      <c r="E157" s="7" t="s">
        <v>397</v>
      </c>
      <c r="F157" s="8">
        <v>1300</v>
      </c>
      <c r="G157" s="9">
        <v>6559</v>
      </c>
      <c r="H157" s="9">
        <f t="shared" si="6"/>
        <v>8526700</v>
      </c>
      <c r="I157" s="110">
        <f>SUM(H157:H163)</f>
        <v>24855700</v>
      </c>
      <c r="J157" s="7" t="s">
        <v>465</v>
      </c>
    </row>
    <row r="158" spans="1:10" x14ac:dyDescent="0.35">
      <c r="A158" s="6">
        <f t="shared" si="7"/>
        <v>154</v>
      </c>
      <c r="B158" s="7" t="s">
        <v>396</v>
      </c>
      <c r="C158" s="7" t="s">
        <v>399</v>
      </c>
      <c r="D158" s="106"/>
      <c r="E158" s="7" t="s">
        <v>400</v>
      </c>
      <c r="F158" s="8">
        <v>130</v>
      </c>
      <c r="G158" s="9">
        <v>11700</v>
      </c>
      <c r="H158" s="9">
        <f t="shared" si="6"/>
        <v>1521000</v>
      </c>
      <c r="I158" s="106"/>
      <c r="J158" s="7" t="s">
        <v>468</v>
      </c>
    </row>
    <row r="159" spans="1:10" x14ac:dyDescent="0.35">
      <c r="A159" s="6">
        <f t="shared" si="7"/>
        <v>155</v>
      </c>
      <c r="B159" s="11" t="s">
        <v>396</v>
      </c>
      <c r="C159" s="11" t="s">
        <v>402</v>
      </c>
      <c r="D159" s="106"/>
      <c r="E159" s="11" t="s">
        <v>403</v>
      </c>
      <c r="F159" s="12">
        <v>5</v>
      </c>
      <c r="G159" s="13">
        <v>165000</v>
      </c>
      <c r="H159" s="13">
        <f t="shared" si="6"/>
        <v>825000</v>
      </c>
      <c r="I159" s="106"/>
      <c r="J159" s="7" t="s">
        <v>471</v>
      </c>
    </row>
    <row r="160" spans="1:10" x14ac:dyDescent="0.35">
      <c r="A160" s="6">
        <f t="shared" si="7"/>
        <v>156</v>
      </c>
      <c r="B160" s="7" t="s">
        <v>396</v>
      </c>
      <c r="C160" s="7" t="s">
        <v>404</v>
      </c>
      <c r="D160" s="106"/>
      <c r="E160" s="7" t="s">
        <v>405</v>
      </c>
      <c r="F160" s="8">
        <v>5</v>
      </c>
      <c r="G160" s="9">
        <v>165000</v>
      </c>
      <c r="H160" s="9">
        <f t="shared" si="6"/>
        <v>825000</v>
      </c>
      <c r="I160" s="106"/>
      <c r="J160" s="7" t="s">
        <v>474</v>
      </c>
    </row>
    <row r="161" spans="1:10" x14ac:dyDescent="0.35">
      <c r="A161" s="6">
        <f t="shared" si="7"/>
        <v>157</v>
      </c>
      <c r="B161" s="11" t="s">
        <v>396</v>
      </c>
      <c r="C161" s="11" t="s">
        <v>407</v>
      </c>
      <c r="D161" s="106"/>
      <c r="E161" s="11" t="s">
        <v>408</v>
      </c>
      <c r="F161" s="12">
        <v>24</v>
      </c>
      <c r="G161" s="13">
        <v>162000</v>
      </c>
      <c r="H161" s="13">
        <f t="shared" si="6"/>
        <v>3888000</v>
      </c>
      <c r="I161" s="106"/>
      <c r="J161" s="7" t="s">
        <v>478</v>
      </c>
    </row>
    <row r="162" spans="1:10" s="15" customFormat="1" x14ac:dyDescent="0.35">
      <c r="A162" s="6">
        <f t="shared" si="7"/>
        <v>158</v>
      </c>
      <c r="B162" s="11" t="s">
        <v>396</v>
      </c>
      <c r="C162" s="11" t="s">
        <v>409</v>
      </c>
      <c r="D162" s="106"/>
      <c r="E162" s="11" t="s">
        <v>410</v>
      </c>
      <c r="F162" s="12">
        <f>100+240+290</f>
        <v>630</v>
      </c>
      <c r="G162" s="13">
        <v>11000</v>
      </c>
      <c r="H162" s="13">
        <f t="shared" si="6"/>
        <v>6930000</v>
      </c>
      <c r="I162" s="106"/>
      <c r="J162" s="14" t="e">
        <v>#N/A</v>
      </c>
    </row>
    <row r="163" spans="1:10" x14ac:dyDescent="0.35">
      <c r="A163" s="6">
        <f t="shared" si="7"/>
        <v>159</v>
      </c>
      <c r="B163" s="7" t="s">
        <v>396</v>
      </c>
      <c r="C163" s="7" t="s">
        <v>411</v>
      </c>
      <c r="D163" s="105"/>
      <c r="E163" s="7" t="s">
        <v>412</v>
      </c>
      <c r="F163" s="8">
        <v>520</v>
      </c>
      <c r="G163" s="9">
        <v>4500</v>
      </c>
      <c r="H163" s="9">
        <f t="shared" si="6"/>
        <v>2340000</v>
      </c>
      <c r="I163" s="105"/>
      <c r="J163" s="7" t="s">
        <v>483</v>
      </c>
    </row>
    <row r="164" spans="1:10" x14ac:dyDescent="0.35">
      <c r="A164" s="6">
        <f t="shared" si="7"/>
        <v>160</v>
      </c>
      <c r="B164" s="7" t="s">
        <v>485</v>
      </c>
      <c r="C164" s="7" t="s">
        <v>484</v>
      </c>
      <c r="D164" s="7" t="s">
        <v>485</v>
      </c>
      <c r="E164" s="7" t="s">
        <v>486</v>
      </c>
      <c r="F164" s="8">
        <v>5000</v>
      </c>
      <c r="G164" s="9">
        <v>5900</v>
      </c>
      <c r="H164" s="9">
        <f t="shared" si="6"/>
        <v>29500000</v>
      </c>
      <c r="I164" s="9">
        <f>H164</f>
        <v>29500000</v>
      </c>
      <c r="J164" s="7" t="s">
        <v>487</v>
      </c>
    </row>
    <row r="165" spans="1:10" s="25" customFormat="1" x14ac:dyDescent="0.35">
      <c r="A165" s="6">
        <f t="shared" si="7"/>
        <v>161</v>
      </c>
      <c r="B165" s="7" t="s">
        <v>492</v>
      </c>
      <c r="C165" s="7" t="s">
        <v>491</v>
      </c>
      <c r="D165" s="7" t="s">
        <v>492</v>
      </c>
      <c r="E165" s="7" t="s">
        <v>493</v>
      </c>
      <c r="F165" s="8">
        <f>1600+3000</f>
        <v>4600</v>
      </c>
      <c r="G165" s="9">
        <v>900</v>
      </c>
      <c r="H165" s="9">
        <f t="shared" ref="H165:H176" si="8">F165*G165</f>
        <v>4140000</v>
      </c>
      <c r="I165" s="9">
        <f>H165</f>
        <v>4140000</v>
      </c>
      <c r="J165" s="10" t="e">
        <v>#N/A</v>
      </c>
    </row>
    <row r="166" spans="1:10" x14ac:dyDescent="0.35">
      <c r="A166" s="6">
        <f t="shared" si="7"/>
        <v>162</v>
      </c>
      <c r="B166" s="7" t="s">
        <v>496</v>
      </c>
      <c r="C166" s="7" t="s">
        <v>495</v>
      </c>
      <c r="D166" s="104" t="s">
        <v>496</v>
      </c>
      <c r="E166" s="7" t="s">
        <v>497</v>
      </c>
      <c r="F166" s="8">
        <v>110</v>
      </c>
      <c r="G166" s="9">
        <v>5300</v>
      </c>
      <c r="H166" s="9">
        <f t="shared" si="8"/>
        <v>583000</v>
      </c>
      <c r="I166" s="110">
        <f>SUM(H166:H171)</f>
        <v>4312000</v>
      </c>
      <c r="J166" s="7" t="s">
        <v>494</v>
      </c>
    </row>
    <row r="167" spans="1:10" x14ac:dyDescent="0.35">
      <c r="A167" s="6">
        <f t="shared" si="7"/>
        <v>163</v>
      </c>
      <c r="B167" s="7" t="s">
        <v>496</v>
      </c>
      <c r="C167" s="7" t="s">
        <v>499</v>
      </c>
      <c r="D167" s="106"/>
      <c r="E167" s="7" t="s">
        <v>500</v>
      </c>
      <c r="F167" s="8">
        <v>100</v>
      </c>
      <c r="G167" s="9">
        <v>4000</v>
      </c>
      <c r="H167" s="9">
        <f t="shared" si="8"/>
        <v>400000</v>
      </c>
      <c r="I167" s="106"/>
      <c r="J167" s="7" t="s">
        <v>498</v>
      </c>
    </row>
    <row r="168" spans="1:10" x14ac:dyDescent="0.35">
      <c r="A168" s="6">
        <f t="shared" si="7"/>
        <v>164</v>
      </c>
      <c r="B168" s="7" t="s">
        <v>496</v>
      </c>
      <c r="C168" s="7" t="s">
        <v>502</v>
      </c>
      <c r="D168" s="106"/>
      <c r="E168" s="7" t="s">
        <v>503</v>
      </c>
      <c r="F168" s="8">
        <v>200</v>
      </c>
      <c r="G168" s="9">
        <v>1000</v>
      </c>
      <c r="H168" s="9">
        <f t="shared" si="8"/>
        <v>200000</v>
      </c>
      <c r="I168" s="106"/>
      <c r="J168" s="7" t="s">
        <v>501</v>
      </c>
    </row>
    <row r="169" spans="1:10" x14ac:dyDescent="0.35">
      <c r="A169" s="6">
        <f t="shared" si="7"/>
        <v>165</v>
      </c>
      <c r="B169" s="7" t="s">
        <v>496</v>
      </c>
      <c r="C169" s="7" t="s">
        <v>505</v>
      </c>
      <c r="D169" s="106"/>
      <c r="E169" s="7" t="s">
        <v>506</v>
      </c>
      <c r="F169" s="8">
        <v>430</v>
      </c>
      <c r="G169" s="9">
        <v>2500</v>
      </c>
      <c r="H169" s="9">
        <f t="shared" si="8"/>
        <v>1075000</v>
      </c>
      <c r="I169" s="106"/>
      <c r="J169" s="7" t="s">
        <v>504</v>
      </c>
    </row>
    <row r="170" spans="1:10" x14ac:dyDescent="0.35">
      <c r="A170" s="6">
        <f t="shared" si="7"/>
        <v>166</v>
      </c>
      <c r="B170" s="7" t="s">
        <v>496</v>
      </c>
      <c r="C170" s="7" t="s">
        <v>508</v>
      </c>
      <c r="D170" s="106"/>
      <c r="E170" s="7" t="s">
        <v>509</v>
      </c>
      <c r="F170" s="8">
        <v>440</v>
      </c>
      <c r="G170" s="9">
        <v>2500</v>
      </c>
      <c r="H170" s="9">
        <f t="shared" si="8"/>
        <v>1100000</v>
      </c>
      <c r="I170" s="106"/>
      <c r="J170" s="7" t="s">
        <v>507</v>
      </c>
    </row>
    <row r="171" spans="1:10" x14ac:dyDescent="0.35">
      <c r="A171" s="6">
        <f t="shared" si="7"/>
        <v>167</v>
      </c>
      <c r="B171" s="7" t="s">
        <v>496</v>
      </c>
      <c r="C171" s="7" t="s">
        <v>511</v>
      </c>
      <c r="D171" s="105"/>
      <c r="E171" s="7" t="s">
        <v>512</v>
      </c>
      <c r="F171" s="8">
        <f>80+100</f>
        <v>180</v>
      </c>
      <c r="G171" s="9">
        <v>5300</v>
      </c>
      <c r="H171" s="9">
        <f t="shared" si="8"/>
        <v>954000</v>
      </c>
      <c r="I171" s="105"/>
      <c r="J171" s="7" t="s">
        <v>510</v>
      </c>
    </row>
    <row r="172" spans="1:10" x14ac:dyDescent="0.35">
      <c r="A172" s="6">
        <f t="shared" si="7"/>
        <v>168</v>
      </c>
      <c r="B172" s="11" t="s">
        <v>515</v>
      </c>
      <c r="C172" s="11" t="s">
        <v>514</v>
      </c>
      <c r="D172" s="11" t="s">
        <v>515</v>
      </c>
      <c r="E172" s="11" t="s">
        <v>516</v>
      </c>
      <c r="F172" s="12">
        <v>1800</v>
      </c>
      <c r="G172" s="13">
        <v>5004</v>
      </c>
      <c r="H172" s="13">
        <f t="shared" si="8"/>
        <v>9007200</v>
      </c>
      <c r="I172" s="13">
        <f>H172</f>
        <v>9007200</v>
      </c>
      <c r="J172" s="7" t="s">
        <v>513</v>
      </c>
    </row>
    <row r="173" spans="1:10" s="15" customFormat="1" x14ac:dyDescent="0.35">
      <c r="A173" s="6">
        <f t="shared" si="7"/>
        <v>169</v>
      </c>
      <c r="B173" s="7" t="s">
        <v>518</v>
      </c>
      <c r="C173" s="7" t="s">
        <v>517</v>
      </c>
      <c r="D173" s="104" t="s">
        <v>518</v>
      </c>
      <c r="E173" s="7" t="s">
        <v>519</v>
      </c>
      <c r="F173" s="8">
        <v>1100</v>
      </c>
      <c r="G173" s="9">
        <v>18695</v>
      </c>
      <c r="H173" s="9">
        <f t="shared" si="8"/>
        <v>20564500</v>
      </c>
      <c r="I173" s="110">
        <f>SUM(H173:H174)</f>
        <v>31466820</v>
      </c>
      <c r="J173" s="14" t="e">
        <v>#N/A</v>
      </c>
    </row>
    <row r="174" spans="1:10" x14ac:dyDescent="0.35">
      <c r="A174" s="6">
        <f t="shared" si="7"/>
        <v>170</v>
      </c>
      <c r="B174" s="7" t="s">
        <v>518</v>
      </c>
      <c r="C174" s="7" t="s">
        <v>521</v>
      </c>
      <c r="D174" s="105"/>
      <c r="E174" s="7" t="s">
        <v>522</v>
      </c>
      <c r="F174" s="8">
        <f>80+800</f>
        <v>880</v>
      </c>
      <c r="G174" s="9">
        <v>12389</v>
      </c>
      <c r="H174" s="9">
        <f t="shared" si="8"/>
        <v>10902320</v>
      </c>
      <c r="I174" s="105"/>
      <c r="J174" s="7" t="s">
        <v>520</v>
      </c>
    </row>
    <row r="175" spans="1:10" x14ac:dyDescent="0.35">
      <c r="A175" s="6">
        <f t="shared" si="7"/>
        <v>171</v>
      </c>
      <c r="B175" s="7" t="s">
        <v>525</v>
      </c>
      <c r="C175" s="7" t="s">
        <v>524</v>
      </c>
      <c r="D175" s="104" t="s">
        <v>525</v>
      </c>
      <c r="E175" s="7" t="s">
        <v>526</v>
      </c>
      <c r="F175" s="8">
        <v>620</v>
      </c>
      <c r="G175" s="9">
        <v>6365</v>
      </c>
      <c r="H175" s="9">
        <f t="shared" si="8"/>
        <v>3946300</v>
      </c>
      <c r="I175" s="110">
        <f>SUM(H175:H176)</f>
        <v>4576300</v>
      </c>
      <c r="J175" s="7" t="s">
        <v>523</v>
      </c>
    </row>
    <row r="176" spans="1:10" x14ac:dyDescent="0.35">
      <c r="A176" s="6">
        <f t="shared" si="7"/>
        <v>172</v>
      </c>
      <c r="B176" s="11" t="s">
        <v>525</v>
      </c>
      <c r="C176" s="11" t="s">
        <v>528</v>
      </c>
      <c r="D176" s="105"/>
      <c r="E176" s="11" t="s">
        <v>529</v>
      </c>
      <c r="F176" s="12">
        <v>300</v>
      </c>
      <c r="G176" s="13">
        <v>2100</v>
      </c>
      <c r="H176" s="13">
        <f t="shared" si="8"/>
        <v>630000</v>
      </c>
      <c r="I176" s="105"/>
      <c r="J176" s="7" t="s">
        <v>527</v>
      </c>
    </row>
    <row r="177" spans="1:10" s="21" customFormat="1" ht="22.25" customHeight="1" x14ac:dyDescent="0.35">
      <c r="A177" s="100" t="s">
        <v>530</v>
      </c>
      <c r="B177" s="100"/>
      <c r="C177" s="100"/>
      <c r="D177" s="100"/>
      <c r="E177" s="100"/>
      <c r="F177" s="26">
        <f>SUM(F5:F176)</f>
        <v>141855</v>
      </c>
      <c r="G177" s="27"/>
      <c r="H177" s="28">
        <f>SUM(H5:H176)</f>
        <v>1193157925</v>
      </c>
      <c r="I177" s="28">
        <f>SUM(I5:I176)</f>
        <v>1193157925</v>
      </c>
      <c r="J177" s="29"/>
    </row>
  </sheetData>
  <autoFilter ref="A4:M177" xr:uid="{3110ED94-F528-46AD-92CF-E57B37F935CD}"/>
  <sortState xmlns:xlrd2="http://schemas.microsoft.com/office/spreadsheetml/2017/richdata2" ref="B5:H176">
    <sortCondition ref="B5:B176"/>
  </sortState>
  <mergeCells count="44">
    <mergeCell ref="I175:I176"/>
    <mergeCell ref="I133:I134"/>
    <mergeCell ref="I136:I140"/>
    <mergeCell ref="I141:I155"/>
    <mergeCell ref="I157:I163"/>
    <mergeCell ref="I166:I171"/>
    <mergeCell ref="I173:I174"/>
    <mergeCell ref="I75:I83"/>
    <mergeCell ref="I84:I85"/>
    <mergeCell ref="I86:I98"/>
    <mergeCell ref="I100:I107"/>
    <mergeCell ref="I109:I129"/>
    <mergeCell ref="I131:I132"/>
    <mergeCell ref="D166:D171"/>
    <mergeCell ref="D173:D174"/>
    <mergeCell ref="D175:D176"/>
    <mergeCell ref="I5:I7"/>
    <mergeCell ref="I8:I9"/>
    <mergeCell ref="I11:I12"/>
    <mergeCell ref="I13:I33"/>
    <mergeCell ref="I34:I61"/>
    <mergeCell ref="I62:I68"/>
    <mergeCell ref="I69:I74"/>
    <mergeCell ref="D109:D129"/>
    <mergeCell ref="D131:D132"/>
    <mergeCell ref="D133:D134"/>
    <mergeCell ref="D136:D140"/>
    <mergeCell ref="D141:D155"/>
    <mergeCell ref="A1:H1"/>
    <mergeCell ref="A2:H2"/>
    <mergeCell ref="A3:H3"/>
    <mergeCell ref="A177:E177"/>
    <mergeCell ref="D5:D7"/>
    <mergeCell ref="D8:D9"/>
    <mergeCell ref="D11:D12"/>
    <mergeCell ref="D13:D33"/>
    <mergeCell ref="D34:D61"/>
    <mergeCell ref="D157:D163"/>
    <mergeCell ref="D62:D68"/>
    <mergeCell ref="D69:D74"/>
    <mergeCell ref="D75:D83"/>
    <mergeCell ref="D84:D85"/>
    <mergeCell ref="D86:D98"/>
    <mergeCell ref="D100:D107"/>
  </mergeCells>
  <conditionalFormatting sqref="C1:C3">
    <cfRule type="duplicateValues" dxfId="17" priority="5"/>
  </conditionalFormatting>
  <conditionalFormatting sqref="C178:C1048576 C4:C176">
    <cfRule type="duplicateValues" dxfId="16" priority="6"/>
    <cfRule type="duplicateValues" dxfId="15" priority="8"/>
  </conditionalFormatting>
  <conditionalFormatting sqref="E1:E1048576">
    <cfRule type="duplicateValues" dxfId="14" priority="1"/>
  </conditionalFormatting>
  <conditionalFormatting sqref="E178:E1048576 E4:E176">
    <cfRule type="duplicateValues" dxfId="13" priority="7"/>
    <cfRule type="duplicateValues" dxfId="12" priority="9"/>
  </conditionalFormatting>
  <conditionalFormatting sqref="J1:J3">
    <cfRule type="duplicateValues" dxfId="11" priority="3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4406-63C9-489F-9E10-2AC683AFD28F}">
  <sheetPr>
    <tabColor rgb="FF00B0F0"/>
  </sheetPr>
  <dimension ref="A1:I89"/>
  <sheetViews>
    <sheetView workbookViewId="0">
      <pane xSplit="2" ySplit="4" topLeftCell="C81" activePane="bottomRight" state="frozen"/>
      <selection activeCell="J57" sqref="J57"/>
      <selection pane="topRight" activeCell="J57" sqref="J57"/>
      <selection pane="bottomLeft" activeCell="J57" sqref="J57"/>
      <selection pane="bottomRight" activeCell="G92" sqref="G92"/>
    </sheetView>
  </sheetViews>
  <sheetFormatPr defaultColWidth="9.08984375" defaultRowHeight="14.5" x14ac:dyDescent="0.35"/>
  <cols>
    <col min="1" max="1" width="5.81640625" style="32" customWidth="1"/>
    <col min="2" max="2" width="15.81640625" style="15" bestFit="1" customWidth="1"/>
    <col min="3" max="3" width="26.81640625" style="15" customWidth="1"/>
    <col min="4" max="4" width="59.1796875" style="15" bestFit="1" customWidth="1"/>
    <col min="5" max="5" width="11.54296875" style="42" bestFit="1" customWidth="1"/>
    <col min="6" max="6" width="14.54296875" style="43" bestFit="1" customWidth="1"/>
    <col min="7" max="7" width="18.54296875" style="15" customWidth="1"/>
    <col min="8" max="8" width="13.54296875" style="15" hidden="1" customWidth="1"/>
    <col min="9" max="16384" width="9.08984375" style="15"/>
  </cols>
  <sheetData>
    <row r="1" spans="1:8" x14ac:dyDescent="0.35">
      <c r="A1" s="114" t="s">
        <v>0</v>
      </c>
      <c r="B1" s="114"/>
      <c r="C1" s="114"/>
      <c r="D1" s="114"/>
      <c r="E1" s="114"/>
      <c r="F1" s="114"/>
      <c r="G1" s="114"/>
      <c r="H1" s="30"/>
    </row>
    <row r="2" spans="1:8" x14ac:dyDescent="0.35">
      <c r="A2" s="114" t="s">
        <v>531</v>
      </c>
      <c r="B2" s="114"/>
      <c r="C2" s="114"/>
      <c r="D2" s="114"/>
      <c r="E2" s="114"/>
      <c r="F2" s="114"/>
      <c r="G2" s="114"/>
      <c r="H2" s="30"/>
    </row>
    <row r="3" spans="1:8" x14ac:dyDescent="0.35">
      <c r="A3" s="115">
        <v>45991</v>
      </c>
      <c r="B3" s="115"/>
      <c r="C3" s="115"/>
      <c r="D3" s="115"/>
      <c r="E3" s="115"/>
      <c r="F3" s="115"/>
      <c r="G3" s="115"/>
      <c r="H3" s="31"/>
    </row>
    <row r="4" spans="1:8" s="40" customFormat="1" ht="20.75" customHeight="1" x14ac:dyDescent="0.35">
      <c r="A4" s="48" t="s">
        <v>2</v>
      </c>
      <c r="B4" s="48" t="s">
        <v>3</v>
      </c>
      <c r="C4" s="48" t="s">
        <v>777</v>
      </c>
      <c r="D4" s="48" t="s">
        <v>778</v>
      </c>
      <c r="E4" s="49" t="s">
        <v>5</v>
      </c>
      <c r="F4" s="50" t="s">
        <v>779</v>
      </c>
      <c r="G4" s="51" t="s">
        <v>530</v>
      </c>
      <c r="H4" s="52" t="s">
        <v>6</v>
      </c>
    </row>
    <row r="5" spans="1:8" x14ac:dyDescent="0.35">
      <c r="A5" s="33">
        <v>1</v>
      </c>
      <c r="B5" s="11" t="s">
        <v>532</v>
      </c>
      <c r="C5" s="11" t="s">
        <v>533</v>
      </c>
      <c r="D5" s="34" t="s">
        <v>534</v>
      </c>
      <c r="E5" s="12">
        <f>310+600+300+300</f>
        <v>1510</v>
      </c>
      <c r="F5" s="13">
        <v>7998</v>
      </c>
      <c r="G5" s="13">
        <f>F5*E5</f>
        <v>12076980</v>
      </c>
      <c r="H5" s="35" t="s">
        <v>535</v>
      </c>
    </row>
    <row r="6" spans="1:8" x14ac:dyDescent="0.35">
      <c r="A6" s="33">
        <f t="shared" ref="A6:A69" si="0">A5+1</f>
        <v>2</v>
      </c>
      <c r="B6" s="11" t="s">
        <v>536</v>
      </c>
      <c r="C6" s="11" t="s">
        <v>533</v>
      </c>
      <c r="D6" s="34" t="s">
        <v>537</v>
      </c>
      <c r="E6" s="12">
        <f>320+180+310+250+300+330+320</f>
        <v>2010</v>
      </c>
      <c r="F6" s="13">
        <v>9772</v>
      </c>
      <c r="G6" s="13">
        <f t="shared" ref="G6:G69" si="1">F6*E6</f>
        <v>19641720</v>
      </c>
      <c r="H6" s="35" t="s">
        <v>538</v>
      </c>
    </row>
    <row r="7" spans="1:8" x14ac:dyDescent="0.35">
      <c r="A7" s="33">
        <f t="shared" si="0"/>
        <v>3</v>
      </c>
      <c r="B7" s="11" t="s">
        <v>539</v>
      </c>
      <c r="C7" s="11" t="s">
        <v>533</v>
      </c>
      <c r="D7" s="34" t="s">
        <v>540</v>
      </c>
      <c r="E7" s="12">
        <v>160</v>
      </c>
      <c r="F7" s="13">
        <v>7849</v>
      </c>
      <c r="G7" s="13">
        <f t="shared" si="1"/>
        <v>1255840</v>
      </c>
      <c r="H7" s="35" t="s">
        <v>541</v>
      </c>
    </row>
    <row r="8" spans="1:8" x14ac:dyDescent="0.35">
      <c r="A8" s="33">
        <f t="shared" si="0"/>
        <v>4</v>
      </c>
      <c r="B8" s="11" t="s">
        <v>542</v>
      </c>
      <c r="C8" s="11" t="s">
        <v>543</v>
      </c>
      <c r="D8" s="34" t="s">
        <v>544</v>
      </c>
      <c r="E8" s="12">
        <v>303</v>
      </c>
      <c r="F8" s="13">
        <v>17692</v>
      </c>
      <c r="G8" s="13">
        <f t="shared" si="1"/>
        <v>5360676</v>
      </c>
      <c r="H8" s="35" t="s">
        <v>545</v>
      </c>
    </row>
    <row r="9" spans="1:8" ht="29" x14ac:dyDescent="0.35">
      <c r="A9" s="33">
        <f t="shared" si="0"/>
        <v>5</v>
      </c>
      <c r="B9" s="11" t="s">
        <v>546</v>
      </c>
      <c r="C9" s="11" t="s">
        <v>543</v>
      </c>
      <c r="D9" s="34" t="s">
        <v>547</v>
      </c>
      <c r="E9" s="12">
        <v>180</v>
      </c>
      <c r="F9" s="13">
        <v>6039</v>
      </c>
      <c r="G9" s="13">
        <f t="shared" si="1"/>
        <v>1087020</v>
      </c>
      <c r="H9" s="35" t="s">
        <v>548</v>
      </c>
    </row>
    <row r="10" spans="1:8" ht="29" x14ac:dyDescent="0.35">
      <c r="A10" s="33">
        <f t="shared" si="0"/>
        <v>6</v>
      </c>
      <c r="B10" s="11" t="s">
        <v>549</v>
      </c>
      <c r="C10" s="11" t="s">
        <v>543</v>
      </c>
      <c r="D10" s="34" t="s">
        <v>550</v>
      </c>
      <c r="E10" s="12">
        <v>200</v>
      </c>
      <c r="F10" s="13">
        <v>9344</v>
      </c>
      <c r="G10" s="13">
        <f t="shared" si="1"/>
        <v>1868800</v>
      </c>
      <c r="H10" s="35" t="s">
        <v>551</v>
      </c>
    </row>
    <row r="11" spans="1:8" x14ac:dyDescent="0.35">
      <c r="A11" s="33">
        <f t="shared" si="0"/>
        <v>7</v>
      </c>
      <c r="B11" s="11" t="s">
        <v>552</v>
      </c>
      <c r="C11" s="11" t="s">
        <v>543</v>
      </c>
      <c r="D11" s="34" t="s">
        <v>553</v>
      </c>
      <c r="E11" s="12">
        <f>1500+840+100</f>
        <v>2440</v>
      </c>
      <c r="F11" s="13">
        <v>2737</v>
      </c>
      <c r="G11" s="13">
        <f t="shared" si="1"/>
        <v>6678280</v>
      </c>
      <c r="H11" s="35" t="s">
        <v>554</v>
      </c>
    </row>
    <row r="12" spans="1:8" x14ac:dyDescent="0.35">
      <c r="A12" s="33">
        <f t="shared" si="0"/>
        <v>8</v>
      </c>
      <c r="B12" s="11" t="s">
        <v>555</v>
      </c>
      <c r="C12" s="11" t="s">
        <v>556</v>
      </c>
      <c r="D12" s="34" t="s">
        <v>557</v>
      </c>
      <c r="E12" s="12">
        <v>380</v>
      </c>
      <c r="F12" s="13">
        <v>12065</v>
      </c>
      <c r="G12" s="13">
        <f t="shared" si="1"/>
        <v>4584700</v>
      </c>
      <c r="H12" s="35" t="s">
        <v>558</v>
      </c>
    </row>
    <row r="13" spans="1:8" x14ac:dyDescent="0.35">
      <c r="A13" s="33">
        <f t="shared" si="0"/>
        <v>9</v>
      </c>
      <c r="B13" s="11" t="s">
        <v>559</v>
      </c>
      <c r="C13" s="11" t="s">
        <v>560</v>
      </c>
      <c r="D13" s="11" t="s">
        <v>561</v>
      </c>
      <c r="E13" s="12">
        <f>26+34+30</f>
        <v>90</v>
      </c>
      <c r="F13" s="13">
        <v>83000</v>
      </c>
      <c r="G13" s="13">
        <f t="shared" si="1"/>
        <v>7470000</v>
      </c>
      <c r="H13" s="35" t="e">
        <v>#N/A</v>
      </c>
    </row>
    <row r="14" spans="1:8" x14ac:dyDescent="0.35">
      <c r="A14" s="33">
        <f t="shared" si="0"/>
        <v>10</v>
      </c>
      <c r="B14" s="11" t="s">
        <v>562</v>
      </c>
      <c r="C14" s="11" t="s">
        <v>563</v>
      </c>
      <c r="D14" s="34" t="s">
        <v>564</v>
      </c>
      <c r="E14" s="12">
        <v>500</v>
      </c>
      <c r="F14" s="36">
        <v>1934</v>
      </c>
      <c r="G14" s="13">
        <f t="shared" si="1"/>
        <v>967000</v>
      </c>
      <c r="H14" s="35" t="s">
        <v>565</v>
      </c>
    </row>
    <row r="15" spans="1:8" x14ac:dyDescent="0.35">
      <c r="A15" s="33">
        <f t="shared" si="0"/>
        <v>11</v>
      </c>
      <c r="B15" s="11" t="s">
        <v>566</v>
      </c>
      <c r="C15" s="11" t="s">
        <v>543</v>
      </c>
      <c r="D15" s="34" t="s">
        <v>567</v>
      </c>
      <c r="E15" s="12">
        <v>500</v>
      </c>
      <c r="F15" s="13">
        <v>2798</v>
      </c>
      <c r="G15" s="13">
        <f t="shared" si="1"/>
        <v>1399000</v>
      </c>
      <c r="H15" s="35" t="s">
        <v>568</v>
      </c>
    </row>
    <row r="16" spans="1:8" x14ac:dyDescent="0.35">
      <c r="A16" s="33">
        <f t="shared" si="0"/>
        <v>12</v>
      </c>
      <c r="B16" s="11" t="s">
        <v>569</v>
      </c>
      <c r="C16" s="11" t="s">
        <v>543</v>
      </c>
      <c r="D16" s="34" t="s">
        <v>570</v>
      </c>
      <c r="E16" s="12">
        <v>310</v>
      </c>
      <c r="F16" s="13">
        <v>22267</v>
      </c>
      <c r="G16" s="13">
        <f t="shared" si="1"/>
        <v>6902770</v>
      </c>
      <c r="H16" s="35" t="s">
        <v>571</v>
      </c>
    </row>
    <row r="17" spans="1:8" x14ac:dyDescent="0.35">
      <c r="A17" s="33">
        <f t="shared" si="0"/>
        <v>13</v>
      </c>
      <c r="B17" s="11" t="s">
        <v>572</v>
      </c>
      <c r="C17" s="11" t="s">
        <v>556</v>
      </c>
      <c r="D17" s="34" t="s">
        <v>573</v>
      </c>
      <c r="E17" s="12">
        <v>120</v>
      </c>
      <c r="F17" s="13">
        <v>6884</v>
      </c>
      <c r="G17" s="13">
        <f t="shared" si="1"/>
        <v>826080</v>
      </c>
      <c r="H17" s="35" t="s">
        <v>574</v>
      </c>
    </row>
    <row r="18" spans="1:8" x14ac:dyDescent="0.35">
      <c r="A18" s="33">
        <f t="shared" si="0"/>
        <v>14</v>
      </c>
      <c r="B18" s="11" t="s">
        <v>575</v>
      </c>
      <c r="C18" s="11" t="s">
        <v>563</v>
      </c>
      <c r="D18" s="11" t="s">
        <v>576</v>
      </c>
      <c r="E18" s="12">
        <f>170+130</f>
        <v>300</v>
      </c>
      <c r="F18" s="13">
        <v>8536</v>
      </c>
      <c r="G18" s="13">
        <f t="shared" si="1"/>
        <v>2560800</v>
      </c>
      <c r="H18" s="35" t="e">
        <v>#N/A</v>
      </c>
    </row>
    <row r="19" spans="1:8" x14ac:dyDescent="0.35">
      <c r="A19" s="33">
        <f t="shared" si="0"/>
        <v>15</v>
      </c>
      <c r="B19" s="11" t="s">
        <v>577</v>
      </c>
      <c r="C19" s="11" t="s">
        <v>578</v>
      </c>
      <c r="D19" s="11" t="s">
        <v>579</v>
      </c>
      <c r="E19" s="12">
        <v>560</v>
      </c>
      <c r="F19" s="13">
        <v>10400</v>
      </c>
      <c r="G19" s="13">
        <f t="shared" si="1"/>
        <v>5824000</v>
      </c>
      <c r="H19" s="35" t="e">
        <v>#N/A</v>
      </c>
    </row>
    <row r="20" spans="1:8" x14ac:dyDescent="0.35">
      <c r="A20" s="33">
        <f t="shared" si="0"/>
        <v>16</v>
      </c>
      <c r="B20" s="11" t="s">
        <v>580</v>
      </c>
      <c r="C20" s="11" t="s">
        <v>563</v>
      </c>
      <c r="D20" s="34" t="s">
        <v>581</v>
      </c>
      <c r="E20" s="12">
        <v>475</v>
      </c>
      <c r="F20" s="13">
        <v>11475</v>
      </c>
      <c r="G20" s="13">
        <f t="shared" si="1"/>
        <v>5450625</v>
      </c>
      <c r="H20" s="35" t="s">
        <v>582</v>
      </c>
    </row>
    <row r="21" spans="1:8" x14ac:dyDescent="0.35">
      <c r="A21" s="33">
        <f t="shared" si="0"/>
        <v>17</v>
      </c>
      <c r="B21" s="11" t="s">
        <v>583</v>
      </c>
      <c r="C21" s="11" t="s">
        <v>584</v>
      </c>
      <c r="D21" s="34" t="s">
        <v>585</v>
      </c>
      <c r="E21" s="12">
        <v>80</v>
      </c>
      <c r="F21" s="13">
        <v>3634</v>
      </c>
      <c r="G21" s="13">
        <f t="shared" si="1"/>
        <v>290720</v>
      </c>
      <c r="H21" s="35" t="s">
        <v>586</v>
      </c>
    </row>
    <row r="22" spans="1:8" x14ac:dyDescent="0.35">
      <c r="A22" s="33">
        <f t="shared" si="0"/>
        <v>18</v>
      </c>
      <c r="B22" s="11" t="s">
        <v>587</v>
      </c>
      <c r="C22" s="11" t="s">
        <v>543</v>
      </c>
      <c r="D22" s="34" t="s">
        <v>588</v>
      </c>
      <c r="E22" s="12">
        <f>540+115</f>
        <v>655</v>
      </c>
      <c r="F22" s="13">
        <v>4046</v>
      </c>
      <c r="G22" s="13">
        <f t="shared" si="1"/>
        <v>2650130</v>
      </c>
      <c r="H22" s="35" t="s">
        <v>589</v>
      </c>
    </row>
    <row r="23" spans="1:8" x14ac:dyDescent="0.35">
      <c r="A23" s="33">
        <f t="shared" si="0"/>
        <v>19</v>
      </c>
      <c r="B23" s="11" t="s">
        <v>590</v>
      </c>
      <c r="C23" s="11" t="s">
        <v>584</v>
      </c>
      <c r="D23" s="34" t="s">
        <v>591</v>
      </c>
      <c r="E23" s="12">
        <v>460</v>
      </c>
      <c r="F23" s="13">
        <v>5386</v>
      </c>
      <c r="G23" s="13">
        <f t="shared" si="1"/>
        <v>2477560</v>
      </c>
      <c r="H23" s="35" t="s">
        <v>592</v>
      </c>
    </row>
    <row r="24" spans="1:8" x14ac:dyDescent="0.35">
      <c r="A24" s="33">
        <f t="shared" si="0"/>
        <v>20</v>
      </c>
      <c r="B24" s="11" t="s">
        <v>593</v>
      </c>
      <c r="C24" s="11" t="s">
        <v>543</v>
      </c>
      <c r="D24" s="34" t="s">
        <v>594</v>
      </c>
      <c r="E24" s="12">
        <v>229</v>
      </c>
      <c r="F24" s="13">
        <v>3453</v>
      </c>
      <c r="G24" s="13">
        <f t="shared" si="1"/>
        <v>790737</v>
      </c>
      <c r="H24" s="35" t="s">
        <v>595</v>
      </c>
    </row>
    <row r="25" spans="1:8" x14ac:dyDescent="0.35">
      <c r="A25" s="33">
        <f t="shared" si="0"/>
        <v>21</v>
      </c>
      <c r="B25" s="11" t="s">
        <v>596</v>
      </c>
      <c r="C25" s="11" t="s">
        <v>543</v>
      </c>
      <c r="D25" s="34" t="s">
        <v>597</v>
      </c>
      <c r="E25" s="12">
        <v>600</v>
      </c>
      <c r="F25" s="13">
        <v>2159</v>
      </c>
      <c r="G25" s="13">
        <f t="shared" si="1"/>
        <v>1295400</v>
      </c>
      <c r="H25" s="35" t="s">
        <v>598</v>
      </c>
    </row>
    <row r="26" spans="1:8" x14ac:dyDescent="0.35">
      <c r="A26" s="33">
        <f t="shared" si="0"/>
        <v>22</v>
      </c>
      <c r="B26" s="11" t="s">
        <v>599</v>
      </c>
      <c r="C26" s="11" t="s">
        <v>563</v>
      </c>
      <c r="D26" s="34" t="s">
        <v>600</v>
      </c>
      <c r="E26" s="12">
        <v>510</v>
      </c>
      <c r="F26" s="13">
        <v>8245</v>
      </c>
      <c r="G26" s="13">
        <f t="shared" si="1"/>
        <v>4204950</v>
      </c>
      <c r="H26" s="35" t="s">
        <v>601</v>
      </c>
    </row>
    <row r="27" spans="1:8" x14ac:dyDescent="0.35">
      <c r="A27" s="33">
        <f t="shared" si="0"/>
        <v>23</v>
      </c>
      <c r="B27" s="11" t="s">
        <v>602</v>
      </c>
      <c r="C27" s="11" t="s">
        <v>543</v>
      </c>
      <c r="D27" s="34" t="s">
        <v>603</v>
      </c>
      <c r="E27" s="12">
        <f>90+140</f>
        <v>230</v>
      </c>
      <c r="F27" s="13">
        <v>18055</v>
      </c>
      <c r="G27" s="13">
        <f t="shared" si="1"/>
        <v>4152650</v>
      </c>
      <c r="H27" s="35" t="s">
        <v>604</v>
      </c>
    </row>
    <row r="28" spans="1:8" ht="29" x14ac:dyDescent="0.35">
      <c r="A28" s="33">
        <f t="shared" si="0"/>
        <v>24</v>
      </c>
      <c r="B28" s="11" t="s">
        <v>605</v>
      </c>
      <c r="C28" s="11" t="s">
        <v>533</v>
      </c>
      <c r="D28" s="34" t="s">
        <v>606</v>
      </c>
      <c r="E28" s="12">
        <f>320+960+320</f>
        <v>1600</v>
      </c>
      <c r="F28" s="13">
        <v>10677</v>
      </c>
      <c r="G28" s="13">
        <f t="shared" si="1"/>
        <v>17083200</v>
      </c>
      <c r="H28" s="35" t="s">
        <v>607</v>
      </c>
    </row>
    <row r="29" spans="1:8" x14ac:dyDescent="0.35">
      <c r="A29" s="33">
        <f t="shared" si="0"/>
        <v>25</v>
      </c>
      <c r="B29" s="11" t="s">
        <v>608</v>
      </c>
      <c r="C29" s="11" t="s">
        <v>543</v>
      </c>
      <c r="D29" s="34" t="s">
        <v>609</v>
      </c>
      <c r="E29" s="12">
        <f>190+320+320+335</f>
        <v>1165</v>
      </c>
      <c r="F29" s="13">
        <v>11566</v>
      </c>
      <c r="G29" s="13">
        <f t="shared" si="1"/>
        <v>13474390</v>
      </c>
      <c r="H29" s="35" t="s">
        <v>610</v>
      </c>
    </row>
    <row r="30" spans="1:8" x14ac:dyDescent="0.35">
      <c r="A30" s="33">
        <f t="shared" si="0"/>
        <v>26</v>
      </c>
      <c r="B30" s="11" t="s">
        <v>611</v>
      </c>
      <c r="C30" s="11" t="s">
        <v>533</v>
      </c>
      <c r="D30" s="34" t="s">
        <v>612</v>
      </c>
      <c r="E30" s="12">
        <f>320+130+320+320</f>
        <v>1090</v>
      </c>
      <c r="F30" s="13">
        <v>9223</v>
      </c>
      <c r="G30" s="13">
        <f t="shared" si="1"/>
        <v>10053070</v>
      </c>
      <c r="H30" s="35" t="s">
        <v>613</v>
      </c>
    </row>
    <row r="31" spans="1:8" x14ac:dyDescent="0.35">
      <c r="A31" s="33">
        <f t="shared" si="0"/>
        <v>27</v>
      </c>
      <c r="B31" s="11" t="s">
        <v>614</v>
      </c>
      <c r="C31" s="11" t="s">
        <v>543</v>
      </c>
      <c r="D31" s="34" t="s">
        <v>615</v>
      </c>
      <c r="E31" s="12">
        <v>620</v>
      </c>
      <c r="F31" s="13">
        <v>9255</v>
      </c>
      <c r="G31" s="13">
        <f t="shared" si="1"/>
        <v>5738100</v>
      </c>
      <c r="H31" s="35" t="s">
        <v>616</v>
      </c>
    </row>
    <row r="32" spans="1:8" x14ac:dyDescent="0.35">
      <c r="A32" s="33">
        <f t="shared" si="0"/>
        <v>28</v>
      </c>
      <c r="B32" s="11" t="s">
        <v>617</v>
      </c>
      <c r="C32" s="11" t="s">
        <v>533</v>
      </c>
      <c r="D32" s="34" t="s">
        <v>618</v>
      </c>
      <c r="E32" s="12">
        <v>440</v>
      </c>
      <c r="F32" s="13">
        <v>7604</v>
      </c>
      <c r="G32" s="13">
        <f t="shared" si="1"/>
        <v>3345760</v>
      </c>
      <c r="H32" s="35" t="s">
        <v>619</v>
      </c>
    </row>
    <row r="33" spans="1:8" x14ac:dyDescent="0.35">
      <c r="A33" s="33">
        <f t="shared" si="0"/>
        <v>29</v>
      </c>
      <c r="B33" s="11" t="s">
        <v>620</v>
      </c>
      <c r="C33" s="11" t="s">
        <v>556</v>
      </c>
      <c r="D33" s="34" t="s">
        <v>621</v>
      </c>
      <c r="E33" s="12">
        <f>520+300+140</f>
        <v>960</v>
      </c>
      <c r="F33" s="13">
        <v>4750</v>
      </c>
      <c r="G33" s="13">
        <f t="shared" si="1"/>
        <v>4560000</v>
      </c>
      <c r="H33" s="35" t="s">
        <v>622</v>
      </c>
    </row>
    <row r="34" spans="1:8" x14ac:dyDescent="0.35">
      <c r="A34" s="33">
        <f t="shared" si="0"/>
        <v>30</v>
      </c>
      <c r="B34" s="11" t="s">
        <v>623</v>
      </c>
      <c r="C34" s="11" t="s">
        <v>543</v>
      </c>
      <c r="D34" s="34" t="s">
        <v>624</v>
      </c>
      <c r="E34" s="12">
        <v>250</v>
      </c>
      <c r="F34" s="13">
        <v>19356</v>
      </c>
      <c r="G34" s="13">
        <f t="shared" si="1"/>
        <v>4839000</v>
      </c>
      <c r="H34" s="35" t="s">
        <v>625</v>
      </c>
    </row>
    <row r="35" spans="1:8" x14ac:dyDescent="0.35">
      <c r="A35" s="33">
        <f t="shared" si="0"/>
        <v>31</v>
      </c>
      <c r="B35" s="11" t="s">
        <v>626</v>
      </c>
      <c r="C35" s="11" t="s">
        <v>627</v>
      </c>
      <c r="D35" s="34" t="s">
        <v>628</v>
      </c>
      <c r="E35" s="12">
        <v>105</v>
      </c>
      <c r="F35" s="13">
        <v>17669</v>
      </c>
      <c r="G35" s="13">
        <f t="shared" si="1"/>
        <v>1855245</v>
      </c>
      <c r="H35" s="35" t="s">
        <v>629</v>
      </c>
    </row>
    <row r="36" spans="1:8" x14ac:dyDescent="0.35">
      <c r="A36" s="33">
        <f t="shared" si="0"/>
        <v>32</v>
      </c>
      <c r="B36" s="11" t="s">
        <v>630</v>
      </c>
      <c r="C36" s="11" t="s">
        <v>543</v>
      </c>
      <c r="D36" s="34" t="s">
        <v>631</v>
      </c>
      <c r="E36" s="12">
        <v>500</v>
      </c>
      <c r="F36" s="13">
        <v>5954</v>
      </c>
      <c r="G36" s="13">
        <f t="shared" si="1"/>
        <v>2977000</v>
      </c>
      <c r="H36" s="35" t="s">
        <v>632</v>
      </c>
    </row>
    <row r="37" spans="1:8" x14ac:dyDescent="0.35">
      <c r="A37" s="33">
        <f t="shared" si="0"/>
        <v>33</v>
      </c>
      <c r="B37" s="11" t="s">
        <v>633</v>
      </c>
      <c r="C37" s="11" t="s">
        <v>627</v>
      </c>
      <c r="D37" s="34" t="s">
        <v>634</v>
      </c>
      <c r="E37" s="12">
        <v>2300</v>
      </c>
      <c r="F37" s="13">
        <v>2588</v>
      </c>
      <c r="G37" s="13">
        <f t="shared" si="1"/>
        <v>5952400</v>
      </c>
      <c r="H37" s="35" t="s">
        <v>635</v>
      </c>
    </row>
    <row r="38" spans="1:8" x14ac:dyDescent="0.35">
      <c r="A38" s="33">
        <f t="shared" si="0"/>
        <v>34</v>
      </c>
      <c r="B38" s="11" t="s">
        <v>636</v>
      </c>
      <c r="C38" s="11" t="s">
        <v>543</v>
      </c>
      <c r="D38" s="34" t="s">
        <v>637</v>
      </c>
      <c r="E38" s="12">
        <v>540</v>
      </c>
      <c r="F38" s="13">
        <v>5090</v>
      </c>
      <c r="G38" s="13">
        <f t="shared" si="1"/>
        <v>2748600</v>
      </c>
      <c r="H38" s="35" t="s">
        <v>638</v>
      </c>
    </row>
    <row r="39" spans="1:8" x14ac:dyDescent="0.35">
      <c r="A39" s="33">
        <f t="shared" si="0"/>
        <v>35</v>
      </c>
      <c r="B39" s="11" t="s">
        <v>639</v>
      </c>
      <c r="C39" s="11" t="s">
        <v>543</v>
      </c>
      <c r="D39" s="34" t="s">
        <v>640</v>
      </c>
      <c r="E39" s="12">
        <v>263</v>
      </c>
      <c r="F39" s="13">
        <v>14675</v>
      </c>
      <c r="G39" s="13">
        <f t="shared" si="1"/>
        <v>3859525</v>
      </c>
      <c r="H39" s="35" t="s">
        <v>641</v>
      </c>
    </row>
    <row r="40" spans="1:8" x14ac:dyDescent="0.35">
      <c r="A40" s="33">
        <f t="shared" si="0"/>
        <v>36</v>
      </c>
      <c r="B40" s="11" t="s">
        <v>642</v>
      </c>
      <c r="C40" s="11" t="s">
        <v>543</v>
      </c>
      <c r="D40" s="34" t="s">
        <v>643</v>
      </c>
      <c r="E40" s="12">
        <f>1000+200</f>
        <v>1200</v>
      </c>
      <c r="F40" s="13">
        <v>5475</v>
      </c>
      <c r="G40" s="13">
        <f t="shared" si="1"/>
        <v>6570000</v>
      </c>
      <c r="H40" s="35" t="s">
        <v>644</v>
      </c>
    </row>
    <row r="41" spans="1:8" x14ac:dyDescent="0.35">
      <c r="A41" s="33">
        <f t="shared" si="0"/>
        <v>37</v>
      </c>
      <c r="B41" s="11" t="s">
        <v>645</v>
      </c>
      <c r="C41" s="11" t="s">
        <v>627</v>
      </c>
      <c r="D41" s="34" t="s">
        <v>646</v>
      </c>
      <c r="E41" s="12">
        <v>100</v>
      </c>
      <c r="F41" s="13">
        <v>20767</v>
      </c>
      <c r="G41" s="13">
        <f t="shared" si="1"/>
        <v>2076700</v>
      </c>
      <c r="H41" s="35" t="s">
        <v>647</v>
      </c>
    </row>
    <row r="42" spans="1:8" ht="29" x14ac:dyDescent="0.35">
      <c r="A42" s="33">
        <f t="shared" si="0"/>
        <v>38</v>
      </c>
      <c r="B42" s="11" t="s">
        <v>648</v>
      </c>
      <c r="C42" s="11" t="s">
        <v>543</v>
      </c>
      <c r="D42" s="34" t="s">
        <v>649</v>
      </c>
      <c r="E42" s="12">
        <f>235+330</f>
        <v>565</v>
      </c>
      <c r="F42" s="13">
        <v>10996</v>
      </c>
      <c r="G42" s="13">
        <f t="shared" si="1"/>
        <v>6212740</v>
      </c>
      <c r="H42" s="35" t="s">
        <v>650</v>
      </c>
    </row>
    <row r="43" spans="1:8" x14ac:dyDescent="0.35">
      <c r="A43" s="33">
        <f t="shared" si="0"/>
        <v>39</v>
      </c>
      <c r="B43" s="11" t="s">
        <v>651</v>
      </c>
      <c r="C43" s="11" t="s">
        <v>627</v>
      </c>
      <c r="D43" s="11" t="s">
        <v>652</v>
      </c>
      <c r="E43" s="12">
        <v>120</v>
      </c>
      <c r="F43" s="13">
        <v>32020</v>
      </c>
      <c r="G43" s="13">
        <f t="shared" si="1"/>
        <v>3842400</v>
      </c>
      <c r="H43" s="35" t="e">
        <v>#N/A</v>
      </c>
    </row>
    <row r="44" spans="1:8" x14ac:dyDescent="0.35">
      <c r="A44" s="33">
        <f t="shared" si="0"/>
        <v>40</v>
      </c>
      <c r="B44" s="11" t="s">
        <v>653</v>
      </c>
      <c r="C44" s="11" t="s">
        <v>533</v>
      </c>
      <c r="D44" s="34" t="s">
        <v>654</v>
      </c>
      <c r="E44" s="12">
        <f>1116+1085+620</f>
        <v>2821</v>
      </c>
      <c r="F44" s="13">
        <v>4366</v>
      </c>
      <c r="G44" s="13">
        <f t="shared" si="1"/>
        <v>12316486</v>
      </c>
      <c r="H44" s="35" t="s">
        <v>655</v>
      </c>
    </row>
    <row r="45" spans="1:8" x14ac:dyDescent="0.35">
      <c r="A45" s="33">
        <f t="shared" si="0"/>
        <v>41</v>
      </c>
      <c r="B45" s="11" t="s">
        <v>656</v>
      </c>
      <c r="C45" s="11" t="s">
        <v>578</v>
      </c>
      <c r="D45" s="34" t="s">
        <v>657</v>
      </c>
      <c r="E45" s="12">
        <v>165</v>
      </c>
      <c r="F45" s="13">
        <v>9180</v>
      </c>
      <c r="G45" s="13">
        <f t="shared" si="1"/>
        <v>1514700</v>
      </c>
      <c r="H45" s="35" t="s">
        <v>658</v>
      </c>
    </row>
    <row r="46" spans="1:8" x14ac:dyDescent="0.35">
      <c r="A46" s="33">
        <f t="shared" si="0"/>
        <v>42</v>
      </c>
      <c r="B46" s="11" t="s">
        <v>659</v>
      </c>
      <c r="C46" s="11" t="s">
        <v>543</v>
      </c>
      <c r="D46" s="34" t="s">
        <v>660</v>
      </c>
      <c r="E46" s="12">
        <f>320+320+320</f>
        <v>960</v>
      </c>
      <c r="F46" s="13">
        <v>8075</v>
      </c>
      <c r="G46" s="13">
        <f t="shared" si="1"/>
        <v>7752000</v>
      </c>
      <c r="H46" s="35" t="s">
        <v>661</v>
      </c>
    </row>
    <row r="47" spans="1:8" x14ac:dyDescent="0.35">
      <c r="A47" s="33">
        <f t="shared" si="0"/>
        <v>43</v>
      </c>
      <c r="B47" s="11" t="s">
        <v>662</v>
      </c>
      <c r="C47" s="11" t="s">
        <v>556</v>
      </c>
      <c r="D47" s="11" t="s">
        <v>663</v>
      </c>
      <c r="E47" s="12">
        <v>610</v>
      </c>
      <c r="F47" s="13">
        <v>3871</v>
      </c>
      <c r="G47" s="13">
        <f t="shared" si="1"/>
        <v>2361310</v>
      </c>
      <c r="H47" s="35" t="e">
        <v>#N/A</v>
      </c>
    </row>
    <row r="48" spans="1:8" x14ac:dyDescent="0.35">
      <c r="A48" s="33">
        <f t="shared" si="0"/>
        <v>44</v>
      </c>
      <c r="B48" s="11" t="s">
        <v>664</v>
      </c>
      <c r="C48" s="11" t="s">
        <v>543</v>
      </c>
      <c r="D48" s="34" t="s">
        <v>665</v>
      </c>
      <c r="E48" s="12">
        <f>560+280+620+240</f>
        <v>1700</v>
      </c>
      <c r="F48" s="13">
        <v>7525</v>
      </c>
      <c r="G48" s="13">
        <f t="shared" si="1"/>
        <v>12792500</v>
      </c>
      <c r="H48" s="35" t="s">
        <v>666</v>
      </c>
    </row>
    <row r="49" spans="1:8" x14ac:dyDescent="0.35">
      <c r="A49" s="33">
        <f t="shared" si="0"/>
        <v>45</v>
      </c>
      <c r="B49" s="11" t="s">
        <v>667</v>
      </c>
      <c r="C49" s="11" t="s">
        <v>563</v>
      </c>
      <c r="D49" s="11" t="s">
        <v>668</v>
      </c>
      <c r="E49" s="12">
        <v>360</v>
      </c>
      <c r="F49" s="13">
        <v>5333</v>
      </c>
      <c r="G49" s="13">
        <f t="shared" si="1"/>
        <v>1919880</v>
      </c>
      <c r="H49" s="35" t="e">
        <v>#N/A</v>
      </c>
    </row>
    <row r="50" spans="1:8" x14ac:dyDescent="0.35">
      <c r="A50" s="33">
        <f t="shared" si="0"/>
        <v>46</v>
      </c>
      <c r="B50" s="11" t="s">
        <v>669</v>
      </c>
      <c r="C50" s="11" t="s">
        <v>543</v>
      </c>
      <c r="D50" s="34" t="s">
        <v>670</v>
      </c>
      <c r="E50" s="12">
        <f>1510+97</f>
        <v>1607</v>
      </c>
      <c r="F50" s="13">
        <v>4718</v>
      </c>
      <c r="G50" s="13">
        <f t="shared" si="1"/>
        <v>7581826</v>
      </c>
      <c r="H50" s="35" t="s">
        <v>671</v>
      </c>
    </row>
    <row r="51" spans="1:8" x14ac:dyDescent="0.35">
      <c r="A51" s="33">
        <f t="shared" si="0"/>
        <v>47</v>
      </c>
      <c r="B51" s="11" t="s">
        <v>672</v>
      </c>
      <c r="C51" s="11" t="s">
        <v>543</v>
      </c>
      <c r="D51" s="34" t="s">
        <v>673</v>
      </c>
      <c r="E51" s="12">
        <f>740+200</f>
        <v>940</v>
      </c>
      <c r="F51" s="13">
        <v>4829</v>
      </c>
      <c r="G51" s="13">
        <f t="shared" si="1"/>
        <v>4539260</v>
      </c>
      <c r="H51" s="35" t="s">
        <v>674</v>
      </c>
    </row>
    <row r="52" spans="1:8" x14ac:dyDescent="0.35">
      <c r="A52" s="33">
        <f t="shared" si="0"/>
        <v>48</v>
      </c>
      <c r="B52" s="11" t="s">
        <v>675</v>
      </c>
      <c r="C52" s="11" t="s">
        <v>543</v>
      </c>
      <c r="D52" s="34" t="s">
        <v>676</v>
      </c>
      <c r="E52" s="12">
        <v>700</v>
      </c>
      <c r="F52" s="13">
        <v>6227</v>
      </c>
      <c r="G52" s="13">
        <f t="shared" si="1"/>
        <v>4358900</v>
      </c>
      <c r="H52" s="35" t="s">
        <v>677</v>
      </c>
    </row>
    <row r="53" spans="1:8" x14ac:dyDescent="0.35">
      <c r="A53" s="33">
        <f t="shared" si="0"/>
        <v>49</v>
      </c>
      <c r="B53" s="11" t="s">
        <v>678</v>
      </c>
      <c r="C53" s="11" t="s">
        <v>556</v>
      </c>
      <c r="D53" s="34" t="s">
        <v>679</v>
      </c>
      <c r="E53" s="12">
        <v>260</v>
      </c>
      <c r="F53" s="13">
        <v>2705</v>
      </c>
      <c r="G53" s="13">
        <f t="shared" si="1"/>
        <v>703300</v>
      </c>
      <c r="H53" s="35" t="s">
        <v>680</v>
      </c>
    </row>
    <row r="54" spans="1:8" x14ac:dyDescent="0.35">
      <c r="A54" s="33">
        <f t="shared" si="0"/>
        <v>50</v>
      </c>
      <c r="B54" s="11" t="s">
        <v>681</v>
      </c>
      <c r="C54" s="11" t="s">
        <v>627</v>
      </c>
      <c r="D54" s="34" t="s">
        <v>682</v>
      </c>
      <c r="E54" s="12" t="s">
        <v>683</v>
      </c>
      <c r="F54" s="13">
        <v>7766</v>
      </c>
      <c r="G54" s="13" t="e">
        <f t="shared" si="1"/>
        <v>#VALUE!</v>
      </c>
      <c r="H54" s="35" t="s">
        <v>684</v>
      </c>
    </row>
    <row r="55" spans="1:8" ht="29" x14ac:dyDescent="0.35">
      <c r="A55" s="33">
        <f t="shared" si="0"/>
        <v>51</v>
      </c>
      <c r="B55" s="11" t="s">
        <v>685</v>
      </c>
      <c r="C55" s="11" t="s">
        <v>627</v>
      </c>
      <c r="D55" s="34" t="s">
        <v>686</v>
      </c>
      <c r="E55" s="12">
        <f>520+194</f>
        <v>714</v>
      </c>
      <c r="F55" s="13">
        <v>5987</v>
      </c>
      <c r="G55" s="13">
        <f t="shared" si="1"/>
        <v>4274718</v>
      </c>
      <c r="H55" s="35" t="s">
        <v>687</v>
      </c>
    </row>
    <row r="56" spans="1:8" x14ac:dyDescent="0.35">
      <c r="A56" s="33">
        <f t="shared" si="0"/>
        <v>52</v>
      </c>
      <c r="B56" s="11" t="s">
        <v>688</v>
      </c>
      <c r="C56" s="11" t="s">
        <v>543</v>
      </c>
      <c r="D56" s="11" t="s">
        <v>689</v>
      </c>
      <c r="E56" s="12">
        <v>225</v>
      </c>
      <c r="F56" s="13">
        <v>6815</v>
      </c>
      <c r="G56" s="13">
        <f t="shared" si="1"/>
        <v>1533375</v>
      </c>
      <c r="H56" s="35" t="e">
        <v>#N/A</v>
      </c>
    </row>
    <row r="57" spans="1:8" x14ac:dyDescent="0.35">
      <c r="A57" s="33">
        <f t="shared" si="0"/>
        <v>53</v>
      </c>
      <c r="B57" s="11" t="s">
        <v>690</v>
      </c>
      <c r="C57" s="11" t="s">
        <v>563</v>
      </c>
      <c r="D57" s="34" t="s">
        <v>691</v>
      </c>
      <c r="E57" s="12">
        <f>280+295</f>
        <v>575</v>
      </c>
      <c r="F57" s="13">
        <v>11562</v>
      </c>
      <c r="G57" s="13">
        <f t="shared" si="1"/>
        <v>6648150</v>
      </c>
      <c r="H57" s="35" t="s">
        <v>692</v>
      </c>
    </row>
    <row r="58" spans="1:8" ht="29" x14ac:dyDescent="0.35">
      <c r="A58" s="33">
        <f t="shared" si="0"/>
        <v>54</v>
      </c>
      <c r="B58" s="11" t="s">
        <v>693</v>
      </c>
      <c r="C58" s="11" t="s">
        <v>543</v>
      </c>
      <c r="D58" s="34" t="s">
        <v>694</v>
      </c>
      <c r="E58" s="12">
        <v>310</v>
      </c>
      <c r="F58" s="13">
        <v>10544</v>
      </c>
      <c r="G58" s="13">
        <f t="shared" si="1"/>
        <v>3268640</v>
      </c>
      <c r="H58" s="35" t="s">
        <v>695</v>
      </c>
    </row>
    <row r="59" spans="1:8" x14ac:dyDescent="0.35">
      <c r="A59" s="33">
        <f t="shared" si="0"/>
        <v>55</v>
      </c>
      <c r="B59" s="11" t="s">
        <v>696</v>
      </c>
      <c r="C59" s="11" t="s">
        <v>543</v>
      </c>
      <c r="D59" s="34" t="s">
        <v>697</v>
      </c>
      <c r="E59" s="12">
        <v>120</v>
      </c>
      <c r="F59" s="13">
        <v>12116</v>
      </c>
      <c r="G59" s="13">
        <f t="shared" si="1"/>
        <v>1453920</v>
      </c>
      <c r="H59" s="35" t="s">
        <v>698</v>
      </c>
    </row>
    <row r="60" spans="1:8" x14ac:dyDescent="0.35">
      <c r="A60" s="33">
        <f t="shared" si="0"/>
        <v>56</v>
      </c>
      <c r="B60" s="11" t="s">
        <v>699</v>
      </c>
      <c r="C60" s="11" t="s">
        <v>543</v>
      </c>
      <c r="D60" s="34" t="s">
        <v>700</v>
      </c>
      <c r="E60" s="12">
        <v>1470</v>
      </c>
      <c r="F60" s="13">
        <v>3702</v>
      </c>
      <c r="G60" s="13">
        <f t="shared" si="1"/>
        <v>5441940</v>
      </c>
      <c r="H60" s="35" t="s">
        <v>701</v>
      </c>
    </row>
    <row r="61" spans="1:8" x14ac:dyDescent="0.35">
      <c r="A61" s="33">
        <f t="shared" si="0"/>
        <v>57</v>
      </c>
      <c r="B61" s="11" t="s">
        <v>702</v>
      </c>
      <c r="C61" s="11" t="s">
        <v>543</v>
      </c>
      <c r="D61" s="11" t="s">
        <v>703</v>
      </c>
      <c r="E61" s="12">
        <f>330+300</f>
        <v>630</v>
      </c>
      <c r="F61" s="13">
        <v>5340</v>
      </c>
      <c r="G61" s="13">
        <f t="shared" si="1"/>
        <v>3364200</v>
      </c>
      <c r="H61" s="35" t="e">
        <v>#N/A</v>
      </c>
    </row>
    <row r="62" spans="1:8" x14ac:dyDescent="0.35">
      <c r="A62" s="33">
        <f t="shared" si="0"/>
        <v>58</v>
      </c>
      <c r="B62" s="11" t="s">
        <v>704</v>
      </c>
      <c r="C62" s="11" t="s">
        <v>533</v>
      </c>
      <c r="D62" s="34" t="s">
        <v>705</v>
      </c>
      <c r="E62" s="12">
        <f>595+600+400+277+560</f>
        <v>2432</v>
      </c>
      <c r="F62" s="13">
        <v>4736</v>
      </c>
      <c r="G62" s="13">
        <f t="shared" si="1"/>
        <v>11517952</v>
      </c>
      <c r="H62" s="35" t="s">
        <v>706</v>
      </c>
    </row>
    <row r="63" spans="1:8" x14ac:dyDescent="0.35">
      <c r="A63" s="33">
        <f t="shared" si="0"/>
        <v>59</v>
      </c>
      <c r="B63" s="11" t="s">
        <v>707</v>
      </c>
      <c r="C63" s="11" t="s">
        <v>543</v>
      </c>
      <c r="D63" s="34" t="s">
        <v>708</v>
      </c>
      <c r="E63" s="12">
        <v>220</v>
      </c>
      <c r="F63" s="13">
        <v>4269</v>
      </c>
      <c r="G63" s="13">
        <f t="shared" si="1"/>
        <v>939180</v>
      </c>
      <c r="H63" s="35" t="s">
        <v>709</v>
      </c>
    </row>
    <row r="64" spans="1:8" x14ac:dyDescent="0.35">
      <c r="A64" s="33">
        <f t="shared" si="0"/>
        <v>60</v>
      </c>
      <c r="B64" s="11" t="s">
        <v>710</v>
      </c>
      <c r="C64" s="11" t="s">
        <v>627</v>
      </c>
      <c r="D64" s="34" t="s">
        <v>711</v>
      </c>
      <c r="E64" s="12">
        <v>180</v>
      </c>
      <c r="F64" s="13">
        <v>6452</v>
      </c>
      <c r="G64" s="13">
        <f t="shared" si="1"/>
        <v>1161360</v>
      </c>
      <c r="H64" s="35" t="s">
        <v>712</v>
      </c>
    </row>
    <row r="65" spans="1:9" x14ac:dyDescent="0.35">
      <c r="A65" s="33">
        <f t="shared" si="0"/>
        <v>61</v>
      </c>
      <c r="B65" s="11" t="s">
        <v>713</v>
      </c>
      <c r="C65" s="11" t="s">
        <v>543</v>
      </c>
      <c r="D65" s="34" t="s">
        <v>714</v>
      </c>
      <c r="E65" s="12">
        <v>344</v>
      </c>
      <c r="F65" s="13">
        <v>4466</v>
      </c>
      <c r="G65" s="13">
        <f t="shared" si="1"/>
        <v>1536304</v>
      </c>
      <c r="H65" s="35" t="s">
        <v>715</v>
      </c>
    </row>
    <row r="66" spans="1:9" x14ac:dyDescent="0.35">
      <c r="A66" s="33">
        <f t="shared" si="0"/>
        <v>62</v>
      </c>
      <c r="B66" s="11" t="s">
        <v>716</v>
      </c>
      <c r="C66" s="11" t="s">
        <v>556</v>
      </c>
      <c r="D66" s="34" t="s">
        <v>717</v>
      </c>
      <c r="E66" s="12">
        <v>200</v>
      </c>
      <c r="F66" s="13">
        <v>4963</v>
      </c>
      <c r="G66" s="13">
        <f t="shared" si="1"/>
        <v>992600</v>
      </c>
      <c r="H66" s="35" t="s">
        <v>718</v>
      </c>
    </row>
    <row r="67" spans="1:9" x14ac:dyDescent="0.35">
      <c r="A67" s="33">
        <f t="shared" si="0"/>
        <v>63</v>
      </c>
      <c r="B67" s="11" t="s">
        <v>719</v>
      </c>
      <c r="C67" s="11" t="s">
        <v>556</v>
      </c>
      <c r="D67" s="34" t="s">
        <v>720</v>
      </c>
      <c r="E67" s="12">
        <v>138</v>
      </c>
      <c r="F67" s="13">
        <v>11634</v>
      </c>
      <c r="G67" s="13">
        <f t="shared" si="1"/>
        <v>1605492</v>
      </c>
      <c r="H67" s="35" t="s">
        <v>721</v>
      </c>
    </row>
    <row r="68" spans="1:9" x14ac:dyDescent="0.35">
      <c r="A68" s="33">
        <f t="shared" si="0"/>
        <v>64</v>
      </c>
      <c r="B68" s="11" t="s">
        <v>722</v>
      </c>
      <c r="C68" s="11" t="s">
        <v>723</v>
      </c>
      <c r="D68" s="34" t="s">
        <v>724</v>
      </c>
      <c r="E68" s="12">
        <f>1250+560</f>
        <v>1810</v>
      </c>
      <c r="F68" s="13">
        <v>3970</v>
      </c>
      <c r="G68" s="13">
        <f t="shared" si="1"/>
        <v>7185700</v>
      </c>
      <c r="H68" s="35" t="s">
        <v>725</v>
      </c>
    </row>
    <row r="69" spans="1:9" x14ac:dyDescent="0.35">
      <c r="A69" s="33">
        <f t="shared" si="0"/>
        <v>65</v>
      </c>
      <c r="B69" s="11" t="s">
        <v>726</v>
      </c>
      <c r="C69" s="11" t="s">
        <v>723</v>
      </c>
      <c r="D69" s="34" t="s">
        <v>727</v>
      </c>
      <c r="E69" s="12">
        <v>800</v>
      </c>
      <c r="F69" s="13">
        <v>3300</v>
      </c>
      <c r="G69" s="13">
        <f t="shared" si="1"/>
        <v>2640000</v>
      </c>
      <c r="H69" s="35" t="s">
        <v>728</v>
      </c>
    </row>
    <row r="70" spans="1:9" ht="29" x14ac:dyDescent="0.35">
      <c r="A70" s="33">
        <f t="shared" ref="A70:A88" si="2">A69+1</f>
        <v>66</v>
      </c>
      <c r="B70" s="11" t="s">
        <v>729</v>
      </c>
      <c r="C70" s="11" t="s">
        <v>543</v>
      </c>
      <c r="D70" s="34" t="s">
        <v>730</v>
      </c>
      <c r="E70" s="12">
        <v>320</v>
      </c>
      <c r="F70" s="13">
        <v>13131</v>
      </c>
      <c r="G70" s="13">
        <f t="shared" ref="G70:G88" si="3">F70*E70</f>
        <v>4201920</v>
      </c>
      <c r="H70" s="35" t="s">
        <v>731</v>
      </c>
    </row>
    <row r="71" spans="1:9" x14ac:dyDescent="0.35">
      <c r="A71" s="33">
        <f t="shared" si="2"/>
        <v>67</v>
      </c>
      <c r="B71" s="11" t="s">
        <v>732</v>
      </c>
      <c r="C71" s="11" t="s">
        <v>627</v>
      </c>
      <c r="D71" s="34" t="s">
        <v>733</v>
      </c>
      <c r="E71" s="12">
        <f>310+310</f>
        <v>620</v>
      </c>
      <c r="F71" s="13">
        <v>10445</v>
      </c>
      <c r="G71" s="13">
        <f t="shared" si="3"/>
        <v>6475900</v>
      </c>
      <c r="H71" s="35" t="s">
        <v>734</v>
      </c>
    </row>
    <row r="72" spans="1:9" x14ac:dyDescent="0.35">
      <c r="A72" s="33">
        <f t="shared" si="2"/>
        <v>68</v>
      </c>
      <c r="B72" s="11" t="s">
        <v>735</v>
      </c>
      <c r="C72" s="11" t="s">
        <v>556</v>
      </c>
      <c r="D72" s="34" t="s">
        <v>736</v>
      </c>
      <c r="E72" s="12">
        <v>197</v>
      </c>
      <c r="F72" s="13">
        <v>5301</v>
      </c>
      <c r="G72" s="13">
        <f t="shared" si="3"/>
        <v>1044297</v>
      </c>
      <c r="H72" s="35" t="s">
        <v>737</v>
      </c>
    </row>
    <row r="73" spans="1:9" x14ac:dyDescent="0.35">
      <c r="A73" s="33">
        <f t="shared" si="2"/>
        <v>69</v>
      </c>
      <c r="B73" s="11" t="s">
        <v>738</v>
      </c>
      <c r="C73" s="11" t="s">
        <v>543</v>
      </c>
      <c r="D73" s="34" t="s">
        <v>739</v>
      </c>
      <c r="E73" s="12">
        <v>500</v>
      </c>
      <c r="F73" s="13">
        <v>16495</v>
      </c>
      <c r="G73" s="13">
        <f t="shared" si="3"/>
        <v>8247500</v>
      </c>
      <c r="H73" s="35" t="s">
        <v>740</v>
      </c>
    </row>
    <row r="74" spans="1:9" x14ac:dyDescent="0.35">
      <c r="A74" s="33">
        <f t="shared" si="2"/>
        <v>70</v>
      </c>
      <c r="B74" s="11" t="s">
        <v>741</v>
      </c>
      <c r="C74" s="11" t="s">
        <v>556</v>
      </c>
      <c r="D74" s="11" t="s">
        <v>742</v>
      </c>
      <c r="E74" s="12">
        <v>1010</v>
      </c>
      <c r="F74" s="13">
        <v>1950</v>
      </c>
      <c r="G74" s="13">
        <f t="shared" si="3"/>
        <v>1969500</v>
      </c>
      <c r="H74" s="35" t="e">
        <v>#N/A</v>
      </c>
    </row>
    <row r="75" spans="1:9" x14ac:dyDescent="0.35">
      <c r="A75" s="33">
        <f t="shared" si="2"/>
        <v>71</v>
      </c>
      <c r="B75" s="11" t="s">
        <v>743</v>
      </c>
      <c r="C75" s="11" t="s">
        <v>556</v>
      </c>
      <c r="D75" s="11" t="s">
        <v>744</v>
      </c>
      <c r="E75" s="12">
        <v>930</v>
      </c>
      <c r="F75" s="13">
        <v>2522</v>
      </c>
      <c r="G75" s="13">
        <f t="shared" si="3"/>
        <v>2345460</v>
      </c>
      <c r="H75" s="35" t="e">
        <v>#N/A</v>
      </c>
    </row>
    <row r="76" spans="1:9" x14ac:dyDescent="0.35">
      <c r="A76" s="33">
        <f t="shared" si="2"/>
        <v>72</v>
      </c>
      <c r="B76" s="11" t="s">
        <v>745</v>
      </c>
      <c r="C76" s="11" t="s">
        <v>543</v>
      </c>
      <c r="D76" s="34" t="s">
        <v>746</v>
      </c>
      <c r="E76" s="12">
        <v>350</v>
      </c>
      <c r="F76" s="13">
        <v>9748</v>
      </c>
      <c r="G76" s="13">
        <f t="shared" si="3"/>
        <v>3411800</v>
      </c>
      <c r="H76" s="35" t="s">
        <v>747</v>
      </c>
    </row>
    <row r="77" spans="1:9" ht="29" x14ac:dyDescent="0.35">
      <c r="A77" s="33">
        <f t="shared" si="2"/>
        <v>73</v>
      </c>
      <c r="B77" s="11" t="s">
        <v>748</v>
      </c>
      <c r="C77" s="11" t="s">
        <v>543</v>
      </c>
      <c r="D77" s="34" t="s">
        <v>749</v>
      </c>
      <c r="E77" s="12">
        <f>320+228+320</f>
        <v>868</v>
      </c>
      <c r="F77" s="13">
        <v>12534</v>
      </c>
      <c r="G77" s="13">
        <f t="shared" si="3"/>
        <v>10879512</v>
      </c>
      <c r="H77" s="35" t="s">
        <v>750</v>
      </c>
    </row>
    <row r="78" spans="1:9" x14ac:dyDescent="0.35">
      <c r="A78" s="33">
        <f t="shared" si="2"/>
        <v>74</v>
      </c>
      <c r="B78" s="11" t="s">
        <v>751</v>
      </c>
      <c r="C78" s="11" t="s">
        <v>543</v>
      </c>
      <c r="D78" s="34" t="s">
        <v>752</v>
      </c>
      <c r="E78" s="12">
        <v>300</v>
      </c>
      <c r="F78" s="13">
        <v>11991</v>
      </c>
      <c r="G78" s="13">
        <f t="shared" si="3"/>
        <v>3597300</v>
      </c>
      <c r="H78" s="35" t="s">
        <v>753</v>
      </c>
    </row>
    <row r="79" spans="1:9" x14ac:dyDescent="0.35">
      <c r="A79" s="33">
        <f t="shared" si="2"/>
        <v>75</v>
      </c>
      <c r="B79" s="11" t="s">
        <v>754</v>
      </c>
      <c r="C79" s="11" t="s">
        <v>543</v>
      </c>
      <c r="D79" s="34" t="s">
        <v>755</v>
      </c>
      <c r="E79" s="12">
        <v>175</v>
      </c>
      <c r="F79" s="13">
        <v>8135</v>
      </c>
      <c r="G79" s="13">
        <f t="shared" si="3"/>
        <v>1423625</v>
      </c>
      <c r="H79" s="35" t="s">
        <v>756</v>
      </c>
    </row>
    <row r="80" spans="1:9" x14ac:dyDescent="0.35">
      <c r="A80" s="33">
        <f t="shared" si="2"/>
        <v>76</v>
      </c>
      <c r="B80" s="11" t="s">
        <v>757</v>
      </c>
      <c r="C80" s="11" t="s">
        <v>543</v>
      </c>
      <c r="D80" s="11" t="s">
        <v>758</v>
      </c>
      <c r="E80" s="12">
        <f>3100+240</f>
        <v>3340</v>
      </c>
      <c r="F80" s="36">
        <v>3878</v>
      </c>
      <c r="G80" s="13">
        <f t="shared" si="3"/>
        <v>12952520</v>
      </c>
      <c r="H80" s="35" t="e">
        <v>#N/A</v>
      </c>
      <c r="I80" s="15" t="s">
        <v>759</v>
      </c>
    </row>
    <row r="81" spans="1:8" x14ac:dyDescent="0.35">
      <c r="A81" s="33">
        <f t="shared" si="2"/>
        <v>77</v>
      </c>
      <c r="B81" s="11" t="s">
        <v>760</v>
      </c>
      <c r="C81" s="11" t="s">
        <v>543</v>
      </c>
      <c r="D81" s="34" t="s">
        <v>761</v>
      </c>
      <c r="E81" s="12">
        <f>1250+300</f>
        <v>1550</v>
      </c>
      <c r="F81" s="13">
        <v>9096</v>
      </c>
      <c r="G81" s="13">
        <f t="shared" si="3"/>
        <v>14098800</v>
      </c>
      <c r="H81" s="35" t="s">
        <v>762</v>
      </c>
    </row>
    <row r="82" spans="1:8" x14ac:dyDescent="0.35">
      <c r="A82" s="33">
        <f t="shared" si="2"/>
        <v>78</v>
      </c>
      <c r="B82" s="11" t="s">
        <v>763</v>
      </c>
      <c r="C82" s="11" t="s">
        <v>543</v>
      </c>
      <c r="D82" s="11" t="s">
        <v>764</v>
      </c>
      <c r="E82" s="12">
        <v>334</v>
      </c>
      <c r="F82" s="13">
        <v>6885</v>
      </c>
      <c r="G82" s="13">
        <f t="shared" si="3"/>
        <v>2299590</v>
      </c>
      <c r="H82" s="35" t="e">
        <v>#N/A</v>
      </c>
    </row>
    <row r="83" spans="1:8" x14ac:dyDescent="0.35">
      <c r="A83" s="33">
        <f t="shared" si="2"/>
        <v>79</v>
      </c>
      <c r="B83" s="11" t="s">
        <v>765</v>
      </c>
      <c r="C83" s="11" t="s">
        <v>563</v>
      </c>
      <c r="D83" s="11" t="s">
        <v>766</v>
      </c>
      <c r="E83" s="12">
        <v>80</v>
      </c>
      <c r="F83" s="36">
        <v>2816</v>
      </c>
      <c r="G83" s="13">
        <f t="shared" si="3"/>
        <v>225280</v>
      </c>
      <c r="H83" s="35" t="e">
        <v>#N/A</v>
      </c>
    </row>
    <row r="84" spans="1:8" x14ac:dyDescent="0.35">
      <c r="A84" s="33">
        <f t="shared" si="2"/>
        <v>80</v>
      </c>
      <c r="B84" s="11" t="s">
        <v>767</v>
      </c>
      <c r="C84" s="11" t="s">
        <v>563</v>
      </c>
      <c r="D84" s="11" t="s">
        <v>768</v>
      </c>
      <c r="E84" s="12">
        <v>800</v>
      </c>
      <c r="F84" s="36">
        <v>3878</v>
      </c>
      <c r="G84" s="13">
        <f t="shared" si="3"/>
        <v>3102400</v>
      </c>
      <c r="H84" s="35" t="e">
        <v>#N/A</v>
      </c>
    </row>
    <row r="85" spans="1:8" x14ac:dyDescent="0.35">
      <c r="A85" s="33">
        <f t="shared" si="2"/>
        <v>81</v>
      </c>
      <c r="B85" s="11" t="s">
        <v>769</v>
      </c>
      <c r="C85" s="11" t="s">
        <v>533</v>
      </c>
      <c r="D85" s="11" t="s">
        <v>770</v>
      </c>
      <c r="E85" s="12">
        <f>480+500+300</f>
        <v>1280</v>
      </c>
      <c r="F85" s="13">
        <v>5318</v>
      </c>
      <c r="G85" s="13">
        <f t="shared" si="3"/>
        <v>6807040</v>
      </c>
      <c r="H85" s="35" t="e">
        <v>#N/A</v>
      </c>
    </row>
    <row r="86" spans="1:8" x14ac:dyDescent="0.35">
      <c r="A86" s="33">
        <f t="shared" si="2"/>
        <v>82</v>
      </c>
      <c r="B86" s="11" t="s">
        <v>771</v>
      </c>
      <c r="C86" s="11" t="s">
        <v>533</v>
      </c>
      <c r="D86" s="11" t="s">
        <v>772</v>
      </c>
      <c r="E86" s="12">
        <v>2880</v>
      </c>
      <c r="F86" s="13">
        <v>1198</v>
      </c>
      <c r="G86" s="13">
        <f t="shared" si="3"/>
        <v>3450240</v>
      </c>
      <c r="H86" s="35" t="e">
        <v>#N/A</v>
      </c>
    </row>
    <row r="87" spans="1:8" x14ac:dyDescent="0.35">
      <c r="A87" s="33">
        <f t="shared" si="2"/>
        <v>83</v>
      </c>
      <c r="B87" s="11" t="s">
        <v>773</v>
      </c>
      <c r="C87" s="11" t="s">
        <v>533</v>
      </c>
      <c r="D87" s="11" t="s">
        <v>774</v>
      </c>
      <c r="E87" s="12">
        <f>1920+2024+200+1020+3500+12000+7000</f>
        <v>27664</v>
      </c>
      <c r="F87" s="13">
        <v>1974</v>
      </c>
      <c r="G87" s="13">
        <f t="shared" si="3"/>
        <v>54608736</v>
      </c>
      <c r="H87" s="35" t="e">
        <v>#N/A</v>
      </c>
    </row>
    <row r="88" spans="1:8" x14ac:dyDescent="0.35">
      <c r="A88" s="33">
        <f t="shared" si="2"/>
        <v>84</v>
      </c>
      <c r="B88" s="11" t="s">
        <v>775</v>
      </c>
      <c r="C88" s="11" t="s">
        <v>533</v>
      </c>
      <c r="D88" s="11" t="s">
        <v>776</v>
      </c>
      <c r="E88" s="12">
        <v>3000</v>
      </c>
      <c r="F88" s="13">
        <v>1828</v>
      </c>
      <c r="G88" s="13">
        <f t="shared" si="3"/>
        <v>5484000</v>
      </c>
      <c r="H88" s="35" t="e">
        <v>#N/A</v>
      </c>
    </row>
    <row r="89" spans="1:8" s="41" customFormat="1" x14ac:dyDescent="0.35">
      <c r="A89" s="116" t="s">
        <v>530</v>
      </c>
      <c r="B89" s="117"/>
      <c r="C89" s="117"/>
      <c r="D89" s="118"/>
      <c r="E89" s="37">
        <f>SUM(E55:E88)</f>
        <v>56366</v>
      </c>
      <c r="F89" s="38"/>
      <c r="G89" s="39">
        <f>SUM(G55:G88)</f>
        <v>200188951</v>
      </c>
      <c r="H89" s="40"/>
    </row>
  </sheetData>
  <autoFilter ref="A4:G89" xr:uid="{00000000-0009-0000-0000-000002000000}"/>
  <mergeCells count="4">
    <mergeCell ref="A1:G1"/>
    <mergeCell ref="A2:G2"/>
    <mergeCell ref="A3:G3"/>
    <mergeCell ref="A89:D89"/>
  </mergeCells>
  <conditionalFormatting sqref="B1:B3">
    <cfRule type="duplicateValues" dxfId="10" priority="2"/>
  </conditionalFormatting>
  <conditionalFormatting sqref="B4:B88 B90:B1048576">
    <cfRule type="duplicateValues" dxfId="9" priority="3"/>
    <cfRule type="duplicateValues" dxfId="8" priority="5"/>
  </conditionalFormatting>
  <conditionalFormatting sqref="D4:D88 D90:D1048576">
    <cfRule type="duplicateValues" dxfId="7" priority="4"/>
    <cfRule type="duplicateValues" dxfId="6" priority="6"/>
  </conditionalFormatting>
  <conditionalFormatting sqref="H1:H3">
    <cfRule type="duplicateValues" dxfId="5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9BEE-BEE7-427E-A8BD-A412D19370C7}">
  <sheetPr>
    <tabColor rgb="FFFFFF00"/>
  </sheetPr>
  <dimension ref="A1:Z10890"/>
  <sheetViews>
    <sheetView showGridLines="0" tabSelected="1" workbookViewId="0">
      <pane xSplit="2" ySplit="1" topLeftCell="C34" activePane="bottomRight" state="frozen"/>
      <selection pane="topRight" activeCell="C1" sqref="C1"/>
      <selection pane="bottomLeft" activeCell="A5" sqref="A5"/>
      <selection pane="bottomRight" activeCell="C45" sqref="C45"/>
    </sheetView>
  </sheetViews>
  <sheetFormatPr defaultColWidth="2.08984375" defaultRowHeight="14.5" x14ac:dyDescent="0.35"/>
  <cols>
    <col min="1" max="1" width="4.7265625" style="77" bestFit="1" customWidth="1"/>
    <col min="2" max="2" width="12.81640625" style="64" bestFit="1" customWidth="1"/>
    <col min="3" max="3" width="41.08984375" style="87" customWidth="1"/>
    <col min="4" max="4" width="11.26953125" style="64" bestFit="1" customWidth="1"/>
    <col min="5" max="5" width="8.6328125" style="96" bestFit="1" customWidth="1"/>
    <col min="6" max="6" width="10.36328125" style="64" bestFit="1" customWidth="1"/>
    <col min="7" max="7" width="13.36328125" style="70" bestFit="1" customWidth="1"/>
    <col min="8" max="8" width="14.26953125" style="84" bestFit="1" customWidth="1"/>
    <col min="9" max="9" width="17.90625" style="84" customWidth="1"/>
    <col min="10" max="25" width="2.08984375" style="64"/>
    <col min="26" max="26" width="6" style="64" bestFit="1" customWidth="1"/>
    <col min="27" max="27" width="2.08984375" style="64"/>
    <col min="28" max="28" width="6" style="64" bestFit="1" customWidth="1"/>
    <col min="29" max="34" width="2.08984375" style="64"/>
    <col min="35" max="35" width="6" style="64" bestFit="1" customWidth="1"/>
    <col min="36" max="16384" width="2.08984375" style="64"/>
  </cols>
  <sheetData>
    <row r="1" spans="1:9" s="70" customFormat="1" ht="22.5" customHeight="1" x14ac:dyDescent="0.35">
      <c r="A1" s="65" t="s">
        <v>781</v>
      </c>
      <c r="B1" s="66" t="s">
        <v>782</v>
      </c>
      <c r="C1" s="67" t="s">
        <v>783</v>
      </c>
      <c r="D1" s="66" t="s">
        <v>784</v>
      </c>
      <c r="E1" s="68" t="s">
        <v>785</v>
      </c>
      <c r="F1" s="66" t="s">
        <v>786</v>
      </c>
      <c r="G1" s="66" t="s">
        <v>787</v>
      </c>
      <c r="H1" s="69" t="s">
        <v>788</v>
      </c>
      <c r="I1" s="69" t="s">
        <v>530</v>
      </c>
    </row>
    <row r="2" spans="1:9" s="53" customFormat="1" ht="23" x14ac:dyDescent="0.35">
      <c r="A2" s="63">
        <v>1</v>
      </c>
      <c r="B2" s="54" t="s">
        <v>789</v>
      </c>
      <c r="C2" s="55" t="s">
        <v>790</v>
      </c>
      <c r="D2" s="54" t="s">
        <v>791</v>
      </c>
      <c r="E2" s="56">
        <v>0</v>
      </c>
      <c r="F2" s="57" t="s">
        <v>792</v>
      </c>
      <c r="G2" s="58">
        <v>75562.5</v>
      </c>
      <c r="H2" s="59">
        <v>95000</v>
      </c>
      <c r="I2" s="59">
        <f>H2*E2</f>
        <v>0</v>
      </c>
    </row>
    <row r="3" spans="1:9" customFormat="1" ht="23" x14ac:dyDescent="0.35">
      <c r="A3" s="63">
        <f>A2+1</f>
        <v>2</v>
      </c>
      <c r="B3" s="54" t="s">
        <v>793</v>
      </c>
      <c r="C3" s="55" t="s">
        <v>794</v>
      </c>
      <c r="D3" s="54" t="s">
        <v>791</v>
      </c>
      <c r="E3" s="56">
        <v>0</v>
      </c>
      <c r="F3" s="57" t="s">
        <v>792</v>
      </c>
      <c r="G3" s="58">
        <v>72066.67</v>
      </c>
      <c r="H3" s="59">
        <v>95000</v>
      </c>
      <c r="I3" s="59">
        <f t="shared" ref="I3:I66" si="0">H3*E3</f>
        <v>0</v>
      </c>
    </row>
    <row r="4" spans="1:9" customFormat="1" ht="23" x14ac:dyDescent="0.35">
      <c r="A4" s="63">
        <f t="shared" ref="A4:A67" si="1">A3+1</f>
        <v>3</v>
      </c>
      <c r="B4" s="54" t="s">
        <v>795</v>
      </c>
      <c r="C4" s="55" t="s">
        <v>796</v>
      </c>
      <c r="D4" s="54" t="s">
        <v>791</v>
      </c>
      <c r="E4" s="56">
        <v>0</v>
      </c>
      <c r="F4" s="57" t="s">
        <v>792</v>
      </c>
      <c r="G4" s="58">
        <v>1100000</v>
      </c>
      <c r="H4" s="59">
        <v>1100000</v>
      </c>
      <c r="I4" s="59">
        <f t="shared" si="0"/>
        <v>0</v>
      </c>
    </row>
    <row r="5" spans="1:9" customFormat="1" x14ac:dyDescent="0.35">
      <c r="A5" s="63">
        <f t="shared" si="1"/>
        <v>4</v>
      </c>
      <c r="B5" s="54" t="s">
        <v>797</v>
      </c>
      <c r="C5" s="55" t="s">
        <v>798</v>
      </c>
      <c r="D5" s="54" t="s">
        <v>791</v>
      </c>
      <c r="E5" s="56">
        <v>0</v>
      </c>
      <c r="F5" s="57" t="s">
        <v>792</v>
      </c>
      <c r="G5" s="58">
        <v>27475</v>
      </c>
      <c r="H5" s="59">
        <v>36000</v>
      </c>
      <c r="I5" s="59">
        <f t="shared" si="0"/>
        <v>0</v>
      </c>
    </row>
    <row r="6" spans="1:9" customFormat="1" ht="23" x14ac:dyDescent="0.35">
      <c r="A6" s="63">
        <f t="shared" si="1"/>
        <v>5</v>
      </c>
      <c r="B6" s="54" t="s">
        <v>799</v>
      </c>
      <c r="C6" s="55" t="s">
        <v>800</v>
      </c>
      <c r="D6" s="54" t="s">
        <v>791</v>
      </c>
      <c r="E6" s="56">
        <v>0</v>
      </c>
      <c r="F6" s="57" t="s">
        <v>792</v>
      </c>
      <c r="G6" s="58">
        <v>2402500</v>
      </c>
      <c r="H6" s="59">
        <v>2850000</v>
      </c>
      <c r="I6" s="59">
        <f t="shared" si="0"/>
        <v>0</v>
      </c>
    </row>
    <row r="7" spans="1:9" customFormat="1" x14ac:dyDescent="0.35">
      <c r="A7" s="63">
        <f t="shared" si="1"/>
        <v>6</v>
      </c>
      <c r="B7" s="54" t="s">
        <v>801</v>
      </c>
      <c r="C7" s="55" t="s">
        <v>802</v>
      </c>
      <c r="D7" s="54" t="s">
        <v>791</v>
      </c>
      <c r="E7" s="56">
        <v>0</v>
      </c>
      <c r="F7" s="57" t="s">
        <v>792</v>
      </c>
      <c r="G7" s="58">
        <v>0</v>
      </c>
      <c r="H7" s="59">
        <v>605000</v>
      </c>
      <c r="I7" s="59">
        <f t="shared" si="0"/>
        <v>0</v>
      </c>
    </row>
    <row r="8" spans="1:9" customFormat="1" ht="23" x14ac:dyDescent="0.35">
      <c r="A8" s="63">
        <f t="shared" si="1"/>
        <v>7</v>
      </c>
      <c r="B8" s="54" t="s">
        <v>803</v>
      </c>
      <c r="C8" s="55" t="s">
        <v>804</v>
      </c>
      <c r="D8" s="54" t="s">
        <v>791</v>
      </c>
      <c r="E8" s="56">
        <v>0</v>
      </c>
      <c r="F8" s="57" t="s">
        <v>792</v>
      </c>
      <c r="G8" s="58">
        <v>299000</v>
      </c>
      <c r="H8" s="59">
        <v>299000</v>
      </c>
      <c r="I8" s="59">
        <f t="shared" si="0"/>
        <v>0</v>
      </c>
    </row>
    <row r="9" spans="1:9" customFormat="1" ht="23" x14ac:dyDescent="0.35">
      <c r="A9" s="63">
        <f t="shared" si="1"/>
        <v>8</v>
      </c>
      <c r="B9" s="54" t="s">
        <v>805</v>
      </c>
      <c r="C9" s="55" t="s">
        <v>806</v>
      </c>
      <c r="D9" s="54" t="s">
        <v>791</v>
      </c>
      <c r="E9" s="56">
        <v>0</v>
      </c>
      <c r="F9" s="57" t="s">
        <v>792</v>
      </c>
      <c r="G9" s="58">
        <v>10000</v>
      </c>
      <c r="H9" s="59">
        <v>13500</v>
      </c>
      <c r="I9" s="59">
        <f t="shared" si="0"/>
        <v>0</v>
      </c>
    </row>
    <row r="10" spans="1:9" customFormat="1" x14ac:dyDescent="0.35">
      <c r="A10" s="63">
        <f t="shared" si="1"/>
        <v>9</v>
      </c>
      <c r="B10" s="54" t="s">
        <v>807</v>
      </c>
      <c r="C10" s="55" t="s">
        <v>808</v>
      </c>
      <c r="D10" s="54" t="s">
        <v>791</v>
      </c>
      <c r="E10" s="56">
        <v>0</v>
      </c>
      <c r="F10" s="57" t="s">
        <v>792</v>
      </c>
      <c r="G10" s="58">
        <v>71500</v>
      </c>
      <c r="H10" s="59">
        <v>105000</v>
      </c>
      <c r="I10" s="59">
        <f t="shared" si="0"/>
        <v>0</v>
      </c>
    </row>
    <row r="11" spans="1:9" customFormat="1" x14ac:dyDescent="0.35">
      <c r="A11" s="63">
        <f t="shared" si="1"/>
        <v>10</v>
      </c>
      <c r="B11" s="54" t="s">
        <v>809</v>
      </c>
      <c r="C11" s="55" t="s">
        <v>810</v>
      </c>
      <c r="D11" s="54" t="s">
        <v>791</v>
      </c>
      <c r="E11" s="56">
        <v>0</v>
      </c>
      <c r="F11" s="57" t="s">
        <v>792</v>
      </c>
      <c r="G11" s="58">
        <v>1200000</v>
      </c>
      <c r="H11" s="59">
        <v>1550000</v>
      </c>
      <c r="I11" s="59">
        <f t="shared" si="0"/>
        <v>0</v>
      </c>
    </row>
    <row r="12" spans="1:9" customFormat="1" ht="23" x14ac:dyDescent="0.35">
      <c r="A12" s="63">
        <f t="shared" si="1"/>
        <v>11</v>
      </c>
      <c r="B12" s="54" t="s">
        <v>811</v>
      </c>
      <c r="C12" s="55" t="s">
        <v>812</v>
      </c>
      <c r="D12" s="54" t="s">
        <v>791</v>
      </c>
      <c r="E12" s="56">
        <v>0</v>
      </c>
      <c r="F12" s="57" t="s">
        <v>792</v>
      </c>
      <c r="G12" s="58">
        <v>0</v>
      </c>
      <c r="H12" s="59">
        <v>249750</v>
      </c>
      <c r="I12" s="59">
        <f t="shared" si="0"/>
        <v>0</v>
      </c>
    </row>
    <row r="13" spans="1:9" customFormat="1" x14ac:dyDescent="0.35">
      <c r="A13" s="63">
        <f t="shared" si="1"/>
        <v>12</v>
      </c>
      <c r="B13" s="54" t="s">
        <v>813</v>
      </c>
      <c r="C13" s="55" t="s">
        <v>814</v>
      </c>
      <c r="D13" s="54" t="s">
        <v>791</v>
      </c>
      <c r="E13" s="56">
        <v>0</v>
      </c>
      <c r="F13" s="57" t="s">
        <v>815</v>
      </c>
      <c r="G13" s="58">
        <v>45000</v>
      </c>
      <c r="H13" s="59">
        <v>45000</v>
      </c>
      <c r="I13" s="59">
        <f t="shared" si="0"/>
        <v>0</v>
      </c>
    </row>
    <row r="14" spans="1:9" customFormat="1" x14ac:dyDescent="0.35">
      <c r="A14" s="63">
        <f t="shared" si="1"/>
        <v>13</v>
      </c>
      <c r="B14" s="54" t="s">
        <v>816</v>
      </c>
      <c r="C14" s="55" t="s">
        <v>817</v>
      </c>
      <c r="D14" s="54" t="s">
        <v>791</v>
      </c>
      <c r="E14" s="56">
        <v>0</v>
      </c>
      <c r="F14" s="57" t="s">
        <v>792</v>
      </c>
      <c r="G14" s="58">
        <v>800000</v>
      </c>
      <c r="H14" s="59">
        <v>1080000</v>
      </c>
      <c r="I14" s="59">
        <f t="shared" si="0"/>
        <v>0</v>
      </c>
    </row>
    <row r="15" spans="1:9" customFormat="1" ht="23" x14ac:dyDescent="0.35">
      <c r="A15" s="63">
        <f t="shared" si="1"/>
        <v>14</v>
      </c>
      <c r="B15" s="54" t="s">
        <v>818</v>
      </c>
      <c r="C15" s="55" t="s">
        <v>819</v>
      </c>
      <c r="D15" s="54" t="s">
        <v>791</v>
      </c>
      <c r="E15" s="56">
        <v>0</v>
      </c>
      <c r="F15" s="57" t="s">
        <v>792</v>
      </c>
      <c r="G15" s="58">
        <v>530000</v>
      </c>
      <c r="H15" s="59">
        <v>649953</v>
      </c>
      <c r="I15" s="59">
        <f t="shared" si="0"/>
        <v>0</v>
      </c>
    </row>
    <row r="16" spans="1:9" customFormat="1" x14ac:dyDescent="0.35">
      <c r="A16" s="63">
        <f t="shared" si="1"/>
        <v>15</v>
      </c>
      <c r="B16" s="54" t="s">
        <v>820</v>
      </c>
      <c r="C16" s="55" t="s">
        <v>821</v>
      </c>
      <c r="D16" s="54" t="s">
        <v>791</v>
      </c>
      <c r="E16" s="56">
        <v>0</v>
      </c>
      <c r="F16" s="57" t="s">
        <v>792</v>
      </c>
      <c r="G16" s="58">
        <v>816000</v>
      </c>
      <c r="H16" s="59">
        <v>1300000</v>
      </c>
      <c r="I16" s="59">
        <f t="shared" si="0"/>
        <v>0</v>
      </c>
    </row>
    <row r="17" spans="1:9" customFormat="1" x14ac:dyDescent="0.35">
      <c r="A17" s="63">
        <f t="shared" si="1"/>
        <v>16</v>
      </c>
      <c r="B17" s="54" t="s">
        <v>822</v>
      </c>
      <c r="C17" s="55" t="s">
        <v>823</v>
      </c>
      <c r="D17" s="54" t="s">
        <v>791</v>
      </c>
      <c r="E17" s="56">
        <v>0</v>
      </c>
      <c r="F17" s="57" t="s">
        <v>792</v>
      </c>
      <c r="G17" s="58">
        <v>82200</v>
      </c>
      <c r="H17" s="59">
        <v>144450</v>
      </c>
      <c r="I17" s="59">
        <f t="shared" si="0"/>
        <v>0</v>
      </c>
    </row>
    <row r="18" spans="1:9" customFormat="1" x14ac:dyDescent="0.35">
      <c r="A18" s="63">
        <f t="shared" si="1"/>
        <v>17</v>
      </c>
      <c r="B18" s="54" t="s">
        <v>824</v>
      </c>
      <c r="C18" s="55" t="s">
        <v>825</v>
      </c>
      <c r="D18" s="54" t="s">
        <v>791</v>
      </c>
      <c r="E18" s="56">
        <v>0</v>
      </c>
      <c r="F18" s="57" t="s">
        <v>792</v>
      </c>
      <c r="G18" s="58">
        <v>120000</v>
      </c>
      <c r="H18" s="59">
        <v>153900</v>
      </c>
      <c r="I18" s="59">
        <f t="shared" si="0"/>
        <v>0</v>
      </c>
    </row>
    <row r="19" spans="1:9" customFormat="1" x14ac:dyDescent="0.35">
      <c r="A19" s="63">
        <f t="shared" si="1"/>
        <v>18</v>
      </c>
      <c r="B19" s="54" t="s">
        <v>826</v>
      </c>
      <c r="C19" s="55" t="s">
        <v>827</v>
      </c>
      <c r="D19" s="54" t="s">
        <v>791</v>
      </c>
      <c r="E19" s="56">
        <v>0</v>
      </c>
      <c r="F19" s="57" t="s">
        <v>792</v>
      </c>
      <c r="G19" s="58">
        <v>0</v>
      </c>
      <c r="H19" s="59">
        <v>430000</v>
      </c>
      <c r="I19" s="59">
        <f t="shared" si="0"/>
        <v>0</v>
      </c>
    </row>
    <row r="20" spans="1:9" customFormat="1" x14ac:dyDescent="0.35">
      <c r="A20" s="63">
        <f t="shared" si="1"/>
        <v>19</v>
      </c>
      <c r="B20" s="54" t="s">
        <v>828</v>
      </c>
      <c r="C20" s="55" t="s">
        <v>829</v>
      </c>
      <c r="D20" s="54" t="s">
        <v>791</v>
      </c>
      <c r="E20" s="56">
        <v>0</v>
      </c>
      <c r="F20" s="57" t="s">
        <v>792</v>
      </c>
      <c r="G20" s="58">
        <v>40000</v>
      </c>
      <c r="H20" s="59">
        <v>50000</v>
      </c>
      <c r="I20" s="59">
        <f t="shared" si="0"/>
        <v>0</v>
      </c>
    </row>
    <row r="21" spans="1:9" customFormat="1" ht="23" x14ac:dyDescent="0.35">
      <c r="A21" s="63">
        <f t="shared" si="1"/>
        <v>20</v>
      </c>
      <c r="B21" s="54" t="s">
        <v>830</v>
      </c>
      <c r="C21" s="55" t="s">
        <v>831</v>
      </c>
      <c r="D21" s="54" t="s">
        <v>791</v>
      </c>
      <c r="E21" s="56">
        <v>0</v>
      </c>
      <c r="F21" s="57" t="s">
        <v>792</v>
      </c>
      <c r="G21" s="58">
        <v>38000</v>
      </c>
      <c r="H21" s="59">
        <v>50000</v>
      </c>
      <c r="I21" s="59">
        <f t="shared" si="0"/>
        <v>0</v>
      </c>
    </row>
    <row r="22" spans="1:9" customFormat="1" ht="23" x14ac:dyDescent="0.35">
      <c r="A22" s="63">
        <f t="shared" si="1"/>
        <v>21</v>
      </c>
      <c r="B22" s="54" t="s">
        <v>832</v>
      </c>
      <c r="C22" s="55" t="s">
        <v>833</v>
      </c>
      <c r="D22" s="54" t="s">
        <v>791</v>
      </c>
      <c r="E22" s="56">
        <v>0</v>
      </c>
      <c r="F22" s="57" t="s">
        <v>792</v>
      </c>
      <c r="G22" s="58">
        <v>0</v>
      </c>
      <c r="H22" s="59">
        <v>94500</v>
      </c>
      <c r="I22" s="59">
        <f t="shared" si="0"/>
        <v>0</v>
      </c>
    </row>
    <row r="23" spans="1:9" customFormat="1" ht="23" x14ac:dyDescent="0.35">
      <c r="A23" s="63">
        <f t="shared" si="1"/>
        <v>22</v>
      </c>
      <c r="B23" s="54" t="s">
        <v>834</v>
      </c>
      <c r="C23" s="55" t="s">
        <v>835</v>
      </c>
      <c r="D23" s="54" t="s">
        <v>791</v>
      </c>
      <c r="E23" s="56">
        <v>0</v>
      </c>
      <c r="F23" s="57" t="s">
        <v>792</v>
      </c>
      <c r="G23" s="58">
        <v>0</v>
      </c>
      <c r="H23" s="59">
        <v>189000</v>
      </c>
      <c r="I23" s="59">
        <f t="shared" si="0"/>
        <v>0</v>
      </c>
    </row>
    <row r="24" spans="1:9" customFormat="1" x14ac:dyDescent="0.35">
      <c r="A24" s="63">
        <f t="shared" si="1"/>
        <v>23</v>
      </c>
      <c r="B24" s="54" t="s">
        <v>836</v>
      </c>
      <c r="C24" s="55" t="s">
        <v>837</v>
      </c>
      <c r="D24" s="54" t="s">
        <v>791</v>
      </c>
      <c r="E24" s="56">
        <v>0</v>
      </c>
      <c r="F24" s="57" t="s">
        <v>792</v>
      </c>
      <c r="G24" s="58">
        <v>0</v>
      </c>
      <c r="H24" s="59">
        <v>110295</v>
      </c>
      <c r="I24" s="59">
        <f t="shared" si="0"/>
        <v>0</v>
      </c>
    </row>
    <row r="25" spans="1:9" customFormat="1" x14ac:dyDescent="0.35">
      <c r="A25" s="63">
        <f t="shared" si="1"/>
        <v>24</v>
      </c>
      <c r="B25" s="54" t="s">
        <v>838</v>
      </c>
      <c r="C25" s="55" t="s">
        <v>839</v>
      </c>
      <c r="D25" s="54" t="s">
        <v>791</v>
      </c>
      <c r="E25" s="56">
        <v>0</v>
      </c>
      <c r="F25" s="57" t="s">
        <v>792</v>
      </c>
      <c r="G25" s="58">
        <v>135000</v>
      </c>
      <c r="H25" s="59">
        <v>185000</v>
      </c>
      <c r="I25" s="59">
        <f t="shared" si="0"/>
        <v>0</v>
      </c>
    </row>
    <row r="26" spans="1:9" customFormat="1" x14ac:dyDescent="0.35">
      <c r="A26" s="63">
        <f t="shared" si="1"/>
        <v>25</v>
      </c>
      <c r="B26" s="54" t="s">
        <v>840</v>
      </c>
      <c r="C26" s="55" t="s">
        <v>841</v>
      </c>
      <c r="D26" s="54" t="s">
        <v>791</v>
      </c>
      <c r="E26" s="56">
        <v>0</v>
      </c>
      <c r="F26" s="57" t="s">
        <v>792</v>
      </c>
      <c r="G26" s="58">
        <v>900000</v>
      </c>
      <c r="H26" s="59">
        <v>900000</v>
      </c>
      <c r="I26" s="59">
        <f t="shared" si="0"/>
        <v>0</v>
      </c>
    </row>
    <row r="27" spans="1:9" customFormat="1" ht="23" x14ac:dyDescent="0.35">
      <c r="A27" s="63">
        <f t="shared" si="1"/>
        <v>26</v>
      </c>
      <c r="B27" s="54" t="s">
        <v>842</v>
      </c>
      <c r="C27" s="55" t="s">
        <v>843</v>
      </c>
      <c r="D27" s="54" t="s">
        <v>791</v>
      </c>
      <c r="E27" s="56">
        <v>0</v>
      </c>
      <c r="F27" s="57" t="s">
        <v>844</v>
      </c>
      <c r="G27" s="58">
        <v>453000</v>
      </c>
      <c r="H27" s="59">
        <v>607500</v>
      </c>
      <c r="I27" s="59">
        <f t="shared" si="0"/>
        <v>0</v>
      </c>
    </row>
    <row r="28" spans="1:9" customFormat="1" ht="23" x14ac:dyDescent="0.35">
      <c r="A28" s="63">
        <f t="shared" si="1"/>
        <v>27</v>
      </c>
      <c r="B28" s="54" t="s">
        <v>845</v>
      </c>
      <c r="C28" s="55" t="s">
        <v>846</v>
      </c>
      <c r="D28" s="54" t="s">
        <v>791</v>
      </c>
      <c r="E28" s="56">
        <v>0</v>
      </c>
      <c r="F28" s="57" t="s">
        <v>792</v>
      </c>
      <c r="G28" s="58">
        <v>0</v>
      </c>
      <c r="H28" s="59">
        <v>450000</v>
      </c>
      <c r="I28" s="59">
        <f t="shared" si="0"/>
        <v>0</v>
      </c>
    </row>
    <row r="29" spans="1:9" customFormat="1" ht="23" x14ac:dyDescent="0.35">
      <c r="A29" s="63">
        <f t="shared" si="1"/>
        <v>28</v>
      </c>
      <c r="B29" s="54" t="s">
        <v>847</v>
      </c>
      <c r="C29" s="55" t="s">
        <v>848</v>
      </c>
      <c r="D29" s="54" t="s">
        <v>791</v>
      </c>
      <c r="E29" s="56">
        <v>0</v>
      </c>
      <c r="F29" s="57" t="s">
        <v>844</v>
      </c>
      <c r="G29" s="58">
        <v>1959000</v>
      </c>
      <c r="H29" s="59">
        <v>1959000</v>
      </c>
      <c r="I29" s="59">
        <f t="shared" si="0"/>
        <v>0</v>
      </c>
    </row>
    <row r="30" spans="1:9" customFormat="1" ht="23" x14ac:dyDescent="0.35">
      <c r="A30" s="63">
        <f t="shared" si="1"/>
        <v>29</v>
      </c>
      <c r="B30" s="54" t="s">
        <v>849</v>
      </c>
      <c r="C30" s="55" t="s">
        <v>850</v>
      </c>
      <c r="D30" s="54" t="s">
        <v>791</v>
      </c>
      <c r="E30" s="56">
        <v>0</v>
      </c>
      <c r="F30" s="57" t="s">
        <v>844</v>
      </c>
      <c r="G30" s="58">
        <v>2380000</v>
      </c>
      <c r="H30" s="59">
        <v>3213000</v>
      </c>
      <c r="I30" s="59">
        <f t="shared" si="0"/>
        <v>0</v>
      </c>
    </row>
    <row r="31" spans="1:9" customFormat="1" x14ac:dyDescent="0.35">
      <c r="A31" s="63">
        <f t="shared" si="1"/>
        <v>30</v>
      </c>
      <c r="B31" s="54" t="s">
        <v>851</v>
      </c>
      <c r="C31" s="55" t="s">
        <v>852</v>
      </c>
      <c r="D31" s="54" t="s">
        <v>791</v>
      </c>
      <c r="E31" s="56">
        <v>0</v>
      </c>
      <c r="F31" s="57" t="s">
        <v>792</v>
      </c>
      <c r="G31" s="58">
        <v>0</v>
      </c>
      <c r="H31" s="59">
        <v>97400</v>
      </c>
      <c r="I31" s="59">
        <f t="shared" si="0"/>
        <v>0</v>
      </c>
    </row>
    <row r="32" spans="1:9" customFormat="1" ht="23" x14ac:dyDescent="0.35">
      <c r="A32" s="63">
        <f t="shared" si="1"/>
        <v>31</v>
      </c>
      <c r="B32" s="54" t="s">
        <v>853</v>
      </c>
      <c r="C32" s="55" t="s">
        <v>854</v>
      </c>
      <c r="D32" s="54" t="s">
        <v>791</v>
      </c>
      <c r="E32" s="56">
        <v>0</v>
      </c>
      <c r="F32" s="57" t="s">
        <v>792</v>
      </c>
      <c r="G32" s="58">
        <v>0</v>
      </c>
      <c r="H32" s="59">
        <v>179500</v>
      </c>
      <c r="I32" s="59">
        <f t="shared" si="0"/>
        <v>0</v>
      </c>
    </row>
    <row r="33" spans="1:9" customFormat="1" ht="23" x14ac:dyDescent="0.35">
      <c r="A33" s="63">
        <f t="shared" si="1"/>
        <v>32</v>
      </c>
      <c r="B33" s="54" t="s">
        <v>855</v>
      </c>
      <c r="C33" s="55" t="s">
        <v>856</v>
      </c>
      <c r="D33" s="54" t="s">
        <v>791</v>
      </c>
      <c r="E33" s="56">
        <v>0</v>
      </c>
      <c r="F33" s="57" t="s">
        <v>792</v>
      </c>
      <c r="G33" s="58">
        <v>0</v>
      </c>
      <c r="H33" s="59">
        <v>244500</v>
      </c>
      <c r="I33" s="59">
        <f t="shared" si="0"/>
        <v>0</v>
      </c>
    </row>
    <row r="34" spans="1:9" customFormat="1" x14ac:dyDescent="0.35">
      <c r="A34" s="63">
        <f t="shared" si="1"/>
        <v>33</v>
      </c>
      <c r="B34" s="54" t="s">
        <v>857</v>
      </c>
      <c r="C34" s="55" t="s">
        <v>858</v>
      </c>
      <c r="D34" s="54" t="s">
        <v>791</v>
      </c>
      <c r="E34" s="56">
        <v>0</v>
      </c>
      <c r="F34" s="57" t="s">
        <v>792</v>
      </c>
      <c r="G34" s="58">
        <v>127983</v>
      </c>
      <c r="H34" s="59">
        <v>127983</v>
      </c>
      <c r="I34" s="59">
        <f t="shared" si="0"/>
        <v>0</v>
      </c>
    </row>
    <row r="35" spans="1:9" customFormat="1" x14ac:dyDescent="0.35">
      <c r="A35" s="63">
        <f t="shared" si="1"/>
        <v>34</v>
      </c>
      <c r="B35" s="54" t="s">
        <v>859</v>
      </c>
      <c r="C35" s="55" t="s">
        <v>860</v>
      </c>
      <c r="D35" s="54" t="s">
        <v>791</v>
      </c>
      <c r="E35" s="92">
        <v>2</v>
      </c>
      <c r="F35" s="57" t="s">
        <v>792</v>
      </c>
      <c r="G35" s="58">
        <v>0</v>
      </c>
      <c r="H35" s="59">
        <v>120000</v>
      </c>
      <c r="I35" s="59">
        <f t="shared" si="0"/>
        <v>240000</v>
      </c>
    </row>
    <row r="36" spans="1:9" customFormat="1" x14ac:dyDescent="0.35">
      <c r="A36" s="63">
        <f t="shared" si="1"/>
        <v>35</v>
      </c>
      <c r="B36" s="54" t="s">
        <v>861</v>
      </c>
      <c r="C36" s="55" t="s">
        <v>862</v>
      </c>
      <c r="D36" s="54" t="s">
        <v>791</v>
      </c>
      <c r="E36" s="92">
        <v>15</v>
      </c>
      <c r="F36" s="57" t="s">
        <v>792</v>
      </c>
      <c r="G36" s="58">
        <v>45000</v>
      </c>
      <c r="H36" s="59">
        <v>69750</v>
      </c>
      <c r="I36" s="59">
        <f t="shared" si="0"/>
        <v>1046250</v>
      </c>
    </row>
    <row r="37" spans="1:9" customFormat="1" x14ac:dyDescent="0.35">
      <c r="A37" s="63">
        <f t="shared" si="1"/>
        <v>36</v>
      </c>
      <c r="B37" s="54" t="s">
        <v>863</v>
      </c>
      <c r="C37" s="55" t="s">
        <v>864</v>
      </c>
      <c r="D37" s="54" t="s">
        <v>865</v>
      </c>
      <c r="E37" s="56">
        <v>0</v>
      </c>
      <c r="F37" s="57" t="s">
        <v>792</v>
      </c>
      <c r="G37" s="58">
        <v>0</v>
      </c>
      <c r="H37" s="59">
        <v>163800</v>
      </c>
      <c r="I37" s="59">
        <f t="shared" si="0"/>
        <v>0</v>
      </c>
    </row>
    <row r="38" spans="1:9" customFormat="1" x14ac:dyDescent="0.35">
      <c r="A38" s="63">
        <f t="shared" si="1"/>
        <v>37</v>
      </c>
      <c r="B38" s="54" t="s">
        <v>866</v>
      </c>
      <c r="C38" s="55" t="s">
        <v>867</v>
      </c>
      <c r="D38" s="54" t="s">
        <v>865</v>
      </c>
      <c r="E38" s="56">
        <v>0</v>
      </c>
      <c r="F38" s="57" t="s">
        <v>792</v>
      </c>
      <c r="G38" s="58">
        <v>0</v>
      </c>
      <c r="H38" s="59">
        <v>37600</v>
      </c>
      <c r="I38" s="59">
        <f t="shared" si="0"/>
        <v>0</v>
      </c>
    </row>
    <row r="39" spans="1:9" customFormat="1" x14ac:dyDescent="0.35">
      <c r="A39" s="63">
        <f t="shared" si="1"/>
        <v>38</v>
      </c>
      <c r="B39" s="54" t="s">
        <v>868</v>
      </c>
      <c r="C39" s="55" t="s">
        <v>869</v>
      </c>
      <c r="D39" s="54" t="s">
        <v>865</v>
      </c>
      <c r="E39" s="56">
        <v>0</v>
      </c>
      <c r="F39" s="57" t="s">
        <v>870</v>
      </c>
      <c r="G39" s="58">
        <v>680000</v>
      </c>
      <c r="H39" s="59">
        <v>680000</v>
      </c>
      <c r="I39" s="59">
        <f t="shared" si="0"/>
        <v>0</v>
      </c>
    </row>
    <row r="40" spans="1:9" customFormat="1" x14ac:dyDescent="0.35">
      <c r="A40" s="63">
        <f t="shared" si="1"/>
        <v>39</v>
      </c>
      <c r="B40" s="54" t="s">
        <v>871</v>
      </c>
      <c r="C40" s="55" t="s">
        <v>872</v>
      </c>
      <c r="D40" s="54" t="s">
        <v>865</v>
      </c>
      <c r="E40" s="56">
        <v>0</v>
      </c>
      <c r="F40" s="57" t="s">
        <v>792</v>
      </c>
      <c r="G40" s="58">
        <v>0</v>
      </c>
      <c r="H40" s="59">
        <v>1200</v>
      </c>
      <c r="I40" s="59">
        <f t="shared" si="0"/>
        <v>0</v>
      </c>
    </row>
    <row r="41" spans="1:9" customFormat="1" x14ac:dyDescent="0.35">
      <c r="A41" s="63">
        <f t="shared" si="1"/>
        <v>40</v>
      </c>
      <c r="B41" s="54" t="s">
        <v>873</v>
      </c>
      <c r="C41" s="55" t="s">
        <v>874</v>
      </c>
      <c r="D41" s="54" t="s">
        <v>865</v>
      </c>
      <c r="E41" s="56">
        <v>0</v>
      </c>
      <c r="F41" s="57" t="s">
        <v>792</v>
      </c>
      <c r="G41" s="58">
        <v>0</v>
      </c>
      <c r="H41" s="59">
        <v>820</v>
      </c>
      <c r="I41" s="59">
        <f t="shared" si="0"/>
        <v>0</v>
      </c>
    </row>
    <row r="42" spans="1:9" customFormat="1" x14ac:dyDescent="0.35">
      <c r="A42" s="63">
        <f t="shared" si="1"/>
        <v>41</v>
      </c>
      <c r="B42" s="54" t="s">
        <v>875</v>
      </c>
      <c r="C42" s="55" t="s">
        <v>876</v>
      </c>
      <c r="D42" s="54" t="s">
        <v>877</v>
      </c>
      <c r="E42" s="56">
        <v>0</v>
      </c>
      <c r="F42" s="57" t="s">
        <v>878</v>
      </c>
      <c r="G42" s="58">
        <v>25034</v>
      </c>
      <c r="H42" s="59">
        <v>36800</v>
      </c>
      <c r="I42" s="59">
        <f t="shared" si="0"/>
        <v>0</v>
      </c>
    </row>
    <row r="43" spans="1:9" customFormat="1" x14ac:dyDescent="0.35">
      <c r="A43" s="63">
        <f t="shared" si="1"/>
        <v>42</v>
      </c>
      <c r="B43" s="54" t="s">
        <v>879</v>
      </c>
      <c r="C43" s="55" t="s">
        <v>880</v>
      </c>
      <c r="D43" s="54" t="s">
        <v>877</v>
      </c>
      <c r="E43" s="56">
        <v>0</v>
      </c>
      <c r="F43" s="57" t="s">
        <v>878</v>
      </c>
      <c r="G43" s="58">
        <v>3400</v>
      </c>
      <c r="H43" s="59">
        <v>5318</v>
      </c>
      <c r="I43" s="59">
        <f t="shared" si="0"/>
        <v>0</v>
      </c>
    </row>
    <row r="44" spans="1:9" customFormat="1" x14ac:dyDescent="0.35">
      <c r="A44" s="63">
        <f t="shared" si="1"/>
        <v>43</v>
      </c>
      <c r="B44" s="54" t="s">
        <v>881</v>
      </c>
      <c r="C44" s="55" t="s">
        <v>882</v>
      </c>
      <c r="D44" s="54" t="s">
        <v>877</v>
      </c>
      <c r="E44" s="56">
        <v>0</v>
      </c>
      <c r="F44" s="57" t="s">
        <v>878</v>
      </c>
      <c r="G44" s="58">
        <v>9650</v>
      </c>
      <c r="H44" s="59">
        <v>15093</v>
      </c>
      <c r="I44" s="59">
        <f t="shared" si="0"/>
        <v>0</v>
      </c>
    </row>
    <row r="45" spans="1:9" customFormat="1" x14ac:dyDescent="0.35">
      <c r="A45" s="63">
        <f t="shared" si="1"/>
        <v>44</v>
      </c>
      <c r="B45" s="54" t="s">
        <v>883</v>
      </c>
      <c r="C45" s="55" t="s">
        <v>884</v>
      </c>
      <c r="D45" s="54" t="s">
        <v>877</v>
      </c>
      <c r="E45" s="56">
        <v>0</v>
      </c>
      <c r="F45" s="57" t="s">
        <v>878</v>
      </c>
      <c r="G45" s="58">
        <v>11650</v>
      </c>
      <c r="H45" s="59">
        <v>18221</v>
      </c>
      <c r="I45" s="59">
        <f t="shared" si="0"/>
        <v>0</v>
      </c>
    </row>
    <row r="46" spans="1:9" customFormat="1" x14ac:dyDescent="0.35">
      <c r="A46" s="63">
        <f t="shared" si="1"/>
        <v>45</v>
      </c>
      <c r="B46" s="54" t="s">
        <v>885</v>
      </c>
      <c r="C46" s="55" t="s">
        <v>886</v>
      </c>
      <c r="D46" s="54" t="s">
        <v>877</v>
      </c>
      <c r="E46" s="56">
        <v>0</v>
      </c>
      <c r="F46" s="57" t="s">
        <v>878</v>
      </c>
      <c r="G46" s="58">
        <v>88500</v>
      </c>
      <c r="H46" s="59">
        <v>138414</v>
      </c>
      <c r="I46" s="59">
        <f t="shared" si="0"/>
        <v>0</v>
      </c>
    </row>
    <row r="47" spans="1:9" customFormat="1" x14ac:dyDescent="0.35">
      <c r="A47" s="63">
        <f t="shared" si="1"/>
        <v>46</v>
      </c>
      <c r="B47" s="54" t="s">
        <v>887</v>
      </c>
      <c r="C47" s="55" t="s">
        <v>888</v>
      </c>
      <c r="D47" s="54" t="s">
        <v>877</v>
      </c>
      <c r="E47" s="56">
        <v>0</v>
      </c>
      <c r="F47" s="57" t="s">
        <v>878</v>
      </c>
      <c r="G47" s="58">
        <v>700</v>
      </c>
      <c r="H47" s="59">
        <v>1095</v>
      </c>
      <c r="I47" s="59">
        <f t="shared" si="0"/>
        <v>0</v>
      </c>
    </row>
    <row r="48" spans="1:9" customFormat="1" x14ac:dyDescent="0.35">
      <c r="A48" s="63">
        <f t="shared" si="1"/>
        <v>47</v>
      </c>
      <c r="B48" s="54" t="s">
        <v>889</v>
      </c>
      <c r="C48" s="55" t="s">
        <v>890</v>
      </c>
      <c r="D48" s="54" t="s">
        <v>877</v>
      </c>
      <c r="E48" s="56">
        <v>0</v>
      </c>
      <c r="F48" s="57" t="s">
        <v>878</v>
      </c>
      <c r="G48" s="58">
        <v>730</v>
      </c>
      <c r="H48" s="59">
        <v>1142</v>
      </c>
      <c r="I48" s="59">
        <f t="shared" si="0"/>
        <v>0</v>
      </c>
    </row>
    <row r="49" spans="1:9" customFormat="1" x14ac:dyDescent="0.35">
      <c r="A49" s="63">
        <f t="shared" si="1"/>
        <v>48</v>
      </c>
      <c r="B49" s="54" t="s">
        <v>891</v>
      </c>
      <c r="C49" s="55" t="s">
        <v>892</v>
      </c>
      <c r="D49" s="54" t="s">
        <v>877</v>
      </c>
      <c r="E49" s="56">
        <v>0</v>
      </c>
      <c r="F49" s="57" t="s">
        <v>878</v>
      </c>
      <c r="G49" s="58">
        <v>1300</v>
      </c>
      <c r="H49" s="59">
        <v>2815</v>
      </c>
      <c r="I49" s="59">
        <f t="shared" si="0"/>
        <v>0</v>
      </c>
    </row>
    <row r="50" spans="1:9" customFormat="1" x14ac:dyDescent="0.35">
      <c r="A50" s="63">
        <f t="shared" si="1"/>
        <v>49</v>
      </c>
      <c r="B50" s="54" t="s">
        <v>893</v>
      </c>
      <c r="C50" s="55" t="s">
        <v>894</v>
      </c>
      <c r="D50" s="54" t="s">
        <v>877</v>
      </c>
      <c r="E50" s="56">
        <v>0</v>
      </c>
      <c r="F50" s="57" t="s">
        <v>878</v>
      </c>
      <c r="G50" s="58">
        <v>800</v>
      </c>
      <c r="H50" s="59">
        <v>1251</v>
      </c>
      <c r="I50" s="59">
        <f t="shared" si="0"/>
        <v>0</v>
      </c>
    </row>
    <row r="51" spans="1:9" customFormat="1" x14ac:dyDescent="0.35">
      <c r="A51" s="63">
        <f t="shared" si="1"/>
        <v>50</v>
      </c>
      <c r="B51" s="54" t="s">
        <v>895</v>
      </c>
      <c r="C51" s="55" t="s">
        <v>896</v>
      </c>
      <c r="D51" s="54" t="s">
        <v>877</v>
      </c>
      <c r="E51" s="56">
        <v>0</v>
      </c>
      <c r="F51" s="57" t="s">
        <v>878</v>
      </c>
      <c r="G51" s="58">
        <v>1750</v>
      </c>
      <c r="H51" s="59">
        <v>2737</v>
      </c>
      <c r="I51" s="59">
        <f t="shared" si="0"/>
        <v>0</v>
      </c>
    </row>
    <row r="52" spans="1:9" customFormat="1" x14ac:dyDescent="0.35">
      <c r="A52" s="63">
        <f t="shared" si="1"/>
        <v>51</v>
      </c>
      <c r="B52" s="54" t="s">
        <v>897</v>
      </c>
      <c r="C52" s="55" t="s">
        <v>898</v>
      </c>
      <c r="D52" s="54" t="s">
        <v>877</v>
      </c>
      <c r="E52" s="56">
        <v>0</v>
      </c>
      <c r="F52" s="57" t="s">
        <v>792</v>
      </c>
      <c r="G52" s="58">
        <v>3765</v>
      </c>
      <c r="H52" s="59">
        <v>8840</v>
      </c>
      <c r="I52" s="59">
        <f t="shared" si="0"/>
        <v>0</v>
      </c>
    </row>
    <row r="53" spans="1:9" customFormat="1" x14ac:dyDescent="0.35">
      <c r="A53" s="63">
        <f t="shared" si="1"/>
        <v>52</v>
      </c>
      <c r="B53" s="54" t="s">
        <v>899</v>
      </c>
      <c r="C53" s="55" t="s">
        <v>900</v>
      </c>
      <c r="D53" s="54" t="s">
        <v>877</v>
      </c>
      <c r="E53" s="56">
        <v>0</v>
      </c>
      <c r="F53" s="57" t="s">
        <v>792</v>
      </c>
      <c r="G53" s="58">
        <v>5610</v>
      </c>
      <c r="H53" s="59">
        <v>13940</v>
      </c>
      <c r="I53" s="59">
        <f t="shared" si="0"/>
        <v>0</v>
      </c>
    </row>
    <row r="54" spans="1:9" customFormat="1" x14ac:dyDescent="0.35">
      <c r="A54" s="63">
        <f t="shared" si="1"/>
        <v>53</v>
      </c>
      <c r="B54" s="54" t="s">
        <v>901</v>
      </c>
      <c r="C54" s="55" t="s">
        <v>902</v>
      </c>
      <c r="D54" s="54" t="s">
        <v>877</v>
      </c>
      <c r="E54" s="56">
        <v>0</v>
      </c>
      <c r="F54" s="57" t="s">
        <v>878</v>
      </c>
      <c r="G54" s="58">
        <v>2800</v>
      </c>
      <c r="H54" s="59">
        <v>4379</v>
      </c>
      <c r="I54" s="59">
        <f t="shared" si="0"/>
        <v>0</v>
      </c>
    </row>
    <row r="55" spans="1:9" customFormat="1" x14ac:dyDescent="0.35">
      <c r="A55" s="63">
        <f t="shared" si="1"/>
        <v>54</v>
      </c>
      <c r="B55" s="54" t="s">
        <v>903</v>
      </c>
      <c r="C55" s="55" t="s">
        <v>904</v>
      </c>
      <c r="D55" s="54" t="s">
        <v>877</v>
      </c>
      <c r="E55" s="56">
        <v>0</v>
      </c>
      <c r="F55" s="57" t="s">
        <v>878</v>
      </c>
      <c r="G55" s="58">
        <v>6000</v>
      </c>
      <c r="H55" s="59">
        <v>9384</v>
      </c>
      <c r="I55" s="59">
        <f t="shared" si="0"/>
        <v>0</v>
      </c>
    </row>
    <row r="56" spans="1:9" customFormat="1" x14ac:dyDescent="0.35">
      <c r="A56" s="63">
        <f t="shared" si="1"/>
        <v>55</v>
      </c>
      <c r="B56" s="54" t="s">
        <v>905</v>
      </c>
      <c r="C56" s="55" t="s">
        <v>906</v>
      </c>
      <c r="D56" s="54" t="s">
        <v>877</v>
      </c>
      <c r="E56" s="56">
        <v>0</v>
      </c>
      <c r="F56" s="57" t="s">
        <v>878</v>
      </c>
      <c r="G56" s="58">
        <v>0</v>
      </c>
      <c r="H56" s="59">
        <v>4250</v>
      </c>
      <c r="I56" s="59">
        <f t="shared" si="0"/>
        <v>0</v>
      </c>
    </row>
    <row r="57" spans="1:9" customFormat="1" x14ac:dyDescent="0.35">
      <c r="A57" s="63">
        <f t="shared" si="1"/>
        <v>56</v>
      </c>
      <c r="B57" s="54" t="s">
        <v>907</v>
      </c>
      <c r="C57" s="55" t="s">
        <v>908</v>
      </c>
      <c r="D57" s="54" t="s">
        <v>877</v>
      </c>
      <c r="E57" s="56">
        <v>0</v>
      </c>
      <c r="F57" s="57" t="s">
        <v>792</v>
      </c>
      <c r="G57" s="58">
        <v>0</v>
      </c>
      <c r="H57" s="59">
        <v>4165</v>
      </c>
      <c r="I57" s="59">
        <f t="shared" si="0"/>
        <v>0</v>
      </c>
    </row>
    <row r="58" spans="1:9" customFormat="1" x14ac:dyDescent="0.35">
      <c r="A58" s="63">
        <f t="shared" si="1"/>
        <v>57</v>
      </c>
      <c r="B58" s="54" t="s">
        <v>909</v>
      </c>
      <c r="C58" s="55" t="s">
        <v>910</v>
      </c>
      <c r="D58" s="54" t="s">
        <v>877</v>
      </c>
      <c r="E58" s="56">
        <v>0</v>
      </c>
      <c r="F58" s="57" t="s">
        <v>792</v>
      </c>
      <c r="G58" s="58">
        <v>0</v>
      </c>
      <c r="H58" s="59">
        <v>4505</v>
      </c>
      <c r="I58" s="59">
        <f t="shared" si="0"/>
        <v>0</v>
      </c>
    </row>
    <row r="59" spans="1:9" customFormat="1" x14ac:dyDescent="0.35">
      <c r="A59" s="63">
        <f t="shared" si="1"/>
        <v>58</v>
      </c>
      <c r="B59" s="54" t="s">
        <v>911</v>
      </c>
      <c r="C59" s="55" t="s">
        <v>912</v>
      </c>
      <c r="D59" s="54" t="s">
        <v>877</v>
      </c>
      <c r="E59" s="56">
        <v>0</v>
      </c>
      <c r="F59" s="57" t="s">
        <v>792</v>
      </c>
      <c r="G59" s="58">
        <v>0</v>
      </c>
      <c r="H59" s="59">
        <v>850</v>
      </c>
      <c r="I59" s="59">
        <f t="shared" si="0"/>
        <v>0</v>
      </c>
    </row>
    <row r="60" spans="1:9" customFormat="1" x14ac:dyDescent="0.35">
      <c r="A60" s="63">
        <f t="shared" si="1"/>
        <v>59</v>
      </c>
      <c r="B60" s="54" t="s">
        <v>913</v>
      </c>
      <c r="C60" s="55" t="s">
        <v>914</v>
      </c>
      <c r="D60" s="54" t="s">
        <v>877</v>
      </c>
      <c r="E60" s="56">
        <v>0</v>
      </c>
      <c r="F60" s="57" t="s">
        <v>792</v>
      </c>
      <c r="G60" s="58">
        <v>0</v>
      </c>
      <c r="H60" s="59">
        <v>969</v>
      </c>
      <c r="I60" s="59">
        <f t="shared" si="0"/>
        <v>0</v>
      </c>
    </row>
    <row r="61" spans="1:9" customFormat="1" x14ac:dyDescent="0.35">
      <c r="A61" s="63">
        <f t="shared" si="1"/>
        <v>60</v>
      </c>
      <c r="B61" s="54" t="s">
        <v>915</v>
      </c>
      <c r="C61" s="55" t="s">
        <v>916</v>
      </c>
      <c r="D61" s="54" t="s">
        <v>877</v>
      </c>
      <c r="E61" s="56">
        <v>0</v>
      </c>
      <c r="F61" s="57" t="s">
        <v>792</v>
      </c>
      <c r="G61" s="58">
        <v>0</v>
      </c>
      <c r="H61" s="59">
        <v>1037</v>
      </c>
      <c r="I61" s="59">
        <f t="shared" si="0"/>
        <v>0</v>
      </c>
    </row>
    <row r="62" spans="1:9" customFormat="1" x14ac:dyDescent="0.35">
      <c r="A62" s="63">
        <f t="shared" si="1"/>
        <v>61</v>
      </c>
      <c r="B62" s="54" t="s">
        <v>917</v>
      </c>
      <c r="C62" s="55" t="s">
        <v>918</v>
      </c>
      <c r="D62" s="54" t="s">
        <v>877</v>
      </c>
      <c r="E62" s="56">
        <v>0</v>
      </c>
      <c r="F62" s="57" t="s">
        <v>792</v>
      </c>
      <c r="G62" s="58">
        <v>0</v>
      </c>
      <c r="H62" s="59">
        <v>1062</v>
      </c>
      <c r="I62" s="59">
        <f t="shared" si="0"/>
        <v>0</v>
      </c>
    </row>
    <row r="63" spans="1:9" customFormat="1" x14ac:dyDescent="0.35">
      <c r="A63" s="63">
        <f t="shared" si="1"/>
        <v>62</v>
      </c>
      <c r="B63" s="54" t="s">
        <v>919</v>
      </c>
      <c r="C63" s="55" t="s">
        <v>920</v>
      </c>
      <c r="D63" s="54" t="s">
        <v>877</v>
      </c>
      <c r="E63" s="56">
        <v>0</v>
      </c>
      <c r="F63" s="57" t="s">
        <v>792</v>
      </c>
      <c r="G63" s="58">
        <v>0</v>
      </c>
      <c r="H63" s="59">
        <v>2550</v>
      </c>
      <c r="I63" s="59">
        <f t="shared" si="0"/>
        <v>0</v>
      </c>
    </row>
    <row r="64" spans="1:9" customFormat="1" x14ac:dyDescent="0.35">
      <c r="A64" s="63">
        <f t="shared" si="1"/>
        <v>63</v>
      </c>
      <c r="B64" s="54" t="s">
        <v>921</v>
      </c>
      <c r="C64" s="55" t="s">
        <v>922</v>
      </c>
      <c r="D64" s="54" t="s">
        <v>877</v>
      </c>
      <c r="E64" s="56">
        <v>0</v>
      </c>
      <c r="F64" s="57" t="s">
        <v>792</v>
      </c>
      <c r="G64" s="58">
        <v>0</v>
      </c>
      <c r="H64" s="59">
        <v>1700</v>
      </c>
      <c r="I64" s="59">
        <f t="shared" si="0"/>
        <v>0</v>
      </c>
    </row>
    <row r="65" spans="1:9" customFormat="1" x14ac:dyDescent="0.35">
      <c r="A65" s="63">
        <f t="shared" si="1"/>
        <v>64</v>
      </c>
      <c r="B65" s="54" t="s">
        <v>923</v>
      </c>
      <c r="C65" s="55" t="s">
        <v>924</v>
      </c>
      <c r="D65" s="54" t="s">
        <v>877</v>
      </c>
      <c r="E65" s="56">
        <v>0</v>
      </c>
      <c r="F65" s="57" t="s">
        <v>792</v>
      </c>
      <c r="G65" s="58">
        <v>0</v>
      </c>
      <c r="H65" s="59">
        <v>3230</v>
      </c>
      <c r="I65" s="59">
        <f t="shared" si="0"/>
        <v>0</v>
      </c>
    </row>
    <row r="66" spans="1:9" customFormat="1" x14ac:dyDescent="0.35">
      <c r="A66" s="63">
        <f t="shared" si="1"/>
        <v>65</v>
      </c>
      <c r="B66" s="54" t="s">
        <v>925</v>
      </c>
      <c r="C66" s="55" t="s">
        <v>926</v>
      </c>
      <c r="D66" s="54" t="s">
        <v>877</v>
      </c>
      <c r="E66" s="56">
        <v>0</v>
      </c>
      <c r="F66" s="57" t="s">
        <v>792</v>
      </c>
      <c r="G66" s="58">
        <v>0</v>
      </c>
      <c r="H66" s="59">
        <v>3740</v>
      </c>
      <c r="I66" s="59">
        <f t="shared" si="0"/>
        <v>0</v>
      </c>
    </row>
    <row r="67" spans="1:9" customFormat="1" x14ac:dyDescent="0.35">
      <c r="A67" s="63">
        <f t="shared" si="1"/>
        <v>66</v>
      </c>
      <c r="B67" s="54" t="s">
        <v>927</v>
      </c>
      <c r="C67" s="55" t="s">
        <v>928</v>
      </c>
      <c r="D67" s="54" t="s">
        <v>877</v>
      </c>
      <c r="E67" s="56">
        <v>0</v>
      </c>
      <c r="F67" s="57" t="s">
        <v>792</v>
      </c>
      <c r="G67" s="58">
        <v>0</v>
      </c>
      <c r="H67" s="59">
        <v>1275</v>
      </c>
      <c r="I67" s="59">
        <f t="shared" ref="I67:I130" si="2">H67*E67</f>
        <v>0</v>
      </c>
    </row>
    <row r="68" spans="1:9" customFormat="1" x14ac:dyDescent="0.35">
      <c r="A68" s="63">
        <f t="shared" ref="A68:A131" si="3">A67+1</f>
        <v>67</v>
      </c>
      <c r="B68" s="54" t="s">
        <v>929</v>
      </c>
      <c r="C68" s="55" t="s">
        <v>930</v>
      </c>
      <c r="D68" s="54" t="s">
        <v>877</v>
      </c>
      <c r="E68" s="56">
        <v>0</v>
      </c>
      <c r="F68" s="57" t="s">
        <v>792</v>
      </c>
      <c r="G68" s="58">
        <v>1000</v>
      </c>
      <c r="H68" s="59">
        <v>1564</v>
      </c>
      <c r="I68" s="59">
        <f t="shared" si="2"/>
        <v>0</v>
      </c>
    </row>
    <row r="69" spans="1:9" customFormat="1" x14ac:dyDescent="0.35">
      <c r="A69" s="63">
        <f t="shared" si="3"/>
        <v>68</v>
      </c>
      <c r="B69" s="54" t="s">
        <v>931</v>
      </c>
      <c r="C69" s="55" t="s">
        <v>932</v>
      </c>
      <c r="D69" s="54" t="s">
        <v>877</v>
      </c>
      <c r="E69" s="56">
        <v>0</v>
      </c>
      <c r="F69" s="57" t="s">
        <v>878</v>
      </c>
      <c r="G69" s="58">
        <v>1100</v>
      </c>
      <c r="H69" s="59">
        <v>1720</v>
      </c>
      <c r="I69" s="59">
        <f t="shared" si="2"/>
        <v>0</v>
      </c>
    </row>
    <row r="70" spans="1:9" customFormat="1" x14ac:dyDescent="0.35">
      <c r="A70" s="63">
        <f t="shared" si="3"/>
        <v>69</v>
      </c>
      <c r="B70" s="54" t="s">
        <v>933</v>
      </c>
      <c r="C70" s="55" t="s">
        <v>934</v>
      </c>
      <c r="D70" s="54" t="s">
        <v>877</v>
      </c>
      <c r="E70" s="56">
        <v>0</v>
      </c>
      <c r="F70" s="57" t="s">
        <v>792</v>
      </c>
      <c r="G70" s="58">
        <v>5935</v>
      </c>
      <c r="H70" s="59">
        <v>8072</v>
      </c>
      <c r="I70" s="59">
        <f t="shared" si="2"/>
        <v>0</v>
      </c>
    </row>
    <row r="71" spans="1:9" customFormat="1" x14ac:dyDescent="0.35">
      <c r="A71" s="63">
        <f t="shared" si="3"/>
        <v>70</v>
      </c>
      <c r="B71" s="54" t="s">
        <v>935</v>
      </c>
      <c r="C71" s="55" t="s">
        <v>936</v>
      </c>
      <c r="D71" s="54" t="s">
        <v>877</v>
      </c>
      <c r="E71" s="56">
        <v>0</v>
      </c>
      <c r="F71" s="57" t="s">
        <v>792</v>
      </c>
      <c r="G71" s="58">
        <v>0</v>
      </c>
      <c r="H71" s="59">
        <v>87750</v>
      </c>
      <c r="I71" s="59">
        <f t="shared" si="2"/>
        <v>0</v>
      </c>
    </row>
    <row r="72" spans="1:9" customFormat="1" x14ac:dyDescent="0.35">
      <c r="A72" s="63">
        <f t="shared" si="3"/>
        <v>71</v>
      </c>
      <c r="B72" s="54" t="s">
        <v>937</v>
      </c>
      <c r="C72" s="55" t="s">
        <v>938</v>
      </c>
      <c r="D72" s="54" t="s">
        <v>877</v>
      </c>
      <c r="E72" s="56">
        <v>0</v>
      </c>
      <c r="F72" s="57" t="s">
        <v>792</v>
      </c>
      <c r="G72" s="58">
        <v>0</v>
      </c>
      <c r="H72" s="59">
        <v>1530</v>
      </c>
      <c r="I72" s="59">
        <f t="shared" si="2"/>
        <v>0</v>
      </c>
    </row>
    <row r="73" spans="1:9" customFormat="1" x14ac:dyDescent="0.35">
      <c r="A73" s="63">
        <f t="shared" si="3"/>
        <v>72</v>
      </c>
      <c r="B73" s="54" t="s">
        <v>939</v>
      </c>
      <c r="C73" s="55" t="s">
        <v>940</v>
      </c>
      <c r="D73" s="54" t="s">
        <v>877</v>
      </c>
      <c r="E73" s="56">
        <v>0</v>
      </c>
      <c r="F73" s="57" t="s">
        <v>792</v>
      </c>
      <c r="G73" s="58">
        <v>0</v>
      </c>
      <c r="H73" s="59">
        <v>1615</v>
      </c>
      <c r="I73" s="59">
        <f t="shared" si="2"/>
        <v>0</v>
      </c>
    </row>
    <row r="74" spans="1:9" customFormat="1" x14ac:dyDescent="0.35">
      <c r="A74" s="63">
        <f t="shared" si="3"/>
        <v>73</v>
      </c>
      <c r="B74" s="54" t="s">
        <v>941</v>
      </c>
      <c r="C74" s="55" t="s">
        <v>942</v>
      </c>
      <c r="D74" s="54" t="s">
        <v>877</v>
      </c>
      <c r="E74" s="56">
        <v>0</v>
      </c>
      <c r="F74" s="57" t="s">
        <v>792</v>
      </c>
      <c r="G74" s="58">
        <v>3025</v>
      </c>
      <c r="H74" s="59">
        <v>4114</v>
      </c>
      <c r="I74" s="59">
        <f t="shared" si="2"/>
        <v>0</v>
      </c>
    </row>
    <row r="75" spans="1:9" customFormat="1" x14ac:dyDescent="0.35">
      <c r="A75" s="63">
        <f t="shared" si="3"/>
        <v>74</v>
      </c>
      <c r="B75" s="54" t="s">
        <v>943</v>
      </c>
      <c r="C75" s="55" t="s">
        <v>944</v>
      </c>
      <c r="D75" s="54" t="s">
        <v>877</v>
      </c>
      <c r="E75" s="56">
        <v>0</v>
      </c>
      <c r="F75" s="57" t="s">
        <v>792</v>
      </c>
      <c r="G75" s="58">
        <v>0</v>
      </c>
      <c r="H75" s="59">
        <v>1938</v>
      </c>
      <c r="I75" s="59">
        <f t="shared" si="2"/>
        <v>0</v>
      </c>
    </row>
    <row r="76" spans="1:9" customFormat="1" x14ac:dyDescent="0.35">
      <c r="A76" s="63">
        <f t="shared" si="3"/>
        <v>75</v>
      </c>
      <c r="B76" s="54" t="s">
        <v>945</v>
      </c>
      <c r="C76" s="55" t="s">
        <v>946</v>
      </c>
      <c r="D76" s="54" t="s">
        <v>877</v>
      </c>
      <c r="E76" s="56">
        <v>0</v>
      </c>
      <c r="F76" s="57" t="s">
        <v>792</v>
      </c>
      <c r="G76" s="58">
        <v>0</v>
      </c>
      <c r="H76" s="59">
        <v>897750</v>
      </c>
      <c r="I76" s="59">
        <f t="shared" si="2"/>
        <v>0</v>
      </c>
    </row>
    <row r="77" spans="1:9" customFormat="1" x14ac:dyDescent="0.35">
      <c r="A77" s="63">
        <f t="shared" si="3"/>
        <v>76</v>
      </c>
      <c r="B77" s="54" t="s">
        <v>947</v>
      </c>
      <c r="C77" s="55" t="s">
        <v>948</v>
      </c>
      <c r="D77" s="54" t="s">
        <v>877</v>
      </c>
      <c r="E77" s="56">
        <v>0</v>
      </c>
      <c r="F77" s="57" t="s">
        <v>792</v>
      </c>
      <c r="G77" s="58">
        <v>0</v>
      </c>
      <c r="H77" s="59">
        <v>34340</v>
      </c>
      <c r="I77" s="59">
        <f t="shared" si="2"/>
        <v>0</v>
      </c>
    </row>
    <row r="78" spans="1:9" customFormat="1" x14ac:dyDescent="0.35">
      <c r="A78" s="63">
        <f t="shared" si="3"/>
        <v>77</v>
      </c>
      <c r="B78" s="54" t="s">
        <v>949</v>
      </c>
      <c r="C78" s="55" t="s">
        <v>950</v>
      </c>
      <c r="D78" s="54" t="s">
        <v>877</v>
      </c>
      <c r="E78" s="56">
        <v>0</v>
      </c>
      <c r="F78" s="57" t="s">
        <v>792</v>
      </c>
      <c r="G78" s="58">
        <v>0</v>
      </c>
      <c r="H78" s="59">
        <v>40500</v>
      </c>
      <c r="I78" s="59">
        <f t="shared" si="2"/>
        <v>0</v>
      </c>
    </row>
    <row r="79" spans="1:9" customFormat="1" x14ac:dyDescent="0.35">
      <c r="A79" s="63">
        <f t="shared" si="3"/>
        <v>78</v>
      </c>
      <c r="B79" s="54" t="s">
        <v>951</v>
      </c>
      <c r="C79" s="55" t="s">
        <v>952</v>
      </c>
      <c r="D79" s="54" t="s">
        <v>877</v>
      </c>
      <c r="E79" s="56">
        <v>0</v>
      </c>
      <c r="F79" s="57" t="s">
        <v>792</v>
      </c>
      <c r="G79" s="58">
        <v>656</v>
      </c>
      <c r="H79" s="59">
        <v>1115</v>
      </c>
      <c r="I79" s="59">
        <f t="shared" si="2"/>
        <v>0</v>
      </c>
    </row>
    <row r="80" spans="1:9" customFormat="1" x14ac:dyDescent="0.35">
      <c r="A80" s="63">
        <f t="shared" si="3"/>
        <v>79</v>
      </c>
      <c r="B80" s="54" t="s">
        <v>953</v>
      </c>
      <c r="C80" s="55" t="s">
        <v>954</v>
      </c>
      <c r="D80" s="54" t="s">
        <v>877</v>
      </c>
      <c r="E80" s="56">
        <v>0</v>
      </c>
      <c r="F80" s="57" t="s">
        <v>792</v>
      </c>
      <c r="G80" s="58">
        <v>1500</v>
      </c>
      <c r="H80" s="59">
        <v>1578</v>
      </c>
      <c r="I80" s="59">
        <f t="shared" si="2"/>
        <v>0</v>
      </c>
    </row>
    <row r="81" spans="1:9" customFormat="1" x14ac:dyDescent="0.35">
      <c r="A81" s="63">
        <f t="shared" si="3"/>
        <v>80</v>
      </c>
      <c r="B81" s="54" t="s">
        <v>955</v>
      </c>
      <c r="C81" s="55" t="s">
        <v>956</v>
      </c>
      <c r="D81" s="54" t="s">
        <v>877</v>
      </c>
      <c r="E81" s="56">
        <v>0</v>
      </c>
      <c r="F81" s="57" t="s">
        <v>792</v>
      </c>
      <c r="G81" s="58">
        <v>691</v>
      </c>
      <c r="H81" s="59">
        <v>2360</v>
      </c>
      <c r="I81" s="59">
        <f t="shared" si="2"/>
        <v>0</v>
      </c>
    </row>
    <row r="82" spans="1:9" customFormat="1" x14ac:dyDescent="0.35">
      <c r="A82" s="63">
        <f t="shared" si="3"/>
        <v>81</v>
      </c>
      <c r="B82" s="54" t="s">
        <v>957</v>
      </c>
      <c r="C82" s="55" t="s">
        <v>958</v>
      </c>
      <c r="D82" s="54" t="s">
        <v>877</v>
      </c>
      <c r="E82" s="56">
        <v>0</v>
      </c>
      <c r="F82" s="57" t="s">
        <v>792</v>
      </c>
      <c r="G82" s="58">
        <v>1230</v>
      </c>
      <c r="H82" s="59">
        <v>1904</v>
      </c>
      <c r="I82" s="59">
        <f t="shared" si="2"/>
        <v>0</v>
      </c>
    </row>
    <row r="83" spans="1:9" customFormat="1" x14ac:dyDescent="0.35">
      <c r="A83" s="63">
        <f t="shared" si="3"/>
        <v>82</v>
      </c>
      <c r="B83" s="54" t="s">
        <v>959</v>
      </c>
      <c r="C83" s="55" t="s">
        <v>960</v>
      </c>
      <c r="D83" s="54" t="s">
        <v>877</v>
      </c>
      <c r="E83" s="56">
        <v>0</v>
      </c>
      <c r="F83" s="57" t="s">
        <v>792</v>
      </c>
      <c r="G83" s="58">
        <v>1120</v>
      </c>
      <c r="H83" s="59">
        <v>2100</v>
      </c>
      <c r="I83" s="59">
        <f t="shared" si="2"/>
        <v>0</v>
      </c>
    </row>
    <row r="84" spans="1:9" customFormat="1" x14ac:dyDescent="0.35">
      <c r="A84" s="63">
        <f t="shared" si="3"/>
        <v>83</v>
      </c>
      <c r="B84" s="54" t="s">
        <v>961</v>
      </c>
      <c r="C84" s="55" t="s">
        <v>962</v>
      </c>
      <c r="D84" s="54" t="s">
        <v>877</v>
      </c>
      <c r="E84" s="56">
        <v>0</v>
      </c>
      <c r="F84" s="57" t="s">
        <v>792</v>
      </c>
      <c r="G84" s="58">
        <v>1351.25</v>
      </c>
      <c r="H84" s="59">
        <v>2600</v>
      </c>
      <c r="I84" s="59">
        <f t="shared" si="2"/>
        <v>0</v>
      </c>
    </row>
    <row r="85" spans="1:9" customFormat="1" x14ac:dyDescent="0.35">
      <c r="A85" s="63">
        <f t="shared" si="3"/>
        <v>84</v>
      </c>
      <c r="B85" s="54" t="s">
        <v>963</v>
      </c>
      <c r="C85" s="55" t="s">
        <v>964</v>
      </c>
      <c r="D85" s="54" t="s">
        <v>877</v>
      </c>
      <c r="E85" s="56">
        <v>0</v>
      </c>
      <c r="F85" s="57" t="s">
        <v>792</v>
      </c>
      <c r="G85" s="58">
        <v>975</v>
      </c>
      <c r="H85" s="59">
        <v>2000</v>
      </c>
      <c r="I85" s="59">
        <f t="shared" si="2"/>
        <v>0</v>
      </c>
    </row>
    <row r="86" spans="1:9" customFormat="1" x14ac:dyDescent="0.35">
      <c r="A86" s="63">
        <f t="shared" si="3"/>
        <v>85</v>
      </c>
      <c r="B86" s="54" t="s">
        <v>965</v>
      </c>
      <c r="C86" s="55" t="s">
        <v>966</v>
      </c>
      <c r="D86" s="54" t="s">
        <v>877</v>
      </c>
      <c r="E86" s="56">
        <v>0</v>
      </c>
      <c r="F86" s="57" t="s">
        <v>792</v>
      </c>
      <c r="G86" s="58">
        <v>0</v>
      </c>
      <c r="H86" s="59">
        <v>7000</v>
      </c>
      <c r="I86" s="59">
        <f t="shared" si="2"/>
        <v>0</v>
      </c>
    </row>
    <row r="87" spans="1:9" customFormat="1" x14ac:dyDescent="0.35">
      <c r="A87" s="63">
        <f t="shared" si="3"/>
        <v>86</v>
      </c>
      <c r="B87" s="54" t="s">
        <v>967</v>
      </c>
      <c r="C87" s="55" t="s">
        <v>968</v>
      </c>
      <c r="D87" s="54" t="s">
        <v>877</v>
      </c>
      <c r="E87" s="56">
        <v>0</v>
      </c>
      <c r="F87" s="57" t="s">
        <v>969</v>
      </c>
      <c r="G87" s="58">
        <v>2940000</v>
      </c>
      <c r="H87" s="59">
        <v>3234000</v>
      </c>
      <c r="I87" s="59">
        <f t="shared" si="2"/>
        <v>0</v>
      </c>
    </row>
    <row r="88" spans="1:9" customFormat="1" x14ac:dyDescent="0.35">
      <c r="A88" s="63">
        <f t="shared" si="3"/>
        <v>87</v>
      </c>
      <c r="B88" s="54" t="s">
        <v>970</v>
      </c>
      <c r="C88" s="55" t="s">
        <v>971</v>
      </c>
      <c r="D88" s="54" t="s">
        <v>877</v>
      </c>
      <c r="E88" s="56">
        <v>0</v>
      </c>
      <c r="F88" s="57" t="s">
        <v>844</v>
      </c>
      <c r="G88" s="58">
        <v>0</v>
      </c>
      <c r="H88" s="59">
        <v>1252800</v>
      </c>
      <c r="I88" s="59">
        <f t="shared" si="2"/>
        <v>0</v>
      </c>
    </row>
    <row r="89" spans="1:9" customFormat="1" x14ac:dyDescent="0.35">
      <c r="A89" s="63">
        <f t="shared" si="3"/>
        <v>88</v>
      </c>
      <c r="B89" s="54" t="s">
        <v>972</v>
      </c>
      <c r="C89" s="55" t="s">
        <v>973</v>
      </c>
      <c r="D89" s="54" t="s">
        <v>877</v>
      </c>
      <c r="E89" s="56">
        <v>0</v>
      </c>
      <c r="F89" s="57" t="s">
        <v>974</v>
      </c>
      <c r="G89" s="58">
        <v>7500</v>
      </c>
      <c r="H89" s="59">
        <v>7500</v>
      </c>
      <c r="I89" s="59">
        <f t="shared" si="2"/>
        <v>0</v>
      </c>
    </row>
    <row r="90" spans="1:9" customFormat="1" x14ac:dyDescent="0.35">
      <c r="A90" s="63">
        <f t="shared" si="3"/>
        <v>89</v>
      </c>
      <c r="B90" s="54" t="s">
        <v>975</v>
      </c>
      <c r="C90" s="55" t="s">
        <v>976</v>
      </c>
      <c r="D90" s="54" t="s">
        <v>877</v>
      </c>
      <c r="E90" s="56">
        <v>0</v>
      </c>
      <c r="F90" s="57" t="s">
        <v>977</v>
      </c>
      <c r="G90" s="58">
        <v>0</v>
      </c>
      <c r="H90" s="59">
        <v>44550</v>
      </c>
      <c r="I90" s="59">
        <f t="shared" si="2"/>
        <v>0</v>
      </c>
    </row>
    <row r="91" spans="1:9" customFormat="1" x14ac:dyDescent="0.35">
      <c r="A91" s="63">
        <f t="shared" si="3"/>
        <v>90</v>
      </c>
      <c r="B91" s="54" t="s">
        <v>978</v>
      </c>
      <c r="C91" s="55" t="s">
        <v>979</v>
      </c>
      <c r="D91" s="54" t="s">
        <v>877</v>
      </c>
      <c r="E91" s="56">
        <v>0</v>
      </c>
      <c r="F91" s="57" t="s">
        <v>870</v>
      </c>
      <c r="G91" s="58">
        <v>0</v>
      </c>
      <c r="H91" s="59">
        <v>22005</v>
      </c>
      <c r="I91" s="59">
        <f t="shared" si="2"/>
        <v>0</v>
      </c>
    </row>
    <row r="92" spans="1:9" customFormat="1" x14ac:dyDescent="0.35">
      <c r="A92" s="63">
        <f t="shared" si="3"/>
        <v>91</v>
      </c>
      <c r="B92" s="54" t="s">
        <v>980</v>
      </c>
      <c r="C92" s="55" t="s">
        <v>981</v>
      </c>
      <c r="D92" s="54" t="s">
        <v>877</v>
      </c>
      <c r="E92" s="56">
        <v>0</v>
      </c>
      <c r="F92" s="57" t="s">
        <v>870</v>
      </c>
      <c r="G92" s="58">
        <v>0</v>
      </c>
      <c r="H92" s="59">
        <v>57375</v>
      </c>
      <c r="I92" s="59">
        <f t="shared" si="2"/>
        <v>0</v>
      </c>
    </row>
    <row r="93" spans="1:9" customFormat="1" x14ac:dyDescent="0.35">
      <c r="A93" s="63">
        <f t="shared" si="3"/>
        <v>92</v>
      </c>
      <c r="B93" s="54" t="s">
        <v>982</v>
      </c>
      <c r="C93" s="55" t="s">
        <v>983</v>
      </c>
      <c r="D93" s="54" t="s">
        <v>877</v>
      </c>
      <c r="E93" s="56">
        <v>0</v>
      </c>
      <c r="F93" s="57" t="s">
        <v>870</v>
      </c>
      <c r="G93" s="58">
        <v>7779</v>
      </c>
      <c r="H93" s="59">
        <v>11745</v>
      </c>
      <c r="I93" s="59">
        <f t="shared" si="2"/>
        <v>0</v>
      </c>
    </row>
    <row r="94" spans="1:9" customFormat="1" x14ac:dyDescent="0.35">
      <c r="A94" s="63">
        <f t="shared" si="3"/>
        <v>93</v>
      </c>
      <c r="B94" s="54" t="s">
        <v>984</v>
      </c>
      <c r="C94" s="55" t="s">
        <v>985</v>
      </c>
      <c r="D94" s="54" t="s">
        <v>877</v>
      </c>
      <c r="E94" s="56">
        <v>0</v>
      </c>
      <c r="F94" s="57" t="s">
        <v>870</v>
      </c>
      <c r="G94" s="58">
        <v>12288</v>
      </c>
      <c r="H94" s="59">
        <v>18900</v>
      </c>
      <c r="I94" s="59">
        <f t="shared" si="2"/>
        <v>0</v>
      </c>
    </row>
    <row r="95" spans="1:9" customFormat="1" x14ac:dyDescent="0.35">
      <c r="A95" s="63">
        <f t="shared" si="3"/>
        <v>94</v>
      </c>
      <c r="B95" s="54" t="s">
        <v>986</v>
      </c>
      <c r="C95" s="55" t="s">
        <v>987</v>
      </c>
      <c r="D95" s="54" t="s">
        <v>877</v>
      </c>
      <c r="E95" s="56">
        <v>0</v>
      </c>
      <c r="F95" s="57" t="s">
        <v>870</v>
      </c>
      <c r="G95" s="58">
        <v>33595</v>
      </c>
      <c r="H95" s="59">
        <v>50625</v>
      </c>
      <c r="I95" s="59">
        <f t="shared" si="2"/>
        <v>0</v>
      </c>
    </row>
    <row r="96" spans="1:9" customFormat="1" x14ac:dyDescent="0.35">
      <c r="A96" s="63">
        <f t="shared" si="3"/>
        <v>95</v>
      </c>
      <c r="B96" s="54" t="s">
        <v>988</v>
      </c>
      <c r="C96" s="55" t="s">
        <v>989</v>
      </c>
      <c r="D96" s="54" t="s">
        <v>877</v>
      </c>
      <c r="E96" s="56">
        <v>0</v>
      </c>
      <c r="F96" s="57" t="s">
        <v>870</v>
      </c>
      <c r="G96" s="58">
        <v>0</v>
      </c>
      <c r="H96" s="59">
        <v>18900</v>
      </c>
      <c r="I96" s="59">
        <f t="shared" si="2"/>
        <v>0</v>
      </c>
    </row>
    <row r="97" spans="1:9" customFormat="1" x14ac:dyDescent="0.35">
      <c r="A97" s="63">
        <f t="shared" si="3"/>
        <v>96</v>
      </c>
      <c r="B97" s="54" t="s">
        <v>990</v>
      </c>
      <c r="C97" s="55" t="s">
        <v>991</v>
      </c>
      <c r="D97" s="54" t="s">
        <v>877</v>
      </c>
      <c r="E97" s="56">
        <v>0</v>
      </c>
      <c r="F97" s="57" t="s">
        <v>870</v>
      </c>
      <c r="G97" s="58">
        <v>0</v>
      </c>
      <c r="H97" s="59">
        <v>113400</v>
      </c>
      <c r="I97" s="59">
        <f t="shared" si="2"/>
        <v>0</v>
      </c>
    </row>
    <row r="98" spans="1:9" customFormat="1" x14ac:dyDescent="0.35">
      <c r="A98" s="63">
        <f t="shared" si="3"/>
        <v>97</v>
      </c>
      <c r="B98" s="54" t="s">
        <v>992</v>
      </c>
      <c r="C98" s="55" t="s">
        <v>993</v>
      </c>
      <c r="D98" s="54" t="s">
        <v>877</v>
      </c>
      <c r="E98" s="56">
        <v>0</v>
      </c>
      <c r="F98" s="57" t="s">
        <v>994</v>
      </c>
      <c r="G98" s="58">
        <v>0</v>
      </c>
      <c r="H98" s="59">
        <v>13500</v>
      </c>
      <c r="I98" s="59">
        <f t="shared" si="2"/>
        <v>0</v>
      </c>
    </row>
    <row r="99" spans="1:9" customFormat="1" ht="23" x14ac:dyDescent="0.35">
      <c r="A99" s="63">
        <f t="shared" si="3"/>
        <v>98</v>
      </c>
      <c r="B99" s="54" t="s">
        <v>995</v>
      </c>
      <c r="C99" s="55" t="s">
        <v>996</v>
      </c>
      <c r="D99" s="54" t="s">
        <v>877</v>
      </c>
      <c r="E99" s="56">
        <v>0</v>
      </c>
      <c r="F99" s="57" t="s">
        <v>844</v>
      </c>
      <c r="G99" s="58">
        <v>0</v>
      </c>
      <c r="H99" s="59">
        <v>1181250</v>
      </c>
      <c r="I99" s="59">
        <f t="shared" si="2"/>
        <v>0</v>
      </c>
    </row>
    <row r="100" spans="1:9" customFormat="1" x14ac:dyDescent="0.35">
      <c r="A100" s="63">
        <f t="shared" si="3"/>
        <v>99</v>
      </c>
      <c r="B100" s="54" t="s">
        <v>997</v>
      </c>
      <c r="C100" s="55" t="s">
        <v>998</v>
      </c>
      <c r="D100" s="54" t="s">
        <v>877</v>
      </c>
      <c r="E100" s="56">
        <v>0</v>
      </c>
      <c r="F100" s="57" t="s">
        <v>844</v>
      </c>
      <c r="G100" s="58">
        <v>0</v>
      </c>
      <c r="H100" s="59">
        <v>553500</v>
      </c>
      <c r="I100" s="59">
        <f t="shared" si="2"/>
        <v>0</v>
      </c>
    </row>
    <row r="101" spans="1:9" customFormat="1" x14ac:dyDescent="0.35">
      <c r="A101" s="63">
        <f t="shared" si="3"/>
        <v>100</v>
      </c>
      <c r="B101" s="54" t="s">
        <v>999</v>
      </c>
      <c r="C101" s="55" t="s">
        <v>1000</v>
      </c>
      <c r="D101" s="54" t="s">
        <v>877</v>
      </c>
      <c r="E101" s="56">
        <v>0</v>
      </c>
      <c r="F101" s="57" t="s">
        <v>994</v>
      </c>
      <c r="G101" s="58">
        <v>71000</v>
      </c>
      <c r="H101" s="59">
        <v>97200</v>
      </c>
      <c r="I101" s="59">
        <f t="shared" si="2"/>
        <v>0</v>
      </c>
    </row>
    <row r="102" spans="1:9" customFormat="1" x14ac:dyDescent="0.35">
      <c r="A102" s="63">
        <f t="shared" si="3"/>
        <v>101</v>
      </c>
      <c r="B102" s="54" t="s">
        <v>1001</v>
      </c>
      <c r="C102" s="55" t="s">
        <v>1002</v>
      </c>
      <c r="D102" s="54" t="s">
        <v>877</v>
      </c>
      <c r="E102" s="56">
        <v>0</v>
      </c>
      <c r="F102" s="57" t="s">
        <v>1003</v>
      </c>
      <c r="G102" s="58">
        <v>0</v>
      </c>
      <c r="H102" s="59">
        <v>324000</v>
      </c>
      <c r="I102" s="59">
        <f t="shared" si="2"/>
        <v>0</v>
      </c>
    </row>
    <row r="103" spans="1:9" customFormat="1" x14ac:dyDescent="0.35">
      <c r="A103" s="63">
        <f t="shared" si="3"/>
        <v>102</v>
      </c>
      <c r="B103" s="54" t="s">
        <v>1004</v>
      </c>
      <c r="C103" s="55" t="s">
        <v>1005</v>
      </c>
      <c r="D103" s="54" t="s">
        <v>877</v>
      </c>
      <c r="E103" s="56">
        <v>0</v>
      </c>
      <c r="F103" s="57" t="s">
        <v>792</v>
      </c>
      <c r="G103" s="58">
        <v>0</v>
      </c>
      <c r="H103" s="59">
        <v>634500</v>
      </c>
      <c r="I103" s="59">
        <f t="shared" si="2"/>
        <v>0</v>
      </c>
    </row>
    <row r="104" spans="1:9" customFormat="1" x14ac:dyDescent="0.35">
      <c r="A104" s="63">
        <f t="shared" si="3"/>
        <v>103</v>
      </c>
      <c r="B104" s="54" t="s">
        <v>1006</v>
      </c>
      <c r="C104" s="55" t="s">
        <v>1007</v>
      </c>
      <c r="D104" s="54" t="s">
        <v>877</v>
      </c>
      <c r="E104" s="56">
        <v>0</v>
      </c>
      <c r="F104" s="57" t="s">
        <v>878</v>
      </c>
      <c r="G104" s="58">
        <v>0</v>
      </c>
      <c r="H104" s="59">
        <v>523800</v>
      </c>
      <c r="I104" s="59">
        <f t="shared" si="2"/>
        <v>0</v>
      </c>
    </row>
    <row r="105" spans="1:9" customFormat="1" x14ac:dyDescent="0.35">
      <c r="A105" s="63">
        <f t="shared" si="3"/>
        <v>104</v>
      </c>
      <c r="B105" s="54" t="s">
        <v>1008</v>
      </c>
      <c r="C105" s="55" t="s">
        <v>1009</v>
      </c>
      <c r="D105" s="54" t="s">
        <v>877</v>
      </c>
      <c r="E105" s="56">
        <v>0</v>
      </c>
      <c r="F105" s="57" t="s">
        <v>1010</v>
      </c>
      <c r="G105" s="58">
        <v>551851.48</v>
      </c>
      <c r="H105" s="59">
        <v>810000</v>
      </c>
      <c r="I105" s="59">
        <f t="shared" si="2"/>
        <v>0</v>
      </c>
    </row>
    <row r="106" spans="1:9" customFormat="1" x14ac:dyDescent="0.35">
      <c r="A106" s="63">
        <f t="shared" si="3"/>
        <v>105</v>
      </c>
      <c r="B106" s="54" t="s">
        <v>1011</v>
      </c>
      <c r="C106" s="55" t="s">
        <v>1012</v>
      </c>
      <c r="D106" s="54" t="s">
        <v>877</v>
      </c>
      <c r="E106" s="56">
        <v>0</v>
      </c>
      <c r="F106" s="57" t="s">
        <v>969</v>
      </c>
      <c r="G106" s="58">
        <v>165000</v>
      </c>
      <c r="H106" s="59">
        <v>222751</v>
      </c>
      <c r="I106" s="59">
        <f t="shared" si="2"/>
        <v>0</v>
      </c>
    </row>
    <row r="107" spans="1:9" customFormat="1" x14ac:dyDescent="0.35">
      <c r="A107" s="63">
        <f t="shared" si="3"/>
        <v>106</v>
      </c>
      <c r="B107" s="54" t="s">
        <v>1013</v>
      </c>
      <c r="C107" s="55" t="s">
        <v>1014</v>
      </c>
      <c r="D107" s="54" t="s">
        <v>877</v>
      </c>
      <c r="E107" s="56">
        <v>0</v>
      </c>
      <c r="F107" s="57" t="s">
        <v>969</v>
      </c>
      <c r="G107" s="58">
        <v>335000</v>
      </c>
      <c r="H107" s="59">
        <v>420000</v>
      </c>
      <c r="I107" s="59">
        <f t="shared" si="2"/>
        <v>0</v>
      </c>
    </row>
    <row r="108" spans="1:9" customFormat="1" x14ac:dyDescent="0.35">
      <c r="A108" s="63">
        <f t="shared" si="3"/>
        <v>107</v>
      </c>
      <c r="B108" s="54" t="s">
        <v>1015</v>
      </c>
      <c r="C108" s="55" t="s">
        <v>1016</v>
      </c>
      <c r="D108" s="54" t="s">
        <v>877</v>
      </c>
      <c r="E108" s="56">
        <v>0</v>
      </c>
      <c r="F108" s="57" t="s">
        <v>969</v>
      </c>
      <c r="G108" s="58">
        <v>410000</v>
      </c>
      <c r="H108" s="59">
        <v>500000</v>
      </c>
      <c r="I108" s="59">
        <f t="shared" si="2"/>
        <v>0</v>
      </c>
    </row>
    <row r="109" spans="1:9" customFormat="1" x14ac:dyDescent="0.35">
      <c r="A109" s="63">
        <f t="shared" si="3"/>
        <v>108</v>
      </c>
      <c r="B109" s="54" t="s">
        <v>1017</v>
      </c>
      <c r="C109" s="55" t="s">
        <v>1018</v>
      </c>
      <c r="D109" s="54" t="s">
        <v>877</v>
      </c>
      <c r="E109" s="56">
        <v>0</v>
      </c>
      <c r="F109" s="57" t="s">
        <v>969</v>
      </c>
      <c r="G109" s="58">
        <v>265000</v>
      </c>
      <c r="H109" s="59">
        <v>370000</v>
      </c>
      <c r="I109" s="59">
        <f t="shared" si="2"/>
        <v>0</v>
      </c>
    </row>
    <row r="110" spans="1:9" customFormat="1" x14ac:dyDescent="0.35">
      <c r="A110" s="63">
        <f t="shared" si="3"/>
        <v>109</v>
      </c>
      <c r="B110" s="54" t="s">
        <v>1019</v>
      </c>
      <c r="C110" s="55" t="s">
        <v>1020</v>
      </c>
      <c r="D110" s="54" t="s">
        <v>877</v>
      </c>
      <c r="E110" s="56">
        <v>0</v>
      </c>
      <c r="F110" s="57" t="s">
        <v>792</v>
      </c>
      <c r="G110" s="58">
        <v>0</v>
      </c>
      <c r="H110" s="59">
        <v>108000</v>
      </c>
      <c r="I110" s="59">
        <f t="shared" si="2"/>
        <v>0</v>
      </c>
    </row>
    <row r="111" spans="1:9" customFormat="1" x14ac:dyDescent="0.35">
      <c r="A111" s="63">
        <f t="shared" si="3"/>
        <v>110</v>
      </c>
      <c r="B111" s="54" t="s">
        <v>1021</v>
      </c>
      <c r="C111" s="55" t="s">
        <v>1022</v>
      </c>
      <c r="D111" s="54" t="s">
        <v>877</v>
      </c>
      <c r="E111" s="56">
        <v>0</v>
      </c>
      <c r="F111" s="57" t="s">
        <v>792</v>
      </c>
      <c r="G111" s="58">
        <v>0</v>
      </c>
      <c r="H111" s="59">
        <v>108000</v>
      </c>
      <c r="I111" s="59">
        <f t="shared" si="2"/>
        <v>0</v>
      </c>
    </row>
    <row r="112" spans="1:9" customFormat="1" x14ac:dyDescent="0.35">
      <c r="A112" s="63">
        <f t="shared" si="3"/>
        <v>111</v>
      </c>
      <c r="B112" s="54" t="s">
        <v>1023</v>
      </c>
      <c r="C112" s="55" t="s">
        <v>1024</v>
      </c>
      <c r="D112" s="54" t="s">
        <v>877</v>
      </c>
      <c r="E112" s="56">
        <v>0</v>
      </c>
      <c r="F112" s="57" t="s">
        <v>792</v>
      </c>
      <c r="G112" s="58">
        <v>0</v>
      </c>
      <c r="H112" s="59">
        <v>114750</v>
      </c>
      <c r="I112" s="59">
        <f t="shared" si="2"/>
        <v>0</v>
      </c>
    </row>
    <row r="113" spans="1:9" customFormat="1" x14ac:dyDescent="0.35">
      <c r="A113" s="63">
        <f t="shared" si="3"/>
        <v>112</v>
      </c>
      <c r="B113" s="54" t="s">
        <v>1025</v>
      </c>
      <c r="C113" s="55" t="s">
        <v>1026</v>
      </c>
      <c r="D113" s="54" t="s">
        <v>877</v>
      </c>
      <c r="E113" s="56">
        <v>0</v>
      </c>
      <c r="F113" s="57" t="s">
        <v>792</v>
      </c>
      <c r="G113" s="58">
        <v>0</v>
      </c>
      <c r="H113" s="59">
        <v>513000</v>
      </c>
      <c r="I113" s="59">
        <f t="shared" si="2"/>
        <v>0</v>
      </c>
    </row>
    <row r="114" spans="1:9" customFormat="1" x14ac:dyDescent="0.35">
      <c r="A114" s="63">
        <f t="shared" si="3"/>
        <v>113</v>
      </c>
      <c r="B114" s="54" t="s">
        <v>1027</v>
      </c>
      <c r="C114" s="55" t="s">
        <v>1028</v>
      </c>
      <c r="D114" s="54" t="s">
        <v>877</v>
      </c>
      <c r="E114" s="56">
        <v>0</v>
      </c>
      <c r="F114" s="57" t="s">
        <v>792</v>
      </c>
      <c r="G114" s="58">
        <v>0</v>
      </c>
      <c r="H114" s="59">
        <v>499500</v>
      </c>
      <c r="I114" s="59">
        <f t="shared" si="2"/>
        <v>0</v>
      </c>
    </row>
    <row r="115" spans="1:9" customFormat="1" x14ac:dyDescent="0.35">
      <c r="A115" s="63">
        <f t="shared" si="3"/>
        <v>114</v>
      </c>
      <c r="B115" s="54" t="s">
        <v>1029</v>
      </c>
      <c r="C115" s="55" t="s">
        <v>1030</v>
      </c>
      <c r="D115" s="54" t="s">
        <v>877</v>
      </c>
      <c r="E115" s="56">
        <v>0</v>
      </c>
      <c r="F115" s="57" t="s">
        <v>844</v>
      </c>
      <c r="G115" s="58">
        <v>225000000</v>
      </c>
      <c r="H115" s="59">
        <v>225000000</v>
      </c>
      <c r="I115" s="59">
        <f t="shared" si="2"/>
        <v>0</v>
      </c>
    </row>
    <row r="116" spans="1:9" customFormat="1" x14ac:dyDescent="0.35">
      <c r="A116" s="63">
        <f t="shared" si="3"/>
        <v>115</v>
      </c>
      <c r="B116" s="54" t="s">
        <v>1031</v>
      </c>
      <c r="C116" s="55" t="s">
        <v>1032</v>
      </c>
      <c r="D116" s="54" t="s">
        <v>877</v>
      </c>
      <c r="E116" s="56">
        <v>0</v>
      </c>
      <c r="F116" s="57" t="s">
        <v>844</v>
      </c>
      <c r="G116" s="58">
        <v>200000000</v>
      </c>
      <c r="H116" s="59">
        <v>200000000</v>
      </c>
      <c r="I116" s="59">
        <f t="shared" si="2"/>
        <v>0</v>
      </c>
    </row>
    <row r="117" spans="1:9" customFormat="1" x14ac:dyDescent="0.35">
      <c r="A117" s="63">
        <f t="shared" si="3"/>
        <v>116</v>
      </c>
      <c r="B117" s="54" t="s">
        <v>1033</v>
      </c>
      <c r="C117" s="55" t="s">
        <v>1034</v>
      </c>
      <c r="D117" s="54" t="s">
        <v>877</v>
      </c>
      <c r="E117" s="56">
        <v>0</v>
      </c>
      <c r="F117" s="57" t="s">
        <v>792</v>
      </c>
      <c r="G117" s="58">
        <v>115</v>
      </c>
      <c r="H117" s="59">
        <v>115</v>
      </c>
      <c r="I117" s="59">
        <f t="shared" si="2"/>
        <v>0</v>
      </c>
    </row>
    <row r="118" spans="1:9" customFormat="1" x14ac:dyDescent="0.35">
      <c r="A118" s="63">
        <f t="shared" si="3"/>
        <v>117</v>
      </c>
      <c r="B118" s="54" t="s">
        <v>1035</v>
      </c>
      <c r="C118" s="55" t="s">
        <v>1036</v>
      </c>
      <c r="D118" s="54" t="s">
        <v>877</v>
      </c>
      <c r="E118" s="56">
        <v>0</v>
      </c>
      <c r="F118" s="57" t="s">
        <v>792</v>
      </c>
      <c r="G118" s="58">
        <v>175</v>
      </c>
      <c r="H118" s="59">
        <v>1045</v>
      </c>
      <c r="I118" s="59">
        <f t="shared" si="2"/>
        <v>0</v>
      </c>
    </row>
    <row r="119" spans="1:9" customFormat="1" x14ac:dyDescent="0.35">
      <c r="A119" s="63">
        <f t="shared" si="3"/>
        <v>118</v>
      </c>
      <c r="B119" s="54" t="s">
        <v>1037</v>
      </c>
      <c r="C119" s="55" t="s">
        <v>1038</v>
      </c>
      <c r="D119" s="54" t="s">
        <v>877</v>
      </c>
      <c r="E119" s="56">
        <v>0</v>
      </c>
      <c r="F119" s="57" t="s">
        <v>792</v>
      </c>
      <c r="G119" s="58">
        <v>0</v>
      </c>
      <c r="H119" s="59">
        <v>255</v>
      </c>
      <c r="I119" s="59">
        <f t="shared" si="2"/>
        <v>0</v>
      </c>
    </row>
    <row r="120" spans="1:9" customFormat="1" x14ac:dyDescent="0.35">
      <c r="A120" s="63">
        <f t="shared" si="3"/>
        <v>119</v>
      </c>
      <c r="B120" s="54" t="s">
        <v>1039</v>
      </c>
      <c r="C120" s="55" t="s">
        <v>1040</v>
      </c>
      <c r="D120" s="54" t="s">
        <v>877</v>
      </c>
      <c r="E120" s="56">
        <v>0</v>
      </c>
      <c r="F120" s="57" t="s">
        <v>792</v>
      </c>
      <c r="G120" s="58">
        <v>0</v>
      </c>
      <c r="H120" s="59">
        <v>1518750</v>
      </c>
      <c r="I120" s="59">
        <f t="shared" si="2"/>
        <v>0</v>
      </c>
    </row>
    <row r="121" spans="1:9" customFormat="1" x14ac:dyDescent="0.35">
      <c r="A121" s="63">
        <f t="shared" si="3"/>
        <v>120</v>
      </c>
      <c r="B121" s="54" t="s">
        <v>1041</v>
      </c>
      <c r="C121" s="55" t="s">
        <v>1042</v>
      </c>
      <c r="D121" s="54" t="s">
        <v>877</v>
      </c>
      <c r="E121" s="56">
        <v>0</v>
      </c>
      <c r="F121" s="57" t="s">
        <v>844</v>
      </c>
      <c r="G121" s="58">
        <v>0</v>
      </c>
      <c r="H121" s="59">
        <v>606825</v>
      </c>
      <c r="I121" s="59">
        <f t="shared" si="2"/>
        <v>0</v>
      </c>
    </row>
    <row r="122" spans="1:9" customFormat="1" x14ac:dyDescent="0.35">
      <c r="A122" s="63">
        <f t="shared" si="3"/>
        <v>121</v>
      </c>
      <c r="B122" s="54" t="s">
        <v>1043</v>
      </c>
      <c r="C122" s="55" t="s">
        <v>1044</v>
      </c>
      <c r="D122" s="54" t="s">
        <v>877</v>
      </c>
      <c r="E122" s="56">
        <v>0</v>
      </c>
      <c r="F122" s="57" t="s">
        <v>878</v>
      </c>
      <c r="G122" s="58">
        <v>0</v>
      </c>
      <c r="H122" s="59">
        <v>7560</v>
      </c>
      <c r="I122" s="59">
        <f t="shared" si="2"/>
        <v>0</v>
      </c>
    </row>
    <row r="123" spans="1:9" customFormat="1" x14ac:dyDescent="0.35">
      <c r="A123" s="63">
        <f t="shared" si="3"/>
        <v>122</v>
      </c>
      <c r="B123" s="54" t="s">
        <v>1045</v>
      </c>
      <c r="C123" s="55" t="s">
        <v>1046</v>
      </c>
      <c r="D123" s="54" t="s">
        <v>877</v>
      </c>
      <c r="E123" s="56">
        <v>0</v>
      </c>
      <c r="F123" s="57" t="s">
        <v>977</v>
      </c>
      <c r="G123" s="58">
        <v>9800</v>
      </c>
      <c r="H123" s="59">
        <v>135000</v>
      </c>
      <c r="I123" s="59">
        <f t="shared" si="2"/>
        <v>0</v>
      </c>
    </row>
    <row r="124" spans="1:9" customFormat="1" x14ac:dyDescent="0.35">
      <c r="A124" s="63">
        <f t="shared" si="3"/>
        <v>123</v>
      </c>
      <c r="B124" s="54" t="s">
        <v>1047</v>
      </c>
      <c r="C124" s="55" t="s">
        <v>1048</v>
      </c>
      <c r="D124" s="54" t="s">
        <v>877</v>
      </c>
      <c r="E124" s="56">
        <v>0</v>
      </c>
      <c r="F124" s="57" t="s">
        <v>815</v>
      </c>
      <c r="G124" s="58">
        <v>0</v>
      </c>
      <c r="H124" s="59">
        <v>494775</v>
      </c>
      <c r="I124" s="59">
        <f t="shared" si="2"/>
        <v>0</v>
      </c>
    </row>
    <row r="125" spans="1:9" customFormat="1" ht="23" x14ac:dyDescent="0.35">
      <c r="A125" s="63">
        <f t="shared" si="3"/>
        <v>124</v>
      </c>
      <c r="B125" s="54" t="s">
        <v>1049</v>
      </c>
      <c r="C125" s="55" t="s">
        <v>1050</v>
      </c>
      <c r="D125" s="54" t="s">
        <v>877</v>
      </c>
      <c r="E125" s="56">
        <v>0</v>
      </c>
      <c r="F125" s="57" t="s">
        <v>792</v>
      </c>
      <c r="G125" s="58">
        <v>0</v>
      </c>
      <c r="H125" s="59">
        <v>10500</v>
      </c>
      <c r="I125" s="59">
        <f t="shared" si="2"/>
        <v>0</v>
      </c>
    </row>
    <row r="126" spans="1:9" customFormat="1" ht="23" x14ac:dyDescent="0.35">
      <c r="A126" s="63">
        <f t="shared" si="3"/>
        <v>125</v>
      </c>
      <c r="B126" s="54" t="s">
        <v>1051</v>
      </c>
      <c r="C126" s="55" t="s">
        <v>1052</v>
      </c>
      <c r="D126" s="54" t="s">
        <v>877</v>
      </c>
      <c r="E126" s="56">
        <v>0</v>
      </c>
      <c r="F126" s="57" t="s">
        <v>792</v>
      </c>
      <c r="G126" s="58">
        <v>52800</v>
      </c>
      <c r="H126" s="59">
        <v>63250</v>
      </c>
      <c r="I126" s="59">
        <f t="shared" si="2"/>
        <v>0</v>
      </c>
    </row>
    <row r="127" spans="1:9" customFormat="1" ht="23" x14ac:dyDescent="0.35">
      <c r="A127" s="63">
        <f t="shared" si="3"/>
        <v>126</v>
      </c>
      <c r="B127" s="54" t="s">
        <v>1053</v>
      </c>
      <c r="C127" s="55" t="s">
        <v>1054</v>
      </c>
      <c r="D127" s="54" t="s">
        <v>877</v>
      </c>
      <c r="E127" s="56">
        <v>0</v>
      </c>
      <c r="F127" s="57" t="s">
        <v>792</v>
      </c>
      <c r="G127" s="58">
        <v>0</v>
      </c>
      <c r="H127" s="59">
        <v>66000</v>
      </c>
      <c r="I127" s="59">
        <f t="shared" si="2"/>
        <v>0</v>
      </c>
    </row>
    <row r="128" spans="1:9" customFormat="1" x14ac:dyDescent="0.35">
      <c r="A128" s="63">
        <f t="shared" si="3"/>
        <v>127</v>
      </c>
      <c r="B128" s="54" t="s">
        <v>1055</v>
      </c>
      <c r="C128" s="55" t="s">
        <v>1056</v>
      </c>
      <c r="D128" s="54" t="s">
        <v>877</v>
      </c>
      <c r="E128" s="56">
        <v>0</v>
      </c>
      <c r="F128" s="57" t="s">
        <v>792</v>
      </c>
      <c r="G128" s="58">
        <v>0</v>
      </c>
      <c r="H128" s="59">
        <v>18900</v>
      </c>
      <c r="I128" s="59">
        <f t="shared" si="2"/>
        <v>0</v>
      </c>
    </row>
    <row r="129" spans="1:9" customFormat="1" x14ac:dyDescent="0.35">
      <c r="A129" s="63">
        <f t="shared" si="3"/>
        <v>128</v>
      </c>
      <c r="B129" s="54" t="s">
        <v>1057</v>
      </c>
      <c r="C129" s="55" t="s">
        <v>1058</v>
      </c>
      <c r="D129" s="54" t="s">
        <v>877</v>
      </c>
      <c r="E129" s="56">
        <v>0</v>
      </c>
      <c r="F129" s="57" t="s">
        <v>792</v>
      </c>
      <c r="G129" s="58">
        <v>200</v>
      </c>
      <c r="H129" s="59">
        <v>340</v>
      </c>
      <c r="I129" s="59">
        <f t="shared" si="2"/>
        <v>0</v>
      </c>
    </row>
    <row r="130" spans="1:9" customFormat="1" x14ac:dyDescent="0.35">
      <c r="A130" s="63">
        <f t="shared" si="3"/>
        <v>129</v>
      </c>
      <c r="B130" s="54" t="s">
        <v>1059</v>
      </c>
      <c r="C130" s="55" t="s">
        <v>1060</v>
      </c>
      <c r="D130" s="54" t="s">
        <v>877</v>
      </c>
      <c r="E130" s="56">
        <v>0</v>
      </c>
      <c r="F130" s="57" t="s">
        <v>792</v>
      </c>
      <c r="G130" s="58">
        <v>100</v>
      </c>
      <c r="H130" s="59">
        <v>200</v>
      </c>
      <c r="I130" s="59">
        <f t="shared" si="2"/>
        <v>0</v>
      </c>
    </row>
    <row r="131" spans="1:9" customFormat="1" x14ac:dyDescent="0.35">
      <c r="A131" s="63">
        <f t="shared" si="3"/>
        <v>130</v>
      </c>
      <c r="B131" s="54" t="s">
        <v>1061</v>
      </c>
      <c r="C131" s="55" t="s">
        <v>1062</v>
      </c>
      <c r="D131" s="54" t="s">
        <v>877</v>
      </c>
      <c r="E131" s="56">
        <v>0</v>
      </c>
      <c r="F131" s="57" t="s">
        <v>792</v>
      </c>
      <c r="G131" s="58">
        <v>0</v>
      </c>
      <c r="H131" s="59">
        <v>81675</v>
      </c>
      <c r="I131" s="59">
        <f t="shared" ref="I131:I194" si="4">H131*E131</f>
        <v>0</v>
      </c>
    </row>
    <row r="132" spans="1:9" customFormat="1" x14ac:dyDescent="0.35">
      <c r="A132" s="63">
        <f t="shared" ref="A132:A195" si="5">A131+1</f>
        <v>131</v>
      </c>
      <c r="B132" s="54" t="s">
        <v>1063</v>
      </c>
      <c r="C132" s="55" t="s">
        <v>1064</v>
      </c>
      <c r="D132" s="54" t="s">
        <v>877</v>
      </c>
      <c r="E132" s="56">
        <v>0</v>
      </c>
      <c r="F132" s="57" t="s">
        <v>1065</v>
      </c>
      <c r="G132" s="58">
        <v>0</v>
      </c>
      <c r="H132" s="59">
        <v>850000</v>
      </c>
      <c r="I132" s="59">
        <f t="shared" si="4"/>
        <v>0</v>
      </c>
    </row>
    <row r="133" spans="1:9" customFormat="1" x14ac:dyDescent="0.35">
      <c r="A133" s="63">
        <f t="shared" si="5"/>
        <v>132</v>
      </c>
      <c r="B133" s="54" t="s">
        <v>1066</v>
      </c>
      <c r="C133" s="55" t="s">
        <v>1067</v>
      </c>
      <c r="D133" s="54" t="s">
        <v>877</v>
      </c>
      <c r="E133" s="56">
        <v>0</v>
      </c>
      <c r="F133" s="57" t="s">
        <v>792</v>
      </c>
      <c r="G133" s="58">
        <v>1200</v>
      </c>
      <c r="H133" s="59">
        <v>1887</v>
      </c>
      <c r="I133" s="59">
        <f t="shared" si="4"/>
        <v>0</v>
      </c>
    </row>
    <row r="134" spans="1:9" customFormat="1" x14ac:dyDescent="0.35">
      <c r="A134" s="63">
        <f t="shared" si="5"/>
        <v>133</v>
      </c>
      <c r="B134" s="54" t="s">
        <v>1068</v>
      </c>
      <c r="C134" s="55" t="s">
        <v>1069</v>
      </c>
      <c r="D134" s="54" t="s">
        <v>877</v>
      </c>
      <c r="E134" s="56">
        <v>0</v>
      </c>
      <c r="F134" s="57" t="s">
        <v>792</v>
      </c>
      <c r="G134" s="58">
        <v>0</v>
      </c>
      <c r="H134" s="59">
        <v>48600</v>
      </c>
      <c r="I134" s="59">
        <f t="shared" si="4"/>
        <v>0</v>
      </c>
    </row>
    <row r="135" spans="1:9" customFormat="1" x14ac:dyDescent="0.35">
      <c r="A135" s="63">
        <f t="shared" si="5"/>
        <v>134</v>
      </c>
      <c r="B135" s="54" t="s">
        <v>1070</v>
      </c>
      <c r="C135" s="55" t="s">
        <v>1071</v>
      </c>
      <c r="D135" s="54" t="s">
        <v>877</v>
      </c>
      <c r="E135" s="56">
        <v>0</v>
      </c>
      <c r="F135" s="57" t="s">
        <v>792</v>
      </c>
      <c r="G135" s="58">
        <v>30000</v>
      </c>
      <c r="H135" s="59">
        <v>46920</v>
      </c>
      <c r="I135" s="59">
        <f t="shared" si="4"/>
        <v>0</v>
      </c>
    </row>
    <row r="136" spans="1:9" customFormat="1" x14ac:dyDescent="0.35">
      <c r="A136" s="63">
        <f t="shared" si="5"/>
        <v>135</v>
      </c>
      <c r="B136" s="54" t="s">
        <v>1072</v>
      </c>
      <c r="C136" s="55" t="s">
        <v>1073</v>
      </c>
      <c r="D136" s="54" t="s">
        <v>877</v>
      </c>
      <c r="E136" s="56">
        <v>0</v>
      </c>
      <c r="F136" s="57" t="s">
        <v>792</v>
      </c>
      <c r="G136" s="58">
        <v>0</v>
      </c>
      <c r="H136" s="59">
        <v>41850</v>
      </c>
      <c r="I136" s="59">
        <f t="shared" si="4"/>
        <v>0</v>
      </c>
    </row>
    <row r="137" spans="1:9" customFormat="1" x14ac:dyDescent="0.35">
      <c r="A137" s="63">
        <f t="shared" si="5"/>
        <v>136</v>
      </c>
      <c r="B137" s="54" t="s">
        <v>1074</v>
      </c>
      <c r="C137" s="55" t="s">
        <v>1075</v>
      </c>
      <c r="D137" s="54" t="s">
        <v>877</v>
      </c>
      <c r="E137" s="56">
        <v>0</v>
      </c>
      <c r="F137" s="57" t="s">
        <v>844</v>
      </c>
      <c r="G137" s="58">
        <v>0</v>
      </c>
      <c r="H137" s="59">
        <v>583200</v>
      </c>
      <c r="I137" s="59">
        <f t="shared" si="4"/>
        <v>0</v>
      </c>
    </row>
    <row r="138" spans="1:9" customFormat="1" x14ac:dyDescent="0.35">
      <c r="A138" s="63">
        <f t="shared" si="5"/>
        <v>137</v>
      </c>
      <c r="B138" s="54" t="s">
        <v>1076</v>
      </c>
      <c r="C138" s="55" t="s">
        <v>1077</v>
      </c>
      <c r="D138" s="54" t="s">
        <v>877</v>
      </c>
      <c r="E138" s="56">
        <v>0</v>
      </c>
      <c r="F138" s="57" t="s">
        <v>792</v>
      </c>
      <c r="G138" s="58">
        <v>5000</v>
      </c>
      <c r="H138" s="59">
        <v>7820</v>
      </c>
      <c r="I138" s="59">
        <f t="shared" si="4"/>
        <v>0</v>
      </c>
    </row>
    <row r="139" spans="1:9" customFormat="1" x14ac:dyDescent="0.35">
      <c r="A139" s="63">
        <f t="shared" si="5"/>
        <v>138</v>
      </c>
      <c r="B139" s="54" t="s">
        <v>1078</v>
      </c>
      <c r="C139" s="55" t="s">
        <v>1079</v>
      </c>
      <c r="D139" s="54" t="s">
        <v>877</v>
      </c>
      <c r="E139" s="92">
        <v>1094</v>
      </c>
      <c r="F139" s="57" t="s">
        <v>792</v>
      </c>
      <c r="G139" s="58">
        <v>4250</v>
      </c>
      <c r="H139" s="59">
        <v>6790</v>
      </c>
      <c r="I139" s="59">
        <f t="shared" si="4"/>
        <v>7428260</v>
      </c>
    </row>
    <row r="140" spans="1:9" customFormat="1" x14ac:dyDescent="0.35">
      <c r="A140" s="63">
        <f t="shared" si="5"/>
        <v>139</v>
      </c>
      <c r="B140" s="54" t="s">
        <v>1080</v>
      </c>
      <c r="C140" s="55" t="s">
        <v>1081</v>
      </c>
      <c r="D140" s="54" t="s">
        <v>877</v>
      </c>
      <c r="E140" s="92">
        <v>4</v>
      </c>
      <c r="F140" s="57" t="s">
        <v>1065</v>
      </c>
      <c r="G140" s="58">
        <v>150000</v>
      </c>
      <c r="H140" s="59">
        <v>255000</v>
      </c>
      <c r="I140" s="59">
        <f t="shared" si="4"/>
        <v>1020000</v>
      </c>
    </row>
    <row r="141" spans="1:9" customFormat="1" x14ac:dyDescent="0.35">
      <c r="A141" s="63">
        <f t="shared" si="5"/>
        <v>140</v>
      </c>
      <c r="B141" s="54" t="s">
        <v>1082</v>
      </c>
      <c r="C141" s="55" t="s">
        <v>1083</v>
      </c>
      <c r="D141" s="54" t="s">
        <v>877</v>
      </c>
      <c r="E141" s="92">
        <v>248485</v>
      </c>
      <c r="F141" s="57" t="s">
        <v>792</v>
      </c>
      <c r="G141" s="58">
        <v>215</v>
      </c>
      <c r="H141" s="59">
        <v>255</v>
      </c>
      <c r="I141" s="59">
        <f t="shared" si="4"/>
        <v>63363675</v>
      </c>
    </row>
    <row r="142" spans="1:9" customFormat="1" x14ac:dyDescent="0.35">
      <c r="A142" s="63">
        <f t="shared" si="5"/>
        <v>141</v>
      </c>
      <c r="B142" s="54" t="s">
        <v>1084</v>
      </c>
      <c r="C142" s="55" t="s">
        <v>1085</v>
      </c>
      <c r="D142" s="54" t="s">
        <v>1086</v>
      </c>
      <c r="E142" s="56">
        <v>0</v>
      </c>
      <c r="F142" s="57" t="s">
        <v>1087</v>
      </c>
      <c r="G142" s="58">
        <v>80000</v>
      </c>
      <c r="H142" s="59">
        <v>104000</v>
      </c>
      <c r="I142" s="59">
        <f t="shared" si="4"/>
        <v>0</v>
      </c>
    </row>
    <row r="143" spans="1:9" customFormat="1" x14ac:dyDescent="0.35">
      <c r="A143" s="63">
        <f t="shared" si="5"/>
        <v>142</v>
      </c>
      <c r="B143" s="54" t="s">
        <v>1088</v>
      </c>
      <c r="C143" s="55" t="s">
        <v>1089</v>
      </c>
      <c r="D143" s="54" t="s">
        <v>1086</v>
      </c>
      <c r="E143" s="56">
        <v>0</v>
      </c>
      <c r="F143" s="57" t="s">
        <v>1087</v>
      </c>
      <c r="G143" s="58">
        <v>53000</v>
      </c>
      <c r="H143" s="59">
        <v>68900</v>
      </c>
      <c r="I143" s="59">
        <f t="shared" si="4"/>
        <v>0</v>
      </c>
    </row>
    <row r="144" spans="1:9" customFormat="1" x14ac:dyDescent="0.35">
      <c r="A144" s="63">
        <f t="shared" si="5"/>
        <v>143</v>
      </c>
      <c r="B144" s="54" t="s">
        <v>1090</v>
      </c>
      <c r="C144" s="55" t="s">
        <v>1091</v>
      </c>
      <c r="D144" s="54" t="s">
        <v>1086</v>
      </c>
      <c r="E144" s="56">
        <v>0</v>
      </c>
      <c r="F144" s="57" t="s">
        <v>1087</v>
      </c>
      <c r="G144" s="58">
        <v>158000</v>
      </c>
      <c r="H144" s="59">
        <v>205400</v>
      </c>
      <c r="I144" s="59">
        <f t="shared" si="4"/>
        <v>0</v>
      </c>
    </row>
    <row r="145" spans="1:9" customFormat="1" x14ac:dyDescent="0.35">
      <c r="A145" s="63">
        <f t="shared" si="5"/>
        <v>144</v>
      </c>
      <c r="B145" s="54" t="s">
        <v>1092</v>
      </c>
      <c r="C145" s="55" t="s">
        <v>1093</v>
      </c>
      <c r="D145" s="54" t="s">
        <v>1086</v>
      </c>
      <c r="E145" s="56">
        <v>0</v>
      </c>
      <c r="F145" s="57" t="s">
        <v>1087</v>
      </c>
      <c r="G145" s="58">
        <v>150000</v>
      </c>
      <c r="H145" s="59">
        <v>195000</v>
      </c>
      <c r="I145" s="59">
        <f t="shared" si="4"/>
        <v>0</v>
      </c>
    </row>
    <row r="146" spans="1:9" customFormat="1" x14ac:dyDescent="0.35">
      <c r="A146" s="63">
        <f t="shared" si="5"/>
        <v>145</v>
      </c>
      <c r="B146" s="54" t="s">
        <v>1094</v>
      </c>
      <c r="C146" s="55" t="s">
        <v>1095</v>
      </c>
      <c r="D146" s="54" t="s">
        <v>1086</v>
      </c>
      <c r="E146" s="56">
        <v>0</v>
      </c>
      <c r="F146" s="57" t="s">
        <v>844</v>
      </c>
      <c r="G146" s="58">
        <v>14140000</v>
      </c>
      <c r="H146" s="59">
        <v>19700000</v>
      </c>
      <c r="I146" s="59">
        <f t="shared" si="4"/>
        <v>0</v>
      </c>
    </row>
    <row r="147" spans="1:9" customFormat="1" x14ac:dyDescent="0.35">
      <c r="A147" s="63">
        <f t="shared" si="5"/>
        <v>146</v>
      </c>
      <c r="B147" s="54" t="s">
        <v>1096</v>
      </c>
      <c r="C147" s="55" t="s">
        <v>1097</v>
      </c>
      <c r="D147" s="54" t="s">
        <v>1086</v>
      </c>
      <c r="E147" s="56">
        <v>0</v>
      </c>
      <c r="F147" s="57" t="s">
        <v>792</v>
      </c>
      <c r="G147" s="58">
        <v>38000</v>
      </c>
      <c r="H147" s="59">
        <v>51300</v>
      </c>
      <c r="I147" s="59">
        <f t="shared" si="4"/>
        <v>0</v>
      </c>
    </row>
    <row r="148" spans="1:9" customFormat="1" x14ac:dyDescent="0.35">
      <c r="A148" s="63">
        <f t="shared" si="5"/>
        <v>147</v>
      </c>
      <c r="B148" s="54" t="s">
        <v>1098</v>
      </c>
      <c r="C148" s="55" t="s">
        <v>1099</v>
      </c>
      <c r="D148" s="54" t="s">
        <v>1086</v>
      </c>
      <c r="E148" s="56">
        <v>0</v>
      </c>
      <c r="F148" s="57" t="s">
        <v>792</v>
      </c>
      <c r="G148" s="58">
        <v>32000</v>
      </c>
      <c r="H148" s="59">
        <v>43200</v>
      </c>
      <c r="I148" s="59">
        <f t="shared" si="4"/>
        <v>0</v>
      </c>
    </row>
    <row r="149" spans="1:9" customFormat="1" x14ac:dyDescent="0.35">
      <c r="A149" s="63">
        <f t="shared" si="5"/>
        <v>148</v>
      </c>
      <c r="B149" s="54" t="s">
        <v>1100</v>
      </c>
      <c r="C149" s="55" t="s">
        <v>1101</v>
      </c>
      <c r="D149" s="54" t="s">
        <v>1086</v>
      </c>
      <c r="E149" s="56">
        <v>0</v>
      </c>
      <c r="F149" s="57" t="s">
        <v>792</v>
      </c>
      <c r="G149" s="58">
        <v>10000</v>
      </c>
      <c r="H149" s="59">
        <v>10000</v>
      </c>
      <c r="I149" s="59">
        <f t="shared" si="4"/>
        <v>0</v>
      </c>
    </row>
    <row r="150" spans="1:9" customFormat="1" x14ac:dyDescent="0.35">
      <c r="A150" s="63">
        <f t="shared" si="5"/>
        <v>149</v>
      </c>
      <c r="B150" s="54" t="s">
        <v>1102</v>
      </c>
      <c r="C150" s="55" t="s">
        <v>1103</v>
      </c>
      <c r="D150" s="54" t="s">
        <v>1086</v>
      </c>
      <c r="E150" s="56">
        <v>0</v>
      </c>
      <c r="F150" s="57" t="s">
        <v>974</v>
      </c>
      <c r="G150" s="58">
        <v>44550</v>
      </c>
      <c r="H150" s="59">
        <v>44550</v>
      </c>
      <c r="I150" s="59">
        <f t="shared" si="4"/>
        <v>0</v>
      </c>
    </row>
    <row r="151" spans="1:9" customFormat="1" x14ac:dyDescent="0.35">
      <c r="A151" s="63">
        <f t="shared" si="5"/>
        <v>150</v>
      </c>
      <c r="B151" s="54" t="s">
        <v>1104</v>
      </c>
      <c r="C151" s="55" t="s">
        <v>1105</v>
      </c>
      <c r="D151" s="54" t="s">
        <v>1086</v>
      </c>
      <c r="E151" s="56">
        <v>0</v>
      </c>
      <c r="F151" s="57" t="s">
        <v>974</v>
      </c>
      <c r="G151" s="58">
        <v>0</v>
      </c>
      <c r="H151" s="59">
        <v>37070</v>
      </c>
      <c r="I151" s="59">
        <f t="shared" si="4"/>
        <v>0</v>
      </c>
    </row>
    <row r="152" spans="1:9" customFormat="1" x14ac:dyDescent="0.35">
      <c r="A152" s="63">
        <f t="shared" si="5"/>
        <v>151</v>
      </c>
      <c r="B152" s="54" t="s">
        <v>1106</v>
      </c>
      <c r="C152" s="55" t="s">
        <v>1107</v>
      </c>
      <c r="D152" s="54" t="s">
        <v>1086</v>
      </c>
      <c r="E152" s="56">
        <v>0</v>
      </c>
      <c r="F152" s="57" t="s">
        <v>974</v>
      </c>
      <c r="G152" s="58">
        <v>30000</v>
      </c>
      <c r="H152" s="59">
        <v>30000</v>
      </c>
      <c r="I152" s="59">
        <f t="shared" si="4"/>
        <v>0</v>
      </c>
    </row>
    <row r="153" spans="1:9" customFormat="1" x14ac:dyDescent="0.35">
      <c r="A153" s="63">
        <f t="shared" si="5"/>
        <v>152</v>
      </c>
      <c r="B153" s="54" t="s">
        <v>1108</v>
      </c>
      <c r="C153" s="55" t="s">
        <v>1109</v>
      </c>
      <c r="D153" s="54" t="s">
        <v>1086</v>
      </c>
      <c r="E153" s="56">
        <v>0</v>
      </c>
      <c r="F153" s="57" t="s">
        <v>974</v>
      </c>
      <c r="G153" s="58">
        <v>0</v>
      </c>
      <c r="H153" s="59">
        <v>45900</v>
      </c>
      <c r="I153" s="59">
        <f t="shared" si="4"/>
        <v>0</v>
      </c>
    </row>
    <row r="154" spans="1:9" customFormat="1" x14ac:dyDescent="0.35">
      <c r="A154" s="63">
        <f t="shared" si="5"/>
        <v>153</v>
      </c>
      <c r="B154" s="54" t="s">
        <v>1110</v>
      </c>
      <c r="C154" s="55" t="s">
        <v>1111</v>
      </c>
      <c r="D154" s="54" t="s">
        <v>1086</v>
      </c>
      <c r="E154" s="56">
        <v>0</v>
      </c>
      <c r="F154" s="57" t="s">
        <v>974</v>
      </c>
      <c r="G154" s="58">
        <v>0</v>
      </c>
      <c r="H154" s="59">
        <v>37050</v>
      </c>
      <c r="I154" s="59">
        <f t="shared" si="4"/>
        <v>0</v>
      </c>
    </row>
    <row r="155" spans="1:9" customFormat="1" x14ac:dyDescent="0.35">
      <c r="A155" s="63">
        <f t="shared" si="5"/>
        <v>154</v>
      </c>
      <c r="B155" s="54" t="s">
        <v>1112</v>
      </c>
      <c r="C155" s="55" t="s">
        <v>1113</v>
      </c>
      <c r="D155" s="54" t="s">
        <v>1086</v>
      </c>
      <c r="E155" s="56">
        <v>0</v>
      </c>
      <c r="F155" s="57" t="s">
        <v>974</v>
      </c>
      <c r="G155" s="58">
        <v>0</v>
      </c>
      <c r="H155" s="59">
        <v>44550</v>
      </c>
      <c r="I155" s="59">
        <f t="shared" si="4"/>
        <v>0</v>
      </c>
    </row>
    <row r="156" spans="1:9" customFormat="1" x14ac:dyDescent="0.35">
      <c r="A156" s="63">
        <f t="shared" si="5"/>
        <v>155</v>
      </c>
      <c r="B156" s="54" t="s">
        <v>1114</v>
      </c>
      <c r="C156" s="55" t="s">
        <v>1115</v>
      </c>
      <c r="D156" s="54" t="s">
        <v>1086</v>
      </c>
      <c r="E156" s="56">
        <v>0</v>
      </c>
      <c r="F156" s="57" t="s">
        <v>974</v>
      </c>
      <c r="G156" s="58">
        <v>0</v>
      </c>
      <c r="H156" s="59">
        <v>44550</v>
      </c>
      <c r="I156" s="59">
        <f t="shared" si="4"/>
        <v>0</v>
      </c>
    </row>
    <row r="157" spans="1:9" customFormat="1" x14ac:dyDescent="0.35">
      <c r="A157" s="63">
        <f t="shared" si="5"/>
        <v>156</v>
      </c>
      <c r="B157" s="54" t="s">
        <v>1116</v>
      </c>
      <c r="C157" s="55" t="s">
        <v>1117</v>
      </c>
      <c r="D157" s="54" t="s">
        <v>1086</v>
      </c>
      <c r="E157" s="56">
        <v>0</v>
      </c>
      <c r="F157" s="57" t="s">
        <v>974</v>
      </c>
      <c r="G157" s="58">
        <v>0</v>
      </c>
      <c r="H157" s="59">
        <v>44550</v>
      </c>
      <c r="I157" s="59">
        <f t="shared" si="4"/>
        <v>0</v>
      </c>
    </row>
    <row r="158" spans="1:9" customFormat="1" x14ac:dyDescent="0.35">
      <c r="A158" s="63">
        <f t="shared" si="5"/>
        <v>157</v>
      </c>
      <c r="B158" s="54" t="s">
        <v>1118</v>
      </c>
      <c r="C158" s="55" t="s">
        <v>1119</v>
      </c>
      <c r="D158" s="54" t="s">
        <v>1086</v>
      </c>
      <c r="E158" s="56">
        <v>0</v>
      </c>
      <c r="F158" s="57" t="s">
        <v>974</v>
      </c>
      <c r="G158" s="58">
        <v>0</v>
      </c>
      <c r="H158" s="59">
        <v>60750</v>
      </c>
      <c r="I158" s="59">
        <f t="shared" si="4"/>
        <v>0</v>
      </c>
    </row>
    <row r="159" spans="1:9" customFormat="1" x14ac:dyDescent="0.35">
      <c r="A159" s="63">
        <f t="shared" si="5"/>
        <v>158</v>
      </c>
      <c r="B159" s="54" t="s">
        <v>1120</v>
      </c>
      <c r="C159" s="55" t="s">
        <v>1121</v>
      </c>
      <c r="D159" s="54" t="s">
        <v>1086</v>
      </c>
      <c r="E159" s="56">
        <v>0</v>
      </c>
      <c r="F159" s="57" t="s">
        <v>792</v>
      </c>
      <c r="G159" s="58">
        <v>36990</v>
      </c>
      <c r="H159" s="59">
        <v>52000</v>
      </c>
      <c r="I159" s="59">
        <f t="shared" si="4"/>
        <v>0</v>
      </c>
    </row>
    <row r="160" spans="1:9" customFormat="1" x14ac:dyDescent="0.35">
      <c r="A160" s="63">
        <f t="shared" si="5"/>
        <v>159</v>
      </c>
      <c r="B160" s="54" t="s">
        <v>1122</v>
      </c>
      <c r="C160" s="55" t="s">
        <v>1123</v>
      </c>
      <c r="D160" s="54" t="s">
        <v>1086</v>
      </c>
      <c r="E160" s="56">
        <v>0</v>
      </c>
      <c r="F160" s="57" t="s">
        <v>792</v>
      </c>
      <c r="G160" s="58">
        <v>53550</v>
      </c>
      <c r="H160" s="59">
        <v>52000</v>
      </c>
      <c r="I160" s="59">
        <f t="shared" si="4"/>
        <v>0</v>
      </c>
    </row>
    <row r="161" spans="1:9" customFormat="1" x14ac:dyDescent="0.35">
      <c r="A161" s="63">
        <f t="shared" si="5"/>
        <v>160</v>
      </c>
      <c r="B161" s="54" t="s">
        <v>1124</v>
      </c>
      <c r="C161" s="55" t="s">
        <v>1125</v>
      </c>
      <c r="D161" s="54" t="s">
        <v>1086</v>
      </c>
      <c r="E161" s="56">
        <v>0</v>
      </c>
      <c r="F161" s="57" t="s">
        <v>974</v>
      </c>
      <c r="G161" s="58">
        <v>41440</v>
      </c>
      <c r="H161" s="59">
        <v>41440</v>
      </c>
      <c r="I161" s="59">
        <f t="shared" si="4"/>
        <v>0</v>
      </c>
    </row>
    <row r="162" spans="1:9" customFormat="1" x14ac:dyDescent="0.35">
      <c r="A162" s="63">
        <f t="shared" si="5"/>
        <v>161</v>
      </c>
      <c r="B162" s="54" t="s">
        <v>1126</v>
      </c>
      <c r="C162" s="55" t="s">
        <v>1127</v>
      </c>
      <c r="D162" s="54" t="s">
        <v>1086</v>
      </c>
      <c r="E162" s="56">
        <v>0</v>
      </c>
      <c r="F162" s="57" t="s">
        <v>974</v>
      </c>
      <c r="G162" s="58">
        <v>0</v>
      </c>
      <c r="H162" s="59">
        <v>60750</v>
      </c>
      <c r="I162" s="59">
        <f t="shared" si="4"/>
        <v>0</v>
      </c>
    </row>
    <row r="163" spans="1:9" customFormat="1" x14ac:dyDescent="0.35">
      <c r="A163" s="63">
        <f t="shared" si="5"/>
        <v>162</v>
      </c>
      <c r="B163" s="54" t="s">
        <v>1128</v>
      </c>
      <c r="C163" s="55" t="s">
        <v>1129</v>
      </c>
      <c r="D163" s="54" t="s">
        <v>1086</v>
      </c>
      <c r="E163" s="56">
        <v>0</v>
      </c>
      <c r="F163" s="57" t="s">
        <v>974</v>
      </c>
      <c r="G163" s="58">
        <v>50417.5</v>
      </c>
      <c r="H163" s="59">
        <v>52000</v>
      </c>
      <c r="I163" s="59">
        <f t="shared" si="4"/>
        <v>0</v>
      </c>
    </row>
    <row r="164" spans="1:9" customFormat="1" ht="23" x14ac:dyDescent="0.35">
      <c r="A164" s="63">
        <f t="shared" si="5"/>
        <v>163</v>
      </c>
      <c r="B164" s="54" t="s">
        <v>1130</v>
      </c>
      <c r="C164" s="55" t="s">
        <v>1131</v>
      </c>
      <c r="D164" s="54" t="s">
        <v>1086</v>
      </c>
      <c r="E164" s="56">
        <v>0</v>
      </c>
      <c r="F164" s="57" t="s">
        <v>974</v>
      </c>
      <c r="G164" s="58">
        <v>0</v>
      </c>
      <c r="H164" s="59">
        <v>60750</v>
      </c>
      <c r="I164" s="59">
        <f t="shared" si="4"/>
        <v>0</v>
      </c>
    </row>
    <row r="165" spans="1:9" customFormat="1" x14ac:dyDescent="0.35">
      <c r="A165" s="63">
        <f t="shared" si="5"/>
        <v>164</v>
      </c>
      <c r="B165" s="54" t="s">
        <v>1132</v>
      </c>
      <c r="C165" s="55" t="s">
        <v>1133</v>
      </c>
      <c r="D165" s="54" t="s">
        <v>1086</v>
      </c>
      <c r="E165" s="56">
        <v>0</v>
      </c>
      <c r="F165" s="57" t="s">
        <v>974</v>
      </c>
      <c r="G165" s="58">
        <v>43000</v>
      </c>
      <c r="H165" s="59">
        <v>43000</v>
      </c>
      <c r="I165" s="59">
        <f t="shared" si="4"/>
        <v>0</v>
      </c>
    </row>
    <row r="166" spans="1:9" customFormat="1" x14ac:dyDescent="0.35">
      <c r="A166" s="63">
        <f t="shared" si="5"/>
        <v>165</v>
      </c>
      <c r="B166" s="54" t="s">
        <v>1134</v>
      </c>
      <c r="C166" s="55" t="s">
        <v>1135</v>
      </c>
      <c r="D166" s="54" t="s">
        <v>1086</v>
      </c>
      <c r="E166" s="56">
        <v>0</v>
      </c>
      <c r="F166" s="57" t="s">
        <v>815</v>
      </c>
      <c r="G166" s="58">
        <v>1050000</v>
      </c>
      <c r="H166" s="59">
        <v>1500000</v>
      </c>
      <c r="I166" s="59">
        <f t="shared" si="4"/>
        <v>0</v>
      </c>
    </row>
    <row r="167" spans="1:9" customFormat="1" x14ac:dyDescent="0.35">
      <c r="A167" s="63">
        <f t="shared" si="5"/>
        <v>166</v>
      </c>
      <c r="B167" s="54" t="s">
        <v>1136</v>
      </c>
      <c r="C167" s="55" t="s">
        <v>1137</v>
      </c>
      <c r="D167" s="54" t="s">
        <v>1086</v>
      </c>
      <c r="E167" s="56">
        <v>0</v>
      </c>
      <c r="F167" s="57" t="s">
        <v>815</v>
      </c>
      <c r="G167" s="58">
        <v>1050000</v>
      </c>
      <c r="H167" s="59">
        <v>1500000</v>
      </c>
      <c r="I167" s="59">
        <f t="shared" si="4"/>
        <v>0</v>
      </c>
    </row>
    <row r="168" spans="1:9" customFormat="1" x14ac:dyDescent="0.35">
      <c r="A168" s="63">
        <f t="shared" si="5"/>
        <v>167</v>
      </c>
      <c r="B168" s="54" t="s">
        <v>1138</v>
      </c>
      <c r="C168" s="55" t="s">
        <v>1139</v>
      </c>
      <c r="D168" s="54" t="s">
        <v>1140</v>
      </c>
      <c r="E168" s="56">
        <v>0</v>
      </c>
      <c r="F168" s="57" t="s">
        <v>1065</v>
      </c>
      <c r="G168" s="58">
        <v>151800</v>
      </c>
      <c r="H168" s="59">
        <v>198000</v>
      </c>
      <c r="I168" s="59">
        <f t="shared" si="4"/>
        <v>0</v>
      </c>
    </row>
    <row r="169" spans="1:9" customFormat="1" ht="23" x14ac:dyDescent="0.35">
      <c r="A169" s="63">
        <f t="shared" si="5"/>
        <v>168</v>
      </c>
      <c r="B169" s="54" t="s">
        <v>1141</v>
      </c>
      <c r="C169" s="55" t="s">
        <v>1142</v>
      </c>
      <c r="D169" s="54" t="s">
        <v>1140</v>
      </c>
      <c r="E169" s="56">
        <v>0</v>
      </c>
      <c r="F169" s="57" t="s">
        <v>1065</v>
      </c>
      <c r="G169" s="58">
        <v>167400</v>
      </c>
      <c r="H169" s="59">
        <v>167400</v>
      </c>
      <c r="I169" s="59">
        <f t="shared" si="4"/>
        <v>0</v>
      </c>
    </row>
    <row r="170" spans="1:9" customFormat="1" x14ac:dyDescent="0.35">
      <c r="A170" s="63">
        <f t="shared" si="5"/>
        <v>169</v>
      </c>
      <c r="B170" s="54" t="s">
        <v>1143</v>
      </c>
      <c r="C170" s="55" t="s">
        <v>1144</v>
      </c>
      <c r="D170" s="54" t="s">
        <v>1140</v>
      </c>
      <c r="E170" s="56">
        <v>0</v>
      </c>
      <c r="F170" s="57" t="s">
        <v>1065</v>
      </c>
      <c r="G170" s="58">
        <v>167400</v>
      </c>
      <c r="H170" s="59">
        <v>198000</v>
      </c>
      <c r="I170" s="59">
        <f t="shared" si="4"/>
        <v>0</v>
      </c>
    </row>
    <row r="171" spans="1:9" customFormat="1" x14ac:dyDescent="0.35">
      <c r="A171" s="63">
        <f t="shared" si="5"/>
        <v>170</v>
      </c>
      <c r="B171" s="54" t="s">
        <v>1145</v>
      </c>
      <c r="C171" s="55" t="s">
        <v>1146</v>
      </c>
      <c r="D171" s="54" t="s">
        <v>1140</v>
      </c>
      <c r="E171" s="56">
        <v>0</v>
      </c>
      <c r="F171" s="57" t="s">
        <v>1065</v>
      </c>
      <c r="G171" s="58">
        <v>132500</v>
      </c>
      <c r="H171" s="59">
        <v>148500</v>
      </c>
      <c r="I171" s="59">
        <f t="shared" si="4"/>
        <v>0</v>
      </c>
    </row>
    <row r="172" spans="1:9" customFormat="1" x14ac:dyDescent="0.35">
      <c r="A172" s="63">
        <f t="shared" si="5"/>
        <v>171</v>
      </c>
      <c r="B172" s="54" t="s">
        <v>1147</v>
      </c>
      <c r="C172" s="55" t="s">
        <v>1148</v>
      </c>
      <c r="D172" s="54" t="s">
        <v>1140</v>
      </c>
      <c r="E172" s="92">
        <v>500</v>
      </c>
      <c r="F172" s="57" t="s">
        <v>792</v>
      </c>
      <c r="G172" s="58">
        <v>20550</v>
      </c>
      <c r="H172" s="59">
        <v>20550</v>
      </c>
      <c r="I172" s="59">
        <f t="shared" si="4"/>
        <v>10275000</v>
      </c>
    </row>
    <row r="173" spans="1:9" customFormat="1" x14ac:dyDescent="0.35">
      <c r="A173" s="63">
        <f t="shared" si="5"/>
        <v>172</v>
      </c>
      <c r="B173" s="54" t="s">
        <v>1149</v>
      </c>
      <c r="C173" s="55" t="s">
        <v>1150</v>
      </c>
      <c r="D173" s="54" t="s">
        <v>1151</v>
      </c>
      <c r="E173" s="56">
        <v>0</v>
      </c>
      <c r="F173" s="57" t="s">
        <v>974</v>
      </c>
      <c r="G173" s="58">
        <v>86000</v>
      </c>
      <c r="H173" s="59">
        <v>86000</v>
      </c>
      <c r="I173" s="59">
        <f t="shared" si="4"/>
        <v>0</v>
      </c>
    </row>
    <row r="174" spans="1:9" customFormat="1" x14ac:dyDescent="0.35">
      <c r="A174" s="63">
        <f t="shared" si="5"/>
        <v>173</v>
      </c>
      <c r="B174" s="54" t="s">
        <v>1152</v>
      </c>
      <c r="C174" s="55" t="s">
        <v>1153</v>
      </c>
      <c r="D174" s="54" t="s">
        <v>1151</v>
      </c>
      <c r="E174" s="56">
        <v>0</v>
      </c>
      <c r="F174" s="57" t="s">
        <v>844</v>
      </c>
      <c r="G174" s="58">
        <v>644750</v>
      </c>
      <c r="H174" s="59">
        <v>799000</v>
      </c>
      <c r="I174" s="59">
        <f t="shared" si="4"/>
        <v>0</v>
      </c>
    </row>
    <row r="175" spans="1:9" customFormat="1" x14ac:dyDescent="0.35">
      <c r="A175" s="63">
        <f t="shared" si="5"/>
        <v>174</v>
      </c>
      <c r="B175" s="54" t="s">
        <v>1154</v>
      </c>
      <c r="C175" s="55" t="s">
        <v>1155</v>
      </c>
      <c r="D175" s="54" t="s">
        <v>1151</v>
      </c>
      <c r="E175" s="56">
        <v>0</v>
      </c>
      <c r="F175" s="57" t="s">
        <v>792</v>
      </c>
      <c r="G175" s="58">
        <v>1550</v>
      </c>
      <c r="H175" s="59">
        <v>1875</v>
      </c>
      <c r="I175" s="59">
        <f t="shared" si="4"/>
        <v>0</v>
      </c>
    </row>
    <row r="176" spans="1:9" customFormat="1" x14ac:dyDescent="0.35">
      <c r="A176" s="63">
        <f t="shared" si="5"/>
        <v>175</v>
      </c>
      <c r="B176" s="54" t="s">
        <v>1156</v>
      </c>
      <c r="C176" s="55" t="s">
        <v>1157</v>
      </c>
      <c r="D176" s="54" t="s">
        <v>1151</v>
      </c>
      <c r="E176" s="56">
        <v>0</v>
      </c>
      <c r="F176" s="57" t="s">
        <v>792</v>
      </c>
      <c r="G176" s="58">
        <v>650</v>
      </c>
      <c r="H176" s="59">
        <v>866.67</v>
      </c>
      <c r="I176" s="59">
        <f t="shared" si="4"/>
        <v>0</v>
      </c>
    </row>
    <row r="177" spans="1:9" customFormat="1" x14ac:dyDescent="0.35">
      <c r="A177" s="63">
        <f t="shared" si="5"/>
        <v>176</v>
      </c>
      <c r="B177" s="54" t="s">
        <v>1158</v>
      </c>
      <c r="C177" s="55" t="s">
        <v>1159</v>
      </c>
      <c r="D177" s="54" t="s">
        <v>1151</v>
      </c>
      <c r="E177" s="56">
        <v>0</v>
      </c>
      <c r="F177" s="57" t="s">
        <v>844</v>
      </c>
      <c r="G177" s="58">
        <v>72000</v>
      </c>
      <c r="H177" s="59">
        <v>83700</v>
      </c>
      <c r="I177" s="59">
        <f t="shared" si="4"/>
        <v>0</v>
      </c>
    </row>
    <row r="178" spans="1:9" customFormat="1" x14ac:dyDescent="0.35">
      <c r="A178" s="63">
        <f t="shared" si="5"/>
        <v>177</v>
      </c>
      <c r="B178" s="54" t="s">
        <v>1160</v>
      </c>
      <c r="C178" s="55" t="s">
        <v>1161</v>
      </c>
      <c r="D178" s="54" t="s">
        <v>1151</v>
      </c>
      <c r="E178" s="56">
        <v>0</v>
      </c>
      <c r="F178" s="57" t="s">
        <v>844</v>
      </c>
      <c r="G178" s="58">
        <v>72000</v>
      </c>
      <c r="H178" s="59">
        <v>83700</v>
      </c>
      <c r="I178" s="59">
        <f t="shared" si="4"/>
        <v>0</v>
      </c>
    </row>
    <row r="179" spans="1:9" customFormat="1" x14ac:dyDescent="0.35">
      <c r="A179" s="63">
        <f t="shared" si="5"/>
        <v>178</v>
      </c>
      <c r="B179" s="54" t="s">
        <v>1162</v>
      </c>
      <c r="C179" s="55" t="s">
        <v>1163</v>
      </c>
      <c r="D179" s="54" t="s">
        <v>1151</v>
      </c>
      <c r="E179" s="56">
        <v>0</v>
      </c>
      <c r="F179" s="57" t="s">
        <v>1087</v>
      </c>
      <c r="G179" s="58">
        <v>30000</v>
      </c>
      <c r="H179" s="59">
        <v>40500</v>
      </c>
      <c r="I179" s="59">
        <f t="shared" si="4"/>
        <v>0</v>
      </c>
    </row>
    <row r="180" spans="1:9" customFormat="1" x14ac:dyDescent="0.35">
      <c r="A180" s="63">
        <f t="shared" si="5"/>
        <v>179</v>
      </c>
      <c r="B180" s="54" t="s">
        <v>1164</v>
      </c>
      <c r="C180" s="55" t="s">
        <v>1165</v>
      </c>
      <c r="D180" s="54" t="s">
        <v>1151</v>
      </c>
      <c r="E180" s="56">
        <v>0</v>
      </c>
      <c r="F180" s="57" t="s">
        <v>1087</v>
      </c>
      <c r="G180" s="58">
        <v>6000</v>
      </c>
      <c r="H180" s="59">
        <v>16200</v>
      </c>
      <c r="I180" s="59">
        <f t="shared" si="4"/>
        <v>0</v>
      </c>
    </row>
    <row r="181" spans="1:9" customFormat="1" x14ac:dyDescent="0.35">
      <c r="A181" s="63">
        <f t="shared" si="5"/>
        <v>180</v>
      </c>
      <c r="B181" s="54" t="s">
        <v>1166</v>
      </c>
      <c r="C181" s="55" t="s">
        <v>1167</v>
      </c>
      <c r="D181" s="54" t="s">
        <v>1151</v>
      </c>
      <c r="E181" s="56">
        <v>0</v>
      </c>
      <c r="F181" s="57" t="s">
        <v>1087</v>
      </c>
      <c r="G181" s="58">
        <v>6000</v>
      </c>
      <c r="H181" s="59">
        <v>6600</v>
      </c>
      <c r="I181" s="59">
        <f t="shared" si="4"/>
        <v>0</v>
      </c>
    </row>
    <row r="182" spans="1:9" customFormat="1" x14ac:dyDescent="0.35">
      <c r="A182" s="63">
        <f t="shared" si="5"/>
        <v>181</v>
      </c>
      <c r="B182" s="54" t="s">
        <v>1168</v>
      </c>
      <c r="C182" s="55" t="s">
        <v>1169</v>
      </c>
      <c r="D182" s="54" t="s">
        <v>1151</v>
      </c>
      <c r="E182" s="56">
        <v>0</v>
      </c>
      <c r="F182" s="57" t="s">
        <v>792</v>
      </c>
      <c r="G182" s="58">
        <v>6500</v>
      </c>
      <c r="H182" s="59">
        <v>14850</v>
      </c>
      <c r="I182" s="59">
        <f t="shared" si="4"/>
        <v>0</v>
      </c>
    </row>
    <row r="183" spans="1:9" customFormat="1" x14ac:dyDescent="0.35">
      <c r="A183" s="63">
        <f t="shared" si="5"/>
        <v>182</v>
      </c>
      <c r="B183" s="54" t="s">
        <v>1170</v>
      </c>
      <c r="C183" s="55" t="s">
        <v>1171</v>
      </c>
      <c r="D183" s="54" t="s">
        <v>1151</v>
      </c>
      <c r="E183" s="56">
        <v>0</v>
      </c>
      <c r="F183" s="57" t="s">
        <v>969</v>
      </c>
      <c r="G183" s="58">
        <v>2500</v>
      </c>
      <c r="H183" s="59">
        <v>2500</v>
      </c>
      <c r="I183" s="59">
        <f t="shared" si="4"/>
        <v>0</v>
      </c>
    </row>
    <row r="184" spans="1:9" customFormat="1" x14ac:dyDescent="0.35">
      <c r="A184" s="63">
        <f t="shared" si="5"/>
        <v>183</v>
      </c>
      <c r="B184" s="54" t="s">
        <v>1172</v>
      </c>
      <c r="C184" s="55" t="s">
        <v>1173</v>
      </c>
      <c r="D184" s="54" t="s">
        <v>1151</v>
      </c>
      <c r="E184" s="56">
        <v>0</v>
      </c>
      <c r="F184" s="57" t="s">
        <v>792</v>
      </c>
      <c r="G184" s="58">
        <v>3500</v>
      </c>
      <c r="H184" s="59">
        <v>5000</v>
      </c>
      <c r="I184" s="59">
        <f t="shared" si="4"/>
        <v>0</v>
      </c>
    </row>
    <row r="185" spans="1:9" customFormat="1" x14ac:dyDescent="0.35">
      <c r="A185" s="63">
        <f t="shared" si="5"/>
        <v>184</v>
      </c>
      <c r="B185" s="54" t="s">
        <v>1174</v>
      </c>
      <c r="C185" s="55" t="s">
        <v>1175</v>
      </c>
      <c r="D185" s="54" t="s">
        <v>1151</v>
      </c>
      <c r="E185" s="56">
        <v>0</v>
      </c>
      <c r="F185" s="57" t="s">
        <v>792</v>
      </c>
      <c r="G185" s="58">
        <v>2650</v>
      </c>
      <c r="H185" s="59">
        <v>3750</v>
      </c>
      <c r="I185" s="59">
        <f t="shared" si="4"/>
        <v>0</v>
      </c>
    </row>
    <row r="186" spans="1:9" customFormat="1" x14ac:dyDescent="0.35">
      <c r="A186" s="63">
        <f t="shared" si="5"/>
        <v>185</v>
      </c>
      <c r="B186" s="54" t="s">
        <v>1176</v>
      </c>
      <c r="C186" s="55" t="s">
        <v>1177</v>
      </c>
      <c r="D186" s="54" t="s">
        <v>1151</v>
      </c>
      <c r="E186" s="56">
        <v>0</v>
      </c>
      <c r="F186" s="57" t="s">
        <v>792</v>
      </c>
      <c r="G186" s="58">
        <v>3500</v>
      </c>
      <c r="H186" s="59">
        <v>5000</v>
      </c>
      <c r="I186" s="59">
        <f t="shared" si="4"/>
        <v>0</v>
      </c>
    </row>
    <row r="187" spans="1:9" customFormat="1" x14ac:dyDescent="0.35">
      <c r="A187" s="63">
        <f t="shared" si="5"/>
        <v>186</v>
      </c>
      <c r="B187" s="54" t="s">
        <v>1178</v>
      </c>
      <c r="C187" s="55" t="s">
        <v>1179</v>
      </c>
      <c r="D187" s="54" t="s">
        <v>1151</v>
      </c>
      <c r="E187" s="56">
        <v>0</v>
      </c>
      <c r="F187" s="57" t="s">
        <v>1180</v>
      </c>
      <c r="G187" s="58">
        <v>80000</v>
      </c>
      <c r="H187" s="59">
        <v>80000</v>
      </c>
      <c r="I187" s="59">
        <f t="shared" si="4"/>
        <v>0</v>
      </c>
    </row>
    <row r="188" spans="1:9" customFormat="1" x14ac:dyDescent="0.35">
      <c r="A188" s="63">
        <f t="shared" si="5"/>
        <v>187</v>
      </c>
      <c r="B188" s="54" t="s">
        <v>1181</v>
      </c>
      <c r="C188" s="55" t="s">
        <v>1182</v>
      </c>
      <c r="D188" s="54" t="s">
        <v>1151</v>
      </c>
      <c r="E188" s="56">
        <v>0</v>
      </c>
      <c r="F188" s="57" t="s">
        <v>792</v>
      </c>
      <c r="G188" s="58">
        <v>720</v>
      </c>
      <c r="H188" s="59">
        <v>9000</v>
      </c>
      <c r="I188" s="59">
        <f t="shared" si="4"/>
        <v>0</v>
      </c>
    </row>
    <row r="189" spans="1:9" customFormat="1" ht="23" x14ac:dyDescent="0.35">
      <c r="A189" s="63">
        <f t="shared" si="5"/>
        <v>188</v>
      </c>
      <c r="B189" s="54" t="s">
        <v>1183</v>
      </c>
      <c r="C189" s="55" t="s">
        <v>1184</v>
      </c>
      <c r="D189" s="54" t="s">
        <v>1151</v>
      </c>
      <c r="E189" s="56">
        <v>0</v>
      </c>
      <c r="F189" s="57" t="s">
        <v>792</v>
      </c>
      <c r="G189" s="58">
        <v>475000</v>
      </c>
      <c r="H189" s="59">
        <v>593750</v>
      </c>
      <c r="I189" s="59">
        <f t="shared" si="4"/>
        <v>0</v>
      </c>
    </row>
    <row r="190" spans="1:9" customFormat="1" ht="23" x14ac:dyDescent="0.35">
      <c r="A190" s="63">
        <f t="shared" si="5"/>
        <v>189</v>
      </c>
      <c r="B190" s="54" t="s">
        <v>1185</v>
      </c>
      <c r="C190" s="55" t="s">
        <v>1186</v>
      </c>
      <c r="D190" s="54" t="s">
        <v>1151</v>
      </c>
      <c r="E190" s="56">
        <v>0</v>
      </c>
      <c r="F190" s="57" t="s">
        <v>792</v>
      </c>
      <c r="G190" s="58">
        <v>310000</v>
      </c>
      <c r="H190" s="59">
        <v>387000</v>
      </c>
      <c r="I190" s="59">
        <f t="shared" si="4"/>
        <v>0</v>
      </c>
    </row>
    <row r="191" spans="1:9" customFormat="1" ht="23" x14ac:dyDescent="0.35">
      <c r="A191" s="63">
        <f t="shared" si="5"/>
        <v>190</v>
      </c>
      <c r="B191" s="54" t="s">
        <v>1187</v>
      </c>
      <c r="C191" s="55" t="s">
        <v>1188</v>
      </c>
      <c r="D191" s="54" t="s">
        <v>1151</v>
      </c>
      <c r="E191" s="56">
        <v>0</v>
      </c>
      <c r="F191" s="57" t="s">
        <v>792</v>
      </c>
      <c r="G191" s="58">
        <v>395000</v>
      </c>
      <c r="H191" s="59">
        <v>493750</v>
      </c>
      <c r="I191" s="59">
        <f t="shared" si="4"/>
        <v>0</v>
      </c>
    </row>
    <row r="192" spans="1:9" customFormat="1" ht="23" x14ac:dyDescent="0.35">
      <c r="A192" s="63">
        <f t="shared" si="5"/>
        <v>191</v>
      </c>
      <c r="B192" s="54" t="s">
        <v>1189</v>
      </c>
      <c r="C192" s="55" t="s">
        <v>1190</v>
      </c>
      <c r="D192" s="54" t="s">
        <v>1151</v>
      </c>
      <c r="E192" s="56">
        <v>0</v>
      </c>
      <c r="F192" s="57" t="s">
        <v>792</v>
      </c>
      <c r="G192" s="58">
        <v>1200000</v>
      </c>
      <c r="H192" s="59">
        <v>1500000</v>
      </c>
      <c r="I192" s="59">
        <f t="shared" si="4"/>
        <v>0</v>
      </c>
    </row>
    <row r="193" spans="1:9" customFormat="1" x14ac:dyDescent="0.35">
      <c r="A193" s="63">
        <f t="shared" si="5"/>
        <v>192</v>
      </c>
      <c r="B193" s="54" t="s">
        <v>1191</v>
      </c>
      <c r="C193" s="55" t="s">
        <v>1192</v>
      </c>
      <c r="D193" s="54" t="s">
        <v>1151</v>
      </c>
      <c r="E193" s="56">
        <v>0</v>
      </c>
      <c r="F193" s="57" t="s">
        <v>792</v>
      </c>
      <c r="G193" s="58">
        <v>0</v>
      </c>
      <c r="H193" s="59">
        <v>157000</v>
      </c>
      <c r="I193" s="59">
        <f t="shared" si="4"/>
        <v>0</v>
      </c>
    </row>
    <row r="194" spans="1:9" customFormat="1" x14ac:dyDescent="0.35">
      <c r="A194" s="63">
        <f t="shared" si="5"/>
        <v>193</v>
      </c>
      <c r="B194" s="54" t="s">
        <v>1193</v>
      </c>
      <c r="C194" s="55" t="s">
        <v>1194</v>
      </c>
      <c r="D194" s="54" t="s">
        <v>1151</v>
      </c>
      <c r="E194" s="56">
        <v>0</v>
      </c>
      <c r="F194" s="57" t="s">
        <v>792</v>
      </c>
      <c r="G194" s="58">
        <v>158000</v>
      </c>
      <c r="H194" s="59">
        <v>197500</v>
      </c>
      <c r="I194" s="59">
        <f t="shared" si="4"/>
        <v>0</v>
      </c>
    </row>
    <row r="195" spans="1:9" customFormat="1" x14ac:dyDescent="0.35">
      <c r="A195" s="63">
        <f t="shared" si="5"/>
        <v>194</v>
      </c>
      <c r="B195" s="54" t="s">
        <v>1195</v>
      </c>
      <c r="C195" s="55" t="s">
        <v>1196</v>
      </c>
      <c r="D195" s="54" t="s">
        <v>1151</v>
      </c>
      <c r="E195" s="56">
        <v>0</v>
      </c>
      <c r="F195" s="57" t="s">
        <v>969</v>
      </c>
      <c r="G195" s="58">
        <v>15000</v>
      </c>
      <c r="H195" s="59">
        <v>15000</v>
      </c>
      <c r="I195" s="59">
        <f t="shared" ref="I195:I258" si="6">H195*E195</f>
        <v>0</v>
      </c>
    </row>
    <row r="196" spans="1:9" customFormat="1" x14ac:dyDescent="0.35">
      <c r="A196" s="63">
        <f t="shared" ref="A196:A259" si="7">A195+1</f>
        <v>195</v>
      </c>
      <c r="B196" s="54" t="s">
        <v>1197</v>
      </c>
      <c r="C196" s="55" t="s">
        <v>1198</v>
      </c>
      <c r="D196" s="54" t="s">
        <v>1151</v>
      </c>
      <c r="E196" s="56">
        <v>0</v>
      </c>
      <c r="F196" s="57" t="s">
        <v>792</v>
      </c>
      <c r="G196" s="58">
        <v>4850</v>
      </c>
      <c r="H196" s="59">
        <v>10000</v>
      </c>
      <c r="I196" s="59">
        <f t="shared" si="6"/>
        <v>0</v>
      </c>
    </row>
    <row r="197" spans="1:9" customFormat="1" x14ac:dyDescent="0.35">
      <c r="A197" s="63">
        <f t="shared" si="7"/>
        <v>196</v>
      </c>
      <c r="B197" s="54" t="s">
        <v>1199</v>
      </c>
      <c r="C197" s="55" t="s">
        <v>1200</v>
      </c>
      <c r="D197" s="54" t="s">
        <v>1151</v>
      </c>
      <c r="E197" s="56">
        <v>0</v>
      </c>
      <c r="F197" s="57" t="s">
        <v>792</v>
      </c>
      <c r="G197" s="58">
        <v>1700000</v>
      </c>
      <c r="H197" s="59">
        <v>2362500</v>
      </c>
      <c r="I197" s="59">
        <f t="shared" si="6"/>
        <v>0</v>
      </c>
    </row>
    <row r="198" spans="1:9" customFormat="1" x14ac:dyDescent="0.35">
      <c r="A198" s="63">
        <f t="shared" si="7"/>
        <v>197</v>
      </c>
      <c r="B198" s="54" t="s">
        <v>1201</v>
      </c>
      <c r="C198" s="55" t="s">
        <v>1202</v>
      </c>
      <c r="D198" s="54" t="s">
        <v>1151</v>
      </c>
      <c r="E198" s="56">
        <v>0</v>
      </c>
      <c r="F198" s="57" t="s">
        <v>792</v>
      </c>
      <c r="G198" s="58">
        <v>2400</v>
      </c>
      <c r="H198" s="59">
        <v>4650</v>
      </c>
      <c r="I198" s="59">
        <f t="shared" si="6"/>
        <v>0</v>
      </c>
    </row>
    <row r="199" spans="1:9" customFormat="1" x14ac:dyDescent="0.35">
      <c r="A199" s="63">
        <f t="shared" si="7"/>
        <v>198</v>
      </c>
      <c r="B199" s="54" t="s">
        <v>1203</v>
      </c>
      <c r="C199" s="55" t="s">
        <v>1204</v>
      </c>
      <c r="D199" s="54" t="s">
        <v>1151</v>
      </c>
      <c r="E199" s="56">
        <v>0</v>
      </c>
      <c r="F199" s="57" t="s">
        <v>792</v>
      </c>
      <c r="G199" s="58">
        <v>2400</v>
      </c>
      <c r="H199" s="59">
        <v>4650</v>
      </c>
      <c r="I199" s="59">
        <f t="shared" si="6"/>
        <v>0</v>
      </c>
    </row>
    <row r="200" spans="1:9" customFormat="1" x14ac:dyDescent="0.35">
      <c r="A200" s="63">
        <f t="shared" si="7"/>
        <v>199</v>
      </c>
      <c r="B200" s="54" t="s">
        <v>1205</v>
      </c>
      <c r="C200" s="55" t="s">
        <v>1206</v>
      </c>
      <c r="D200" s="54" t="s">
        <v>1151</v>
      </c>
      <c r="E200" s="56">
        <v>0</v>
      </c>
      <c r="F200" s="57" t="s">
        <v>792</v>
      </c>
      <c r="G200" s="58">
        <v>25000</v>
      </c>
      <c r="H200" s="59">
        <v>27000</v>
      </c>
      <c r="I200" s="59">
        <f t="shared" si="6"/>
        <v>0</v>
      </c>
    </row>
    <row r="201" spans="1:9" customFormat="1" x14ac:dyDescent="0.35">
      <c r="A201" s="63">
        <f t="shared" si="7"/>
        <v>200</v>
      </c>
      <c r="B201" s="54" t="s">
        <v>1207</v>
      </c>
      <c r="C201" s="55" t="s">
        <v>1208</v>
      </c>
      <c r="D201" s="54" t="s">
        <v>1151</v>
      </c>
      <c r="E201" s="56">
        <v>0</v>
      </c>
      <c r="F201" s="57" t="s">
        <v>792</v>
      </c>
      <c r="G201" s="58">
        <v>600000</v>
      </c>
      <c r="H201" s="59">
        <v>810000</v>
      </c>
      <c r="I201" s="59">
        <f t="shared" si="6"/>
        <v>0</v>
      </c>
    </row>
    <row r="202" spans="1:9" customFormat="1" ht="23" x14ac:dyDescent="0.35">
      <c r="A202" s="63">
        <f t="shared" si="7"/>
        <v>201</v>
      </c>
      <c r="B202" s="54" t="s">
        <v>1209</v>
      </c>
      <c r="C202" s="55" t="s">
        <v>1210</v>
      </c>
      <c r="D202" s="54" t="s">
        <v>1151</v>
      </c>
      <c r="E202" s="56">
        <v>0</v>
      </c>
      <c r="F202" s="57" t="s">
        <v>792</v>
      </c>
      <c r="G202" s="58">
        <v>545700</v>
      </c>
      <c r="H202" s="59">
        <v>677000</v>
      </c>
      <c r="I202" s="59">
        <f t="shared" si="6"/>
        <v>0</v>
      </c>
    </row>
    <row r="203" spans="1:9" customFormat="1" x14ac:dyDescent="0.35">
      <c r="A203" s="63">
        <f t="shared" si="7"/>
        <v>202</v>
      </c>
      <c r="B203" s="54" t="s">
        <v>1211</v>
      </c>
      <c r="C203" s="55" t="s">
        <v>1212</v>
      </c>
      <c r="D203" s="54" t="s">
        <v>1151</v>
      </c>
      <c r="E203" s="56">
        <v>0</v>
      </c>
      <c r="F203" s="57" t="s">
        <v>792</v>
      </c>
      <c r="G203" s="58">
        <v>26000</v>
      </c>
      <c r="H203" s="59">
        <v>33000</v>
      </c>
      <c r="I203" s="59">
        <f t="shared" si="6"/>
        <v>0</v>
      </c>
    </row>
    <row r="204" spans="1:9" customFormat="1" x14ac:dyDescent="0.35">
      <c r="A204" s="63">
        <f t="shared" si="7"/>
        <v>203</v>
      </c>
      <c r="B204" s="54" t="s">
        <v>1213</v>
      </c>
      <c r="C204" s="55" t="s">
        <v>1214</v>
      </c>
      <c r="D204" s="54" t="s">
        <v>1151</v>
      </c>
      <c r="E204" s="56">
        <v>0</v>
      </c>
      <c r="F204" s="57" t="s">
        <v>1010</v>
      </c>
      <c r="G204" s="58">
        <v>7000</v>
      </c>
      <c r="H204" s="59">
        <v>7000</v>
      </c>
      <c r="I204" s="59">
        <f t="shared" si="6"/>
        <v>0</v>
      </c>
    </row>
    <row r="205" spans="1:9" customFormat="1" x14ac:dyDescent="0.35">
      <c r="A205" s="63">
        <f t="shared" si="7"/>
        <v>204</v>
      </c>
      <c r="B205" s="54" t="s">
        <v>1215</v>
      </c>
      <c r="C205" s="55" t="s">
        <v>1216</v>
      </c>
      <c r="D205" s="54" t="s">
        <v>1151</v>
      </c>
      <c r="E205" s="56">
        <v>0</v>
      </c>
      <c r="F205" s="57" t="s">
        <v>1217</v>
      </c>
      <c r="G205" s="58">
        <v>12700</v>
      </c>
      <c r="H205" s="59">
        <v>12700</v>
      </c>
      <c r="I205" s="59">
        <f t="shared" si="6"/>
        <v>0</v>
      </c>
    </row>
    <row r="206" spans="1:9" customFormat="1" x14ac:dyDescent="0.35">
      <c r="A206" s="63">
        <f t="shared" si="7"/>
        <v>205</v>
      </c>
      <c r="B206" s="54" t="s">
        <v>1218</v>
      </c>
      <c r="C206" s="55" t="s">
        <v>1219</v>
      </c>
      <c r="D206" s="54" t="s">
        <v>1151</v>
      </c>
      <c r="E206" s="56">
        <v>0</v>
      </c>
      <c r="F206" s="57" t="s">
        <v>792</v>
      </c>
      <c r="G206" s="58">
        <v>446500</v>
      </c>
      <c r="H206" s="59">
        <v>558500</v>
      </c>
      <c r="I206" s="59">
        <f t="shared" si="6"/>
        <v>0</v>
      </c>
    </row>
    <row r="207" spans="1:9" customFormat="1" x14ac:dyDescent="0.35">
      <c r="A207" s="63">
        <f t="shared" si="7"/>
        <v>206</v>
      </c>
      <c r="B207" s="54" t="s">
        <v>1220</v>
      </c>
      <c r="C207" s="55" t="s">
        <v>1221</v>
      </c>
      <c r="D207" s="54" t="s">
        <v>1151</v>
      </c>
      <c r="E207" s="56">
        <v>0</v>
      </c>
      <c r="F207" s="57" t="s">
        <v>792</v>
      </c>
      <c r="G207" s="58">
        <v>3650</v>
      </c>
      <c r="H207" s="59">
        <v>9450</v>
      </c>
      <c r="I207" s="59">
        <f t="shared" si="6"/>
        <v>0</v>
      </c>
    </row>
    <row r="208" spans="1:9" customFormat="1" x14ac:dyDescent="0.35">
      <c r="A208" s="63">
        <f t="shared" si="7"/>
        <v>207</v>
      </c>
      <c r="B208" s="54" t="s">
        <v>1222</v>
      </c>
      <c r="C208" s="55" t="s">
        <v>1223</v>
      </c>
      <c r="D208" s="54" t="s">
        <v>1151</v>
      </c>
      <c r="E208" s="56">
        <v>0</v>
      </c>
      <c r="F208" s="57" t="s">
        <v>792</v>
      </c>
      <c r="G208" s="58">
        <v>35000</v>
      </c>
      <c r="H208" s="59">
        <v>44000</v>
      </c>
      <c r="I208" s="59">
        <f t="shared" si="6"/>
        <v>0</v>
      </c>
    </row>
    <row r="209" spans="1:9" customFormat="1" x14ac:dyDescent="0.35">
      <c r="A209" s="63">
        <f t="shared" si="7"/>
        <v>208</v>
      </c>
      <c r="B209" s="54" t="s">
        <v>1224</v>
      </c>
      <c r="C209" s="55" t="s">
        <v>1225</v>
      </c>
      <c r="D209" s="54" t="s">
        <v>1151</v>
      </c>
      <c r="E209" s="56">
        <v>0</v>
      </c>
      <c r="F209" s="57" t="s">
        <v>792</v>
      </c>
      <c r="G209" s="58">
        <v>7000</v>
      </c>
      <c r="H209" s="59">
        <v>10000</v>
      </c>
      <c r="I209" s="59">
        <f t="shared" si="6"/>
        <v>0</v>
      </c>
    </row>
    <row r="210" spans="1:9" customFormat="1" x14ac:dyDescent="0.35">
      <c r="A210" s="63">
        <f t="shared" si="7"/>
        <v>209</v>
      </c>
      <c r="B210" s="54" t="s">
        <v>1226</v>
      </c>
      <c r="C210" s="55" t="s">
        <v>1227</v>
      </c>
      <c r="D210" s="54" t="s">
        <v>1151</v>
      </c>
      <c r="E210" s="56">
        <v>0</v>
      </c>
      <c r="F210" s="57" t="s">
        <v>792</v>
      </c>
      <c r="G210" s="58">
        <v>12000</v>
      </c>
      <c r="H210" s="59">
        <v>15000</v>
      </c>
      <c r="I210" s="59">
        <f t="shared" si="6"/>
        <v>0</v>
      </c>
    </row>
    <row r="211" spans="1:9" customFormat="1" x14ac:dyDescent="0.35">
      <c r="A211" s="63">
        <f t="shared" si="7"/>
        <v>210</v>
      </c>
      <c r="B211" s="54" t="s">
        <v>1228</v>
      </c>
      <c r="C211" s="55" t="s">
        <v>1229</v>
      </c>
      <c r="D211" s="54" t="s">
        <v>1151</v>
      </c>
      <c r="E211" s="56">
        <v>0</v>
      </c>
      <c r="F211" s="57" t="s">
        <v>792</v>
      </c>
      <c r="G211" s="58">
        <v>30000</v>
      </c>
      <c r="H211" s="59">
        <v>38000</v>
      </c>
      <c r="I211" s="59">
        <f t="shared" si="6"/>
        <v>0</v>
      </c>
    </row>
    <row r="212" spans="1:9" customFormat="1" x14ac:dyDescent="0.35">
      <c r="A212" s="63">
        <f t="shared" si="7"/>
        <v>211</v>
      </c>
      <c r="B212" s="54" t="s">
        <v>1230</v>
      </c>
      <c r="C212" s="55" t="s">
        <v>1231</v>
      </c>
      <c r="D212" s="54" t="s">
        <v>1151</v>
      </c>
      <c r="E212" s="56">
        <v>0</v>
      </c>
      <c r="F212" s="57" t="s">
        <v>1065</v>
      </c>
      <c r="G212" s="58">
        <v>240000</v>
      </c>
      <c r="H212" s="59">
        <v>240000</v>
      </c>
      <c r="I212" s="59">
        <f t="shared" si="6"/>
        <v>0</v>
      </c>
    </row>
    <row r="213" spans="1:9" customFormat="1" x14ac:dyDescent="0.35">
      <c r="A213" s="63">
        <f t="shared" si="7"/>
        <v>212</v>
      </c>
      <c r="B213" s="54" t="s">
        <v>1232</v>
      </c>
      <c r="C213" s="55" t="s">
        <v>1233</v>
      </c>
      <c r="D213" s="54" t="s">
        <v>1151</v>
      </c>
      <c r="E213" s="56">
        <v>0</v>
      </c>
      <c r="F213" s="57" t="s">
        <v>994</v>
      </c>
      <c r="G213" s="58">
        <v>45000</v>
      </c>
      <c r="H213" s="59">
        <v>45000</v>
      </c>
      <c r="I213" s="59">
        <f t="shared" si="6"/>
        <v>0</v>
      </c>
    </row>
    <row r="214" spans="1:9" customFormat="1" x14ac:dyDescent="0.35">
      <c r="A214" s="63">
        <f t="shared" si="7"/>
        <v>213</v>
      </c>
      <c r="B214" s="54" t="s">
        <v>1234</v>
      </c>
      <c r="C214" s="55" t="s">
        <v>1235</v>
      </c>
      <c r="D214" s="54" t="s">
        <v>1151</v>
      </c>
      <c r="E214" s="56">
        <v>0</v>
      </c>
      <c r="F214" s="57" t="s">
        <v>994</v>
      </c>
      <c r="G214" s="58">
        <v>122000</v>
      </c>
      <c r="H214" s="59">
        <v>122000</v>
      </c>
      <c r="I214" s="59">
        <f t="shared" si="6"/>
        <v>0</v>
      </c>
    </row>
    <row r="215" spans="1:9" customFormat="1" x14ac:dyDescent="0.35">
      <c r="A215" s="63">
        <f t="shared" si="7"/>
        <v>214</v>
      </c>
      <c r="B215" s="54" t="s">
        <v>1236</v>
      </c>
      <c r="C215" s="55" t="s">
        <v>1237</v>
      </c>
      <c r="D215" s="54" t="s">
        <v>1151</v>
      </c>
      <c r="E215" s="56">
        <v>0</v>
      </c>
      <c r="F215" s="57" t="s">
        <v>792</v>
      </c>
      <c r="G215" s="58">
        <v>1670000</v>
      </c>
      <c r="H215" s="59">
        <v>2087500</v>
      </c>
      <c r="I215" s="59">
        <f t="shared" si="6"/>
        <v>0</v>
      </c>
    </row>
    <row r="216" spans="1:9" customFormat="1" x14ac:dyDescent="0.35">
      <c r="A216" s="63">
        <f t="shared" si="7"/>
        <v>215</v>
      </c>
      <c r="B216" s="54" t="s">
        <v>1238</v>
      </c>
      <c r="C216" s="55" t="s">
        <v>1239</v>
      </c>
      <c r="D216" s="54" t="s">
        <v>1151</v>
      </c>
      <c r="E216" s="56">
        <v>0</v>
      </c>
      <c r="F216" s="57" t="s">
        <v>792</v>
      </c>
      <c r="G216" s="58">
        <v>915000</v>
      </c>
      <c r="H216" s="59">
        <v>1235250</v>
      </c>
      <c r="I216" s="59">
        <f t="shared" si="6"/>
        <v>0</v>
      </c>
    </row>
    <row r="217" spans="1:9" customFormat="1" x14ac:dyDescent="0.35">
      <c r="A217" s="63">
        <f t="shared" si="7"/>
        <v>216</v>
      </c>
      <c r="B217" s="54" t="s">
        <v>1240</v>
      </c>
      <c r="C217" s="55" t="s">
        <v>1241</v>
      </c>
      <c r="D217" s="54" t="s">
        <v>1151</v>
      </c>
      <c r="E217" s="56">
        <v>0</v>
      </c>
      <c r="F217" s="57" t="s">
        <v>792</v>
      </c>
      <c r="G217" s="58">
        <v>0</v>
      </c>
      <c r="H217" s="59">
        <v>22000</v>
      </c>
      <c r="I217" s="59">
        <f t="shared" si="6"/>
        <v>0</v>
      </c>
    </row>
    <row r="218" spans="1:9" customFormat="1" x14ac:dyDescent="0.35">
      <c r="A218" s="63">
        <f t="shared" si="7"/>
        <v>217</v>
      </c>
      <c r="B218" s="54" t="s">
        <v>1242</v>
      </c>
      <c r="C218" s="55" t="s">
        <v>1243</v>
      </c>
      <c r="D218" s="54" t="s">
        <v>1151</v>
      </c>
      <c r="E218" s="56">
        <v>0</v>
      </c>
      <c r="F218" s="57" t="s">
        <v>792</v>
      </c>
      <c r="G218" s="58">
        <v>18000</v>
      </c>
      <c r="H218" s="59">
        <v>20925</v>
      </c>
      <c r="I218" s="59">
        <f t="shared" si="6"/>
        <v>0</v>
      </c>
    </row>
    <row r="219" spans="1:9" customFormat="1" x14ac:dyDescent="0.35">
      <c r="A219" s="63">
        <f t="shared" si="7"/>
        <v>218</v>
      </c>
      <c r="B219" s="54" t="s">
        <v>1244</v>
      </c>
      <c r="C219" s="55" t="s">
        <v>1245</v>
      </c>
      <c r="D219" s="54" t="s">
        <v>1151</v>
      </c>
      <c r="E219" s="56">
        <v>0</v>
      </c>
      <c r="F219" s="57" t="s">
        <v>792</v>
      </c>
      <c r="G219" s="58">
        <v>20000</v>
      </c>
      <c r="H219" s="59">
        <v>25000</v>
      </c>
      <c r="I219" s="59">
        <f t="shared" si="6"/>
        <v>0</v>
      </c>
    </row>
    <row r="220" spans="1:9" customFormat="1" ht="23" x14ac:dyDescent="0.35">
      <c r="A220" s="63">
        <f t="shared" si="7"/>
        <v>219</v>
      </c>
      <c r="B220" s="54" t="s">
        <v>1246</v>
      </c>
      <c r="C220" s="55" t="s">
        <v>1247</v>
      </c>
      <c r="D220" s="54" t="s">
        <v>1151</v>
      </c>
      <c r="E220" s="56">
        <v>0</v>
      </c>
      <c r="F220" s="57" t="s">
        <v>792</v>
      </c>
      <c r="G220" s="58">
        <v>4501805</v>
      </c>
      <c r="H220" s="59">
        <v>6496100</v>
      </c>
      <c r="I220" s="59">
        <f t="shared" si="6"/>
        <v>0</v>
      </c>
    </row>
    <row r="221" spans="1:9" customFormat="1" x14ac:dyDescent="0.35">
      <c r="A221" s="63">
        <f t="shared" si="7"/>
        <v>220</v>
      </c>
      <c r="B221" s="54" t="s">
        <v>1248</v>
      </c>
      <c r="C221" s="55" t="s">
        <v>1249</v>
      </c>
      <c r="D221" s="54" t="s">
        <v>1151</v>
      </c>
      <c r="E221" s="56">
        <v>0</v>
      </c>
      <c r="F221" s="57" t="s">
        <v>969</v>
      </c>
      <c r="G221" s="58">
        <v>8000</v>
      </c>
      <c r="H221" s="59">
        <v>8000</v>
      </c>
      <c r="I221" s="59">
        <f t="shared" si="6"/>
        <v>0</v>
      </c>
    </row>
    <row r="222" spans="1:9" customFormat="1" x14ac:dyDescent="0.35">
      <c r="A222" s="63">
        <f t="shared" si="7"/>
        <v>221</v>
      </c>
      <c r="B222" s="54" t="s">
        <v>1250</v>
      </c>
      <c r="C222" s="55" t="s">
        <v>1251</v>
      </c>
      <c r="D222" s="54" t="s">
        <v>1151</v>
      </c>
      <c r="E222" s="56">
        <v>0</v>
      </c>
      <c r="F222" s="57" t="s">
        <v>792</v>
      </c>
      <c r="G222" s="58">
        <v>16983</v>
      </c>
      <c r="H222" s="59">
        <v>22000</v>
      </c>
      <c r="I222" s="59">
        <f t="shared" si="6"/>
        <v>0</v>
      </c>
    </row>
    <row r="223" spans="1:9" customFormat="1" x14ac:dyDescent="0.35">
      <c r="A223" s="63">
        <f t="shared" si="7"/>
        <v>222</v>
      </c>
      <c r="B223" s="54" t="s">
        <v>1252</v>
      </c>
      <c r="C223" s="55" t="s">
        <v>1253</v>
      </c>
      <c r="D223" s="54" t="s">
        <v>1151</v>
      </c>
      <c r="E223" s="56">
        <v>0</v>
      </c>
      <c r="F223" s="57" t="s">
        <v>792</v>
      </c>
      <c r="G223" s="58">
        <v>10000</v>
      </c>
      <c r="H223" s="59">
        <v>13000</v>
      </c>
      <c r="I223" s="59">
        <f t="shared" si="6"/>
        <v>0</v>
      </c>
    </row>
    <row r="224" spans="1:9" customFormat="1" x14ac:dyDescent="0.35">
      <c r="A224" s="63">
        <f t="shared" si="7"/>
        <v>223</v>
      </c>
      <c r="B224" s="54" t="s">
        <v>1254</v>
      </c>
      <c r="C224" s="55" t="s">
        <v>1255</v>
      </c>
      <c r="D224" s="54" t="s">
        <v>1151</v>
      </c>
      <c r="E224" s="56">
        <v>0</v>
      </c>
      <c r="F224" s="57" t="s">
        <v>792</v>
      </c>
      <c r="G224" s="58">
        <v>146500</v>
      </c>
      <c r="H224" s="59">
        <v>185000</v>
      </c>
      <c r="I224" s="59">
        <f t="shared" si="6"/>
        <v>0</v>
      </c>
    </row>
    <row r="225" spans="1:9" customFormat="1" x14ac:dyDescent="0.35">
      <c r="A225" s="63">
        <f t="shared" si="7"/>
        <v>224</v>
      </c>
      <c r="B225" s="54" t="s">
        <v>1256</v>
      </c>
      <c r="C225" s="55" t="s">
        <v>1257</v>
      </c>
      <c r="D225" s="54" t="s">
        <v>1151</v>
      </c>
      <c r="E225" s="56">
        <v>0</v>
      </c>
      <c r="F225" s="57" t="s">
        <v>792</v>
      </c>
      <c r="G225" s="58">
        <v>6000</v>
      </c>
      <c r="H225" s="59">
        <v>8100</v>
      </c>
      <c r="I225" s="59">
        <f t="shared" si="6"/>
        <v>0</v>
      </c>
    </row>
    <row r="226" spans="1:9" customFormat="1" x14ac:dyDescent="0.35">
      <c r="A226" s="63">
        <f t="shared" si="7"/>
        <v>225</v>
      </c>
      <c r="B226" s="54" t="s">
        <v>1258</v>
      </c>
      <c r="C226" s="55" t="s">
        <v>1259</v>
      </c>
      <c r="D226" s="54" t="s">
        <v>1151</v>
      </c>
      <c r="E226" s="56">
        <v>0</v>
      </c>
      <c r="F226" s="57" t="s">
        <v>792</v>
      </c>
      <c r="G226" s="58">
        <v>7000</v>
      </c>
      <c r="H226" s="59">
        <v>9450</v>
      </c>
      <c r="I226" s="59">
        <f t="shared" si="6"/>
        <v>0</v>
      </c>
    </row>
    <row r="227" spans="1:9" customFormat="1" x14ac:dyDescent="0.35">
      <c r="A227" s="63">
        <f t="shared" si="7"/>
        <v>226</v>
      </c>
      <c r="B227" s="54" t="s">
        <v>1260</v>
      </c>
      <c r="C227" s="55" t="s">
        <v>1261</v>
      </c>
      <c r="D227" s="54" t="s">
        <v>1151</v>
      </c>
      <c r="E227" s="56">
        <v>0</v>
      </c>
      <c r="F227" s="57" t="s">
        <v>878</v>
      </c>
      <c r="G227" s="58">
        <v>370000</v>
      </c>
      <c r="H227" s="59">
        <v>463000</v>
      </c>
      <c r="I227" s="59">
        <f t="shared" si="6"/>
        <v>0</v>
      </c>
    </row>
    <row r="228" spans="1:9" customFormat="1" x14ac:dyDescent="0.35">
      <c r="A228" s="63">
        <f t="shared" si="7"/>
        <v>227</v>
      </c>
      <c r="B228" s="54" t="s">
        <v>1262</v>
      </c>
      <c r="C228" s="55" t="s">
        <v>1263</v>
      </c>
      <c r="D228" s="54" t="s">
        <v>1151</v>
      </c>
      <c r="E228" s="56">
        <v>0</v>
      </c>
      <c r="F228" s="57" t="s">
        <v>792</v>
      </c>
      <c r="G228" s="58">
        <v>0</v>
      </c>
      <c r="H228" s="59">
        <v>3800000</v>
      </c>
      <c r="I228" s="59">
        <f t="shared" si="6"/>
        <v>0</v>
      </c>
    </row>
    <row r="229" spans="1:9" customFormat="1" ht="23" x14ac:dyDescent="0.35">
      <c r="A229" s="63">
        <f t="shared" si="7"/>
        <v>228</v>
      </c>
      <c r="B229" s="54" t="s">
        <v>1264</v>
      </c>
      <c r="C229" s="55" t="s">
        <v>1265</v>
      </c>
      <c r="D229" s="54" t="s">
        <v>1151</v>
      </c>
      <c r="E229" s="56">
        <v>0</v>
      </c>
      <c r="F229" s="57" t="s">
        <v>792</v>
      </c>
      <c r="G229" s="58">
        <v>3904500</v>
      </c>
      <c r="H229" s="59">
        <v>4676855</v>
      </c>
      <c r="I229" s="59">
        <f t="shared" si="6"/>
        <v>0</v>
      </c>
    </row>
    <row r="230" spans="1:9" customFormat="1" x14ac:dyDescent="0.35">
      <c r="A230" s="63">
        <f t="shared" si="7"/>
        <v>229</v>
      </c>
      <c r="B230" s="54" t="s">
        <v>1266</v>
      </c>
      <c r="C230" s="55" t="s">
        <v>1267</v>
      </c>
      <c r="D230" s="54" t="s">
        <v>1151</v>
      </c>
      <c r="E230" s="56">
        <v>0</v>
      </c>
      <c r="F230" s="57" t="s">
        <v>994</v>
      </c>
      <c r="G230" s="58">
        <v>5333.34</v>
      </c>
      <c r="H230" s="59">
        <v>11800</v>
      </c>
      <c r="I230" s="59">
        <f t="shared" si="6"/>
        <v>0</v>
      </c>
    </row>
    <row r="231" spans="1:9" customFormat="1" x14ac:dyDescent="0.35">
      <c r="A231" s="63">
        <f t="shared" si="7"/>
        <v>230</v>
      </c>
      <c r="B231" s="54" t="s">
        <v>1268</v>
      </c>
      <c r="C231" s="55" t="s">
        <v>1269</v>
      </c>
      <c r="D231" s="54" t="s">
        <v>1151</v>
      </c>
      <c r="E231" s="56">
        <v>0</v>
      </c>
      <c r="F231" s="57" t="s">
        <v>792</v>
      </c>
      <c r="G231" s="58">
        <v>9600</v>
      </c>
      <c r="H231" s="59">
        <v>12150</v>
      </c>
      <c r="I231" s="59">
        <f t="shared" si="6"/>
        <v>0</v>
      </c>
    </row>
    <row r="232" spans="1:9" customFormat="1" x14ac:dyDescent="0.35">
      <c r="A232" s="63">
        <f t="shared" si="7"/>
        <v>231</v>
      </c>
      <c r="B232" s="54" t="s">
        <v>1270</v>
      </c>
      <c r="C232" s="55" t="s">
        <v>1271</v>
      </c>
      <c r="D232" s="54" t="s">
        <v>1151</v>
      </c>
      <c r="E232" s="56">
        <v>0</v>
      </c>
      <c r="F232" s="57" t="s">
        <v>792</v>
      </c>
      <c r="G232" s="58">
        <v>0</v>
      </c>
      <c r="H232" s="59">
        <v>18900</v>
      </c>
      <c r="I232" s="59">
        <f t="shared" si="6"/>
        <v>0</v>
      </c>
    </row>
    <row r="233" spans="1:9" customFormat="1" x14ac:dyDescent="0.35">
      <c r="A233" s="63">
        <f t="shared" si="7"/>
        <v>232</v>
      </c>
      <c r="B233" s="54" t="s">
        <v>1272</v>
      </c>
      <c r="C233" s="55" t="s">
        <v>1273</v>
      </c>
      <c r="D233" s="54" t="s">
        <v>1151</v>
      </c>
      <c r="E233" s="56">
        <v>0</v>
      </c>
      <c r="F233" s="57" t="s">
        <v>792</v>
      </c>
      <c r="G233" s="58">
        <v>33000</v>
      </c>
      <c r="H233" s="59">
        <v>60750</v>
      </c>
      <c r="I233" s="59">
        <f t="shared" si="6"/>
        <v>0</v>
      </c>
    </row>
    <row r="234" spans="1:9" customFormat="1" x14ac:dyDescent="0.35">
      <c r="A234" s="63">
        <f t="shared" si="7"/>
        <v>233</v>
      </c>
      <c r="B234" s="54" t="s">
        <v>1274</v>
      </c>
      <c r="C234" s="55" t="s">
        <v>1275</v>
      </c>
      <c r="D234" s="54" t="s">
        <v>1151</v>
      </c>
      <c r="E234" s="56">
        <v>0</v>
      </c>
      <c r="F234" s="57" t="s">
        <v>792</v>
      </c>
      <c r="G234" s="58">
        <v>6500000</v>
      </c>
      <c r="H234" s="59">
        <v>8300000</v>
      </c>
      <c r="I234" s="59">
        <f t="shared" si="6"/>
        <v>0</v>
      </c>
    </row>
    <row r="235" spans="1:9" customFormat="1" x14ac:dyDescent="0.35">
      <c r="A235" s="63">
        <f t="shared" si="7"/>
        <v>234</v>
      </c>
      <c r="B235" s="54" t="s">
        <v>1276</v>
      </c>
      <c r="C235" s="55" t="s">
        <v>1277</v>
      </c>
      <c r="D235" s="54" t="s">
        <v>1151</v>
      </c>
      <c r="E235" s="56">
        <v>0</v>
      </c>
      <c r="F235" s="57" t="s">
        <v>1065</v>
      </c>
      <c r="G235" s="58">
        <v>22000</v>
      </c>
      <c r="H235" s="59">
        <v>22000</v>
      </c>
      <c r="I235" s="59">
        <f t="shared" si="6"/>
        <v>0</v>
      </c>
    </row>
    <row r="236" spans="1:9" customFormat="1" x14ac:dyDescent="0.35">
      <c r="A236" s="63">
        <f t="shared" si="7"/>
        <v>235</v>
      </c>
      <c r="B236" s="54" t="s">
        <v>1278</v>
      </c>
      <c r="C236" s="55" t="s">
        <v>1279</v>
      </c>
      <c r="D236" s="54" t="s">
        <v>1151</v>
      </c>
      <c r="E236" s="56">
        <v>0</v>
      </c>
      <c r="F236" s="57" t="s">
        <v>1010</v>
      </c>
      <c r="G236" s="58">
        <v>26500</v>
      </c>
      <c r="H236" s="59">
        <v>50000</v>
      </c>
      <c r="I236" s="59">
        <f t="shared" si="6"/>
        <v>0</v>
      </c>
    </row>
    <row r="237" spans="1:9" customFormat="1" x14ac:dyDescent="0.35">
      <c r="A237" s="63">
        <f t="shared" si="7"/>
        <v>236</v>
      </c>
      <c r="B237" s="54" t="s">
        <v>1280</v>
      </c>
      <c r="C237" s="55" t="s">
        <v>1281</v>
      </c>
      <c r="D237" s="54" t="s">
        <v>1151</v>
      </c>
      <c r="E237" s="56">
        <v>0</v>
      </c>
      <c r="F237" s="57" t="s">
        <v>792</v>
      </c>
      <c r="G237" s="58">
        <v>78900</v>
      </c>
      <c r="H237" s="59">
        <v>91721</v>
      </c>
      <c r="I237" s="59">
        <f t="shared" si="6"/>
        <v>0</v>
      </c>
    </row>
    <row r="238" spans="1:9" customFormat="1" ht="23" x14ac:dyDescent="0.35">
      <c r="A238" s="63">
        <f t="shared" si="7"/>
        <v>237</v>
      </c>
      <c r="B238" s="54" t="s">
        <v>1282</v>
      </c>
      <c r="C238" s="55" t="s">
        <v>1283</v>
      </c>
      <c r="D238" s="54" t="s">
        <v>1151</v>
      </c>
      <c r="E238" s="56">
        <v>0</v>
      </c>
      <c r="F238" s="57" t="s">
        <v>1010</v>
      </c>
      <c r="G238" s="58">
        <v>352900</v>
      </c>
      <c r="H238" s="59">
        <v>426000</v>
      </c>
      <c r="I238" s="59">
        <f t="shared" si="6"/>
        <v>0</v>
      </c>
    </row>
    <row r="239" spans="1:9" customFormat="1" x14ac:dyDescent="0.35">
      <c r="A239" s="63">
        <f t="shared" si="7"/>
        <v>238</v>
      </c>
      <c r="B239" s="54" t="s">
        <v>1284</v>
      </c>
      <c r="C239" s="55" t="s">
        <v>1285</v>
      </c>
      <c r="D239" s="54" t="s">
        <v>1151</v>
      </c>
      <c r="E239" s="56">
        <v>0</v>
      </c>
      <c r="F239" s="57" t="s">
        <v>792</v>
      </c>
      <c r="G239" s="58">
        <v>10000</v>
      </c>
      <c r="H239" s="59">
        <v>17438</v>
      </c>
      <c r="I239" s="59">
        <f t="shared" si="6"/>
        <v>0</v>
      </c>
    </row>
    <row r="240" spans="1:9" customFormat="1" x14ac:dyDescent="0.35">
      <c r="A240" s="63">
        <f t="shared" si="7"/>
        <v>239</v>
      </c>
      <c r="B240" s="54" t="s">
        <v>1286</v>
      </c>
      <c r="C240" s="55" t="s">
        <v>1287</v>
      </c>
      <c r="D240" s="54" t="s">
        <v>1151</v>
      </c>
      <c r="E240" s="56">
        <v>0</v>
      </c>
      <c r="F240" s="57" t="s">
        <v>792</v>
      </c>
      <c r="G240" s="58">
        <v>10000</v>
      </c>
      <c r="H240" s="59">
        <v>17438</v>
      </c>
      <c r="I240" s="59">
        <f t="shared" si="6"/>
        <v>0</v>
      </c>
    </row>
    <row r="241" spans="1:9" customFormat="1" x14ac:dyDescent="0.35">
      <c r="A241" s="63">
        <f t="shared" si="7"/>
        <v>240</v>
      </c>
      <c r="B241" s="54" t="s">
        <v>1288</v>
      </c>
      <c r="C241" s="55" t="s">
        <v>1289</v>
      </c>
      <c r="D241" s="54" t="s">
        <v>1151</v>
      </c>
      <c r="E241" s="56">
        <v>0</v>
      </c>
      <c r="F241" s="57" t="s">
        <v>792</v>
      </c>
      <c r="G241" s="58">
        <v>38600</v>
      </c>
      <c r="H241" s="59">
        <v>51597</v>
      </c>
      <c r="I241" s="59">
        <f t="shared" si="6"/>
        <v>0</v>
      </c>
    </row>
    <row r="242" spans="1:9" customFormat="1" x14ac:dyDescent="0.35">
      <c r="A242" s="63">
        <f t="shared" si="7"/>
        <v>241</v>
      </c>
      <c r="B242" s="54" t="s">
        <v>1290</v>
      </c>
      <c r="C242" s="55" t="s">
        <v>1291</v>
      </c>
      <c r="D242" s="54" t="s">
        <v>1151</v>
      </c>
      <c r="E242" s="56">
        <v>0</v>
      </c>
      <c r="F242" s="57" t="s">
        <v>792</v>
      </c>
      <c r="G242" s="58">
        <v>2480</v>
      </c>
      <c r="H242" s="59">
        <v>2714.8290000000002</v>
      </c>
      <c r="I242" s="59">
        <f t="shared" si="6"/>
        <v>0</v>
      </c>
    </row>
    <row r="243" spans="1:9" customFormat="1" x14ac:dyDescent="0.35">
      <c r="A243" s="63">
        <f t="shared" si="7"/>
        <v>242</v>
      </c>
      <c r="B243" s="54" t="s">
        <v>1292</v>
      </c>
      <c r="C243" s="55" t="s">
        <v>1293</v>
      </c>
      <c r="D243" s="54" t="s">
        <v>1151</v>
      </c>
      <c r="E243" s="56">
        <v>0</v>
      </c>
      <c r="F243" s="57" t="s">
        <v>792</v>
      </c>
      <c r="G243" s="58">
        <v>2790</v>
      </c>
      <c r="H243" s="59">
        <v>3000</v>
      </c>
      <c r="I243" s="59">
        <f t="shared" si="6"/>
        <v>0</v>
      </c>
    </row>
    <row r="244" spans="1:9" customFormat="1" x14ac:dyDescent="0.35">
      <c r="A244" s="63">
        <f t="shared" si="7"/>
        <v>243</v>
      </c>
      <c r="B244" s="54" t="s">
        <v>1294</v>
      </c>
      <c r="C244" s="55" t="s">
        <v>1295</v>
      </c>
      <c r="D244" s="54" t="s">
        <v>1151</v>
      </c>
      <c r="E244" s="56">
        <v>0</v>
      </c>
      <c r="F244" s="57" t="s">
        <v>792</v>
      </c>
      <c r="G244" s="58">
        <v>2790</v>
      </c>
      <c r="H244" s="59">
        <v>3000</v>
      </c>
      <c r="I244" s="59">
        <f t="shared" si="6"/>
        <v>0</v>
      </c>
    </row>
    <row r="245" spans="1:9" customFormat="1" x14ac:dyDescent="0.35">
      <c r="A245" s="63">
        <f t="shared" si="7"/>
        <v>244</v>
      </c>
      <c r="B245" s="54" t="s">
        <v>1296</v>
      </c>
      <c r="C245" s="55" t="s">
        <v>1297</v>
      </c>
      <c r="D245" s="54" t="s">
        <v>1151</v>
      </c>
      <c r="E245" s="56">
        <v>0</v>
      </c>
      <c r="F245" s="57" t="s">
        <v>792</v>
      </c>
      <c r="G245" s="58">
        <v>4400</v>
      </c>
      <c r="H245" s="59">
        <v>4400</v>
      </c>
      <c r="I245" s="59">
        <f t="shared" si="6"/>
        <v>0</v>
      </c>
    </row>
    <row r="246" spans="1:9" customFormat="1" x14ac:dyDescent="0.35">
      <c r="A246" s="63">
        <f t="shared" si="7"/>
        <v>245</v>
      </c>
      <c r="B246" s="54" t="s">
        <v>1298</v>
      </c>
      <c r="C246" s="55" t="s">
        <v>1299</v>
      </c>
      <c r="D246" s="54" t="s">
        <v>1151</v>
      </c>
      <c r="E246" s="56">
        <v>0</v>
      </c>
      <c r="F246" s="57" t="s">
        <v>792</v>
      </c>
      <c r="G246" s="58">
        <v>5650</v>
      </c>
      <c r="H246" s="59">
        <v>5777</v>
      </c>
      <c r="I246" s="59">
        <f t="shared" si="6"/>
        <v>0</v>
      </c>
    </row>
    <row r="247" spans="1:9" customFormat="1" x14ac:dyDescent="0.35">
      <c r="A247" s="63">
        <f t="shared" si="7"/>
        <v>246</v>
      </c>
      <c r="B247" s="54" t="s">
        <v>1300</v>
      </c>
      <c r="C247" s="55" t="s">
        <v>1301</v>
      </c>
      <c r="D247" s="54" t="s">
        <v>1151</v>
      </c>
      <c r="E247" s="56">
        <v>0</v>
      </c>
      <c r="F247" s="57" t="s">
        <v>844</v>
      </c>
      <c r="G247" s="58">
        <v>802000</v>
      </c>
      <c r="H247" s="59">
        <v>1957500</v>
      </c>
      <c r="I247" s="59">
        <f t="shared" si="6"/>
        <v>0</v>
      </c>
    </row>
    <row r="248" spans="1:9" customFormat="1" x14ac:dyDescent="0.35">
      <c r="A248" s="63">
        <f t="shared" si="7"/>
        <v>247</v>
      </c>
      <c r="B248" s="54" t="s">
        <v>1302</v>
      </c>
      <c r="C248" s="55" t="s">
        <v>1303</v>
      </c>
      <c r="D248" s="54" t="s">
        <v>1151</v>
      </c>
      <c r="E248" s="56">
        <v>0</v>
      </c>
      <c r="F248" s="57" t="s">
        <v>974</v>
      </c>
      <c r="G248" s="58">
        <v>31000</v>
      </c>
      <c r="H248" s="59">
        <v>31000</v>
      </c>
      <c r="I248" s="59">
        <f t="shared" si="6"/>
        <v>0</v>
      </c>
    </row>
    <row r="249" spans="1:9" customFormat="1" x14ac:dyDescent="0.35">
      <c r="A249" s="63">
        <f t="shared" si="7"/>
        <v>248</v>
      </c>
      <c r="B249" s="54" t="s">
        <v>1304</v>
      </c>
      <c r="C249" s="55" t="s">
        <v>1305</v>
      </c>
      <c r="D249" s="54" t="s">
        <v>1151</v>
      </c>
      <c r="E249" s="56">
        <v>0</v>
      </c>
      <c r="F249" s="57" t="s">
        <v>792</v>
      </c>
      <c r="G249" s="58">
        <v>630000</v>
      </c>
      <c r="H249" s="59">
        <v>630000</v>
      </c>
      <c r="I249" s="59">
        <f t="shared" si="6"/>
        <v>0</v>
      </c>
    </row>
    <row r="250" spans="1:9" customFormat="1" ht="23" x14ac:dyDescent="0.35">
      <c r="A250" s="63">
        <f t="shared" si="7"/>
        <v>249</v>
      </c>
      <c r="B250" s="54" t="s">
        <v>1306</v>
      </c>
      <c r="C250" s="55" t="s">
        <v>1307</v>
      </c>
      <c r="D250" s="54" t="s">
        <v>1151</v>
      </c>
      <c r="E250" s="56">
        <v>0</v>
      </c>
      <c r="F250" s="57" t="s">
        <v>792</v>
      </c>
      <c r="G250" s="58">
        <v>890000</v>
      </c>
      <c r="H250" s="59">
        <v>1200000</v>
      </c>
      <c r="I250" s="59">
        <f t="shared" si="6"/>
        <v>0</v>
      </c>
    </row>
    <row r="251" spans="1:9" customFormat="1" x14ac:dyDescent="0.35">
      <c r="A251" s="63">
        <f t="shared" si="7"/>
        <v>250</v>
      </c>
      <c r="B251" s="54" t="s">
        <v>1308</v>
      </c>
      <c r="C251" s="55" t="s">
        <v>1309</v>
      </c>
      <c r="D251" s="54" t="s">
        <v>1151</v>
      </c>
      <c r="E251" s="56">
        <v>0</v>
      </c>
      <c r="F251" s="57" t="s">
        <v>792</v>
      </c>
      <c r="G251" s="58">
        <v>127100</v>
      </c>
      <c r="H251" s="59">
        <v>205200</v>
      </c>
      <c r="I251" s="59">
        <f t="shared" si="6"/>
        <v>0</v>
      </c>
    </row>
    <row r="252" spans="1:9" customFormat="1" x14ac:dyDescent="0.35">
      <c r="A252" s="63">
        <f t="shared" si="7"/>
        <v>251</v>
      </c>
      <c r="B252" s="54" t="s">
        <v>1310</v>
      </c>
      <c r="C252" s="55" t="s">
        <v>1311</v>
      </c>
      <c r="D252" s="54" t="s">
        <v>1151</v>
      </c>
      <c r="E252" s="56">
        <v>0</v>
      </c>
      <c r="F252" s="57" t="s">
        <v>792</v>
      </c>
      <c r="G252" s="58">
        <v>1025000</v>
      </c>
      <c r="H252" s="59">
        <v>1260000</v>
      </c>
      <c r="I252" s="59">
        <f t="shared" si="6"/>
        <v>0</v>
      </c>
    </row>
    <row r="253" spans="1:9" customFormat="1" x14ac:dyDescent="0.35">
      <c r="A253" s="63">
        <f t="shared" si="7"/>
        <v>252</v>
      </c>
      <c r="B253" s="54" t="s">
        <v>1312</v>
      </c>
      <c r="C253" s="55" t="s">
        <v>1313</v>
      </c>
      <c r="D253" s="54" t="s">
        <v>1151</v>
      </c>
      <c r="E253" s="56">
        <v>0</v>
      </c>
      <c r="F253" s="57" t="s">
        <v>1217</v>
      </c>
      <c r="G253" s="58">
        <v>10000</v>
      </c>
      <c r="H253" s="59">
        <v>10000</v>
      </c>
      <c r="I253" s="59">
        <f t="shared" si="6"/>
        <v>0</v>
      </c>
    </row>
    <row r="254" spans="1:9" customFormat="1" x14ac:dyDescent="0.35">
      <c r="A254" s="63">
        <f t="shared" si="7"/>
        <v>253</v>
      </c>
      <c r="B254" s="54" t="s">
        <v>1314</v>
      </c>
      <c r="C254" s="55" t="s">
        <v>1315</v>
      </c>
      <c r="D254" s="54" t="s">
        <v>1151</v>
      </c>
      <c r="E254" s="56">
        <v>0</v>
      </c>
      <c r="F254" s="57" t="s">
        <v>1065</v>
      </c>
      <c r="G254" s="58">
        <v>40000</v>
      </c>
      <c r="H254" s="59">
        <v>40000</v>
      </c>
      <c r="I254" s="59">
        <f t="shared" si="6"/>
        <v>0</v>
      </c>
    </row>
    <row r="255" spans="1:9" customFormat="1" x14ac:dyDescent="0.35">
      <c r="A255" s="63">
        <f t="shared" si="7"/>
        <v>254</v>
      </c>
      <c r="B255" s="54" t="s">
        <v>1316</v>
      </c>
      <c r="C255" s="55" t="s">
        <v>1317</v>
      </c>
      <c r="D255" s="54" t="s">
        <v>1151</v>
      </c>
      <c r="E255" s="56">
        <v>0</v>
      </c>
      <c r="F255" s="57" t="s">
        <v>792</v>
      </c>
      <c r="G255" s="58">
        <v>38000</v>
      </c>
      <c r="H255" s="59">
        <v>38000</v>
      </c>
      <c r="I255" s="59">
        <f t="shared" si="6"/>
        <v>0</v>
      </c>
    </row>
    <row r="256" spans="1:9" customFormat="1" x14ac:dyDescent="0.35">
      <c r="A256" s="63">
        <f t="shared" si="7"/>
        <v>255</v>
      </c>
      <c r="B256" s="54" t="s">
        <v>1318</v>
      </c>
      <c r="C256" s="55" t="s">
        <v>1319</v>
      </c>
      <c r="D256" s="54" t="s">
        <v>1151</v>
      </c>
      <c r="E256" s="56">
        <v>0</v>
      </c>
      <c r="F256" s="57" t="s">
        <v>844</v>
      </c>
      <c r="G256" s="58">
        <v>1547000</v>
      </c>
      <c r="H256" s="59">
        <v>2070090</v>
      </c>
      <c r="I256" s="59">
        <f t="shared" si="6"/>
        <v>0</v>
      </c>
    </row>
    <row r="257" spans="1:9" customFormat="1" x14ac:dyDescent="0.35">
      <c r="A257" s="63">
        <f t="shared" si="7"/>
        <v>256</v>
      </c>
      <c r="B257" s="54" t="s">
        <v>1320</v>
      </c>
      <c r="C257" s="55" t="s">
        <v>1321</v>
      </c>
      <c r="D257" s="54" t="s">
        <v>1151</v>
      </c>
      <c r="E257" s="56">
        <v>0</v>
      </c>
      <c r="F257" s="57" t="s">
        <v>1322</v>
      </c>
      <c r="G257" s="58">
        <v>3963000</v>
      </c>
      <c r="H257" s="59">
        <v>3963000</v>
      </c>
      <c r="I257" s="59">
        <f t="shared" si="6"/>
        <v>0</v>
      </c>
    </row>
    <row r="258" spans="1:9" customFormat="1" x14ac:dyDescent="0.35">
      <c r="A258" s="63">
        <f t="shared" si="7"/>
        <v>257</v>
      </c>
      <c r="B258" s="54" t="s">
        <v>1323</v>
      </c>
      <c r="C258" s="55" t="s">
        <v>1324</v>
      </c>
      <c r="D258" s="54" t="s">
        <v>1151</v>
      </c>
      <c r="E258" s="56">
        <v>0</v>
      </c>
      <c r="F258" s="57" t="s">
        <v>792</v>
      </c>
      <c r="G258" s="58">
        <v>80000</v>
      </c>
      <c r="H258" s="59">
        <v>108000</v>
      </c>
      <c r="I258" s="59">
        <f t="shared" si="6"/>
        <v>0</v>
      </c>
    </row>
    <row r="259" spans="1:9" customFormat="1" x14ac:dyDescent="0.35">
      <c r="A259" s="63">
        <f t="shared" si="7"/>
        <v>258</v>
      </c>
      <c r="B259" s="54" t="s">
        <v>1325</v>
      </c>
      <c r="C259" s="55" t="s">
        <v>1326</v>
      </c>
      <c r="D259" s="54" t="s">
        <v>1151</v>
      </c>
      <c r="E259" s="56">
        <v>0</v>
      </c>
      <c r="F259" s="57" t="s">
        <v>844</v>
      </c>
      <c r="G259" s="58">
        <v>230200</v>
      </c>
      <c r="H259" s="59">
        <v>280000</v>
      </c>
      <c r="I259" s="59">
        <f t="shared" ref="I259:I322" si="8">H259*E259</f>
        <v>0</v>
      </c>
    </row>
    <row r="260" spans="1:9" customFormat="1" x14ac:dyDescent="0.35">
      <c r="A260" s="63">
        <f t="shared" ref="A260:A323" si="9">A259+1</f>
        <v>259</v>
      </c>
      <c r="B260" s="54" t="s">
        <v>1327</v>
      </c>
      <c r="C260" s="55" t="s">
        <v>1328</v>
      </c>
      <c r="D260" s="54" t="s">
        <v>1151</v>
      </c>
      <c r="E260" s="92">
        <v>32</v>
      </c>
      <c r="F260" s="57" t="s">
        <v>792</v>
      </c>
      <c r="G260" s="58">
        <v>8477</v>
      </c>
      <c r="H260" s="59">
        <v>11000</v>
      </c>
      <c r="I260" s="59">
        <f t="shared" si="8"/>
        <v>352000</v>
      </c>
    </row>
    <row r="261" spans="1:9" customFormat="1" x14ac:dyDescent="0.35">
      <c r="A261" s="63">
        <f t="shared" si="9"/>
        <v>260</v>
      </c>
      <c r="B261" s="54" t="s">
        <v>1329</v>
      </c>
      <c r="C261" s="55" t="s">
        <v>1330</v>
      </c>
      <c r="D261" s="54" t="s">
        <v>1331</v>
      </c>
      <c r="E261" s="56">
        <v>0</v>
      </c>
      <c r="F261" s="57" t="s">
        <v>969</v>
      </c>
      <c r="G261" s="58">
        <v>430000</v>
      </c>
      <c r="H261" s="59">
        <v>430000</v>
      </c>
      <c r="I261" s="59">
        <f t="shared" si="8"/>
        <v>0</v>
      </c>
    </row>
    <row r="262" spans="1:9" customFormat="1" x14ac:dyDescent="0.35">
      <c r="A262" s="63">
        <f t="shared" si="9"/>
        <v>261</v>
      </c>
      <c r="B262" s="54" t="s">
        <v>1332</v>
      </c>
      <c r="C262" s="55" t="s">
        <v>1333</v>
      </c>
      <c r="D262" s="54" t="s">
        <v>1331</v>
      </c>
      <c r="E262" s="56">
        <v>0</v>
      </c>
      <c r="F262" s="57" t="s">
        <v>969</v>
      </c>
      <c r="G262" s="58">
        <v>560000</v>
      </c>
      <c r="H262" s="59">
        <v>560000</v>
      </c>
      <c r="I262" s="59">
        <f t="shared" si="8"/>
        <v>0</v>
      </c>
    </row>
    <row r="263" spans="1:9" customFormat="1" x14ac:dyDescent="0.35">
      <c r="A263" s="63">
        <f t="shared" si="9"/>
        <v>262</v>
      </c>
      <c r="B263" s="54" t="s">
        <v>1334</v>
      </c>
      <c r="C263" s="55" t="s">
        <v>1335</v>
      </c>
      <c r="D263" s="54" t="s">
        <v>1331</v>
      </c>
      <c r="E263" s="56">
        <v>0</v>
      </c>
      <c r="F263" s="57" t="s">
        <v>969</v>
      </c>
      <c r="G263" s="58">
        <v>0</v>
      </c>
      <c r="H263" s="59">
        <v>0</v>
      </c>
      <c r="I263" s="59">
        <f t="shared" si="8"/>
        <v>0</v>
      </c>
    </row>
    <row r="264" spans="1:9" customFormat="1" x14ac:dyDescent="0.35">
      <c r="A264" s="63">
        <f t="shared" si="9"/>
        <v>263</v>
      </c>
      <c r="B264" s="54" t="s">
        <v>1336</v>
      </c>
      <c r="C264" s="55" t="s">
        <v>1337</v>
      </c>
      <c r="D264" s="54" t="s">
        <v>1331</v>
      </c>
      <c r="E264" s="56">
        <v>0</v>
      </c>
      <c r="F264" s="57" t="s">
        <v>878</v>
      </c>
      <c r="G264" s="58">
        <v>35000</v>
      </c>
      <c r="H264" s="59">
        <v>35000</v>
      </c>
      <c r="I264" s="59">
        <f t="shared" si="8"/>
        <v>0</v>
      </c>
    </row>
    <row r="265" spans="1:9" customFormat="1" x14ac:dyDescent="0.35">
      <c r="A265" s="63">
        <f t="shared" si="9"/>
        <v>264</v>
      </c>
      <c r="B265" s="54" t="s">
        <v>1338</v>
      </c>
      <c r="C265" s="55" t="s">
        <v>1339</v>
      </c>
      <c r="D265" s="54" t="s">
        <v>1331</v>
      </c>
      <c r="E265" s="56">
        <v>0</v>
      </c>
      <c r="F265" s="57" t="s">
        <v>969</v>
      </c>
      <c r="G265" s="58">
        <v>1140000</v>
      </c>
      <c r="H265" s="59">
        <v>1512000</v>
      </c>
      <c r="I265" s="59">
        <f t="shared" si="8"/>
        <v>0</v>
      </c>
    </row>
    <row r="266" spans="1:9" customFormat="1" ht="23" x14ac:dyDescent="0.35">
      <c r="A266" s="63">
        <f t="shared" si="9"/>
        <v>265</v>
      </c>
      <c r="B266" s="54" t="s">
        <v>1340</v>
      </c>
      <c r="C266" s="55" t="s">
        <v>1341</v>
      </c>
      <c r="D266" s="54" t="s">
        <v>1331</v>
      </c>
      <c r="E266" s="56">
        <v>0</v>
      </c>
      <c r="F266" s="57" t="s">
        <v>844</v>
      </c>
      <c r="G266" s="58">
        <v>0</v>
      </c>
      <c r="H266" s="59">
        <v>363750</v>
      </c>
      <c r="I266" s="59">
        <f t="shared" si="8"/>
        <v>0</v>
      </c>
    </row>
    <row r="267" spans="1:9" customFormat="1" x14ac:dyDescent="0.35">
      <c r="A267" s="63">
        <f t="shared" si="9"/>
        <v>266</v>
      </c>
      <c r="B267" s="54" t="s">
        <v>1342</v>
      </c>
      <c r="C267" s="55" t="s">
        <v>1343</v>
      </c>
      <c r="D267" s="54" t="s">
        <v>1331</v>
      </c>
      <c r="E267" s="56">
        <v>0</v>
      </c>
      <c r="F267" s="57" t="s">
        <v>792</v>
      </c>
      <c r="G267" s="58">
        <v>15042891.5</v>
      </c>
      <c r="H267" s="59">
        <v>15922500</v>
      </c>
      <c r="I267" s="59">
        <f t="shared" si="8"/>
        <v>0</v>
      </c>
    </row>
    <row r="268" spans="1:9" customFormat="1" x14ac:dyDescent="0.35">
      <c r="A268" s="63">
        <f t="shared" si="9"/>
        <v>267</v>
      </c>
      <c r="B268" s="54" t="s">
        <v>1344</v>
      </c>
      <c r="C268" s="55" t="s">
        <v>1345</v>
      </c>
      <c r="D268" s="54" t="s">
        <v>1331</v>
      </c>
      <c r="E268" s="56">
        <v>0</v>
      </c>
      <c r="F268" s="57" t="s">
        <v>792</v>
      </c>
      <c r="G268" s="58">
        <v>230000</v>
      </c>
      <c r="H268" s="59">
        <v>230000</v>
      </c>
      <c r="I268" s="59">
        <f t="shared" si="8"/>
        <v>0</v>
      </c>
    </row>
    <row r="269" spans="1:9" customFormat="1" x14ac:dyDescent="0.35">
      <c r="A269" s="63">
        <f t="shared" si="9"/>
        <v>268</v>
      </c>
      <c r="B269" s="54" t="s">
        <v>1346</v>
      </c>
      <c r="C269" s="55" t="s">
        <v>1347</v>
      </c>
      <c r="D269" s="54" t="s">
        <v>1331</v>
      </c>
      <c r="E269" s="56">
        <v>0</v>
      </c>
      <c r="F269" s="57" t="s">
        <v>792</v>
      </c>
      <c r="G269" s="58">
        <v>111000</v>
      </c>
      <c r="H269" s="59">
        <v>110000</v>
      </c>
      <c r="I269" s="59">
        <f t="shared" si="8"/>
        <v>0</v>
      </c>
    </row>
    <row r="270" spans="1:9" customFormat="1" x14ac:dyDescent="0.35">
      <c r="A270" s="63">
        <f t="shared" si="9"/>
        <v>269</v>
      </c>
      <c r="B270" s="54" t="s">
        <v>1348</v>
      </c>
      <c r="C270" s="55" t="s">
        <v>1349</v>
      </c>
      <c r="D270" s="54" t="s">
        <v>1331</v>
      </c>
      <c r="E270" s="56">
        <v>0</v>
      </c>
      <c r="F270" s="57" t="s">
        <v>792</v>
      </c>
      <c r="G270" s="58">
        <v>130500</v>
      </c>
      <c r="H270" s="59">
        <v>130000</v>
      </c>
      <c r="I270" s="59">
        <f t="shared" si="8"/>
        <v>0</v>
      </c>
    </row>
    <row r="271" spans="1:9" customFormat="1" x14ac:dyDescent="0.35">
      <c r="A271" s="63">
        <f t="shared" si="9"/>
        <v>270</v>
      </c>
      <c r="B271" s="54" t="s">
        <v>1350</v>
      </c>
      <c r="C271" s="55" t="s">
        <v>1351</v>
      </c>
      <c r="D271" s="54" t="s">
        <v>1331</v>
      </c>
      <c r="E271" s="56">
        <v>0</v>
      </c>
      <c r="F271" s="57" t="s">
        <v>792</v>
      </c>
      <c r="G271" s="58">
        <v>65000</v>
      </c>
      <c r="H271" s="59">
        <v>65000</v>
      </c>
      <c r="I271" s="59">
        <f t="shared" si="8"/>
        <v>0</v>
      </c>
    </row>
    <row r="272" spans="1:9" customFormat="1" x14ac:dyDescent="0.35">
      <c r="A272" s="63">
        <f t="shared" si="9"/>
        <v>271</v>
      </c>
      <c r="B272" s="54" t="s">
        <v>1352</v>
      </c>
      <c r="C272" s="55" t="s">
        <v>1353</v>
      </c>
      <c r="D272" s="54" t="s">
        <v>1331</v>
      </c>
      <c r="E272" s="56">
        <v>0</v>
      </c>
      <c r="F272" s="57" t="s">
        <v>792</v>
      </c>
      <c r="G272" s="58">
        <v>0</v>
      </c>
      <c r="H272" s="59">
        <v>91000</v>
      </c>
      <c r="I272" s="59">
        <f t="shared" si="8"/>
        <v>0</v>
      </c>
    </row>
    <row r="273" spans="1:9" customFormat="1" x14ac:dyDescent="0.35">
      <c r="A273" s="63">
        <f t="shared" si="9"/>
        <v>272</v>
      </c>
      <c r="B273" s="54" t="s">
        <v>1354</v>
      </c>
      <c r="C273" s="55" t="s">
        <v>1355</v>
      </c>
      <c r="D273" s="54" t="s">
        <v>1331</v>
      </c>
      <c r="E273" s="56">
        <v>0</v>
      </c>
      <c r="F273" s="57" t="s">
        <v>792</v>
      </c>
      <c r="G273" s="58">
        <v>30000</v>
      </c>
      <c r="H273" s="59">
        <v>30000</v>
      </c>
      <c r="I273" s="59">
        <f t="shared" si="8"/>
        <v>0</v>
      </c>
    </row>
    <row r="274" spans="1:9" customFormat="1" x14ac:dyDescent="0.35">
      <c r="A274" s="63">
        <f t="shared" si="9"/>
        <v>273</v>
      </c>
      <c r="B274" s="54" t="s">
        <v>1356</v>
      </c>
      <c r="C274" s="55" t="s">
        <v>1357</v>
      </c>
      <c r="D274" s="54" t="s">
        <v>1331</v>
      </c>
      <c r="E274" s="56">
        <v>0</v>
      </c>
      <c r="F274" s="57" t="s">
        <v>994</v>
      </c>
      <c r="G274" s="58">
        <v>20000</v>
      </c>
      <c r="H274" s="59">
        <v>28000</v>
      </c>
      <c r="I274" s="59">
        <f t="shared" si="8"/>
        <v>0</v>
      </c>
    </row>
    <row r="275" spans="1:9" customFormat="1" x14ac:dyDescent="0.35">
      <c r="A275" s="63">
        <f t="shared" si="9"/>
        <v>274</v>
      </c>
      <c r="B275" s="54" t="s">
        <v>1358</v>
      </c>
      <c r="C275" s="55" t="s">
        <v>1359</v>
      </c>
      <c r="D275" s="54" t="s">
        <v>1331</v>
      </c>
      <c r="E275" s="56">
        <v>0</v>
      </c>
      <c r="F275" s="57" t="s">
        <v>878</v>
      </c>
      <c r="G275" s="58">
        <v>16000</v>
      </c>
      <c r="H275" s="59">
        <v>22400</v>
      </c>
      <c r="I275" s="59">
        <f t="shared" si="8"/>
        <v>0</v>
      </c>
    </row>
    <row r="276" spans="1:9" customFormat="1" x14ac:dyDescent="0.35">
      <c r="A276" s="63">
        <f t="shared" si="9"/>
        <v>275</v>
      </c>
      <c r="B276" s="54" t="s">
        <v>1360</v>
      </c>
      <c r="C276" s="55" t="s">
        <v>1361</v>
      </c>
      <c r="D276" s="54" t="s">
        <v>1331</v>
      </c>
      <c r="E276" s="56">
        <v>0</v>
      </c>
      <c r="F276" s="57" t="s">
        <v>878</v>
      </c>
      <c r="G276" s="58">
        <v>15500</v>
      </c>
      <c r="H276" s="59">
        <v>21700</v>
      </c>
      <c r="I276" s="59">
        <f t="shared" si="8"/>
        <v>0</v>
      </c>
    </row>
    <row r="277" spans="1:9" customFormat="1" x14ac:dyDescent="0.35">
      <c r="A277" s="63">
        <f t="shared" si="9"/>
        <v>276</v>
      </c>
      <c r="B277" s="54" t="s">
        <v>1362</v>
      </c>
      <c r="C277" s="55" t="s">
        <v>1363</v>
      </c>
      <c r="D277" s="54" t="s">
        <v>1331</v>
      </c>
      <c r="E277" s="56">
        <v>0</v>
      </c>
      <c r="F277" s="57" t="s">
        <v>878</v>
      </c>
      <c r="G277" s="58">
        <v>600</v>
      </c>
      <c r="H277" s="59">
        <v>600</v>
      </c>
      <c r="I277" s="59">
        <f t="shared" si="8"/>
        <v>0</v>
      </c>
    </row>
    <row r="278" spans="1:9" customFormat="1" x14ac:dyDescent="0.35">
      <c r="A278" s="63">
        <f t="shared" si="9"/>
        <v>277</v>
      </c>
      <c r="B278" s="54" t="s">
        <v>1364</v>
      </c>
      <c r="C278" s="55" t="s">
        <v>1365</v>
      </c>
      <c r="D278" s="54" t="s">
        <v>1331</v>
      </c>
      <c r="E278" s="56">
        <v>0</v>
      </c>
      <c r="F278" s="57" t="s">
        <v>792</v>
      </c>
      <c r="G278" s="58">
        <v>270000</v>
      </c>
      <c r="H278" s="59">
        <v>270000</v>
      </c>
      <c r="I278" s="59">
        <f t="shared" si="8"/>
        <v>0</v>
      </c>
    </row>
    <row r="279" spans="1:9" customFormat="1" x14ac:dyDescent="0.35">
      <c r="A279" s="63">
        <f t="shared" si="9"/>
        <v>278</v>
      </c>
      <c r="B279" s="54" t="s">
        <v>1366</v>
      </c>
      <c r="C279" s="55" t="s">
        <v>1367</v>
      </c>
      <c r="D279" s="54" t="s">
        <v>1331</v>
      </c>
      <c r="E279" s="56">
        <v>0</v>
      </c>
      <c r="F279" s="57" t="s">
        <v>792</v>
      </c>
      <c r="G279" s="58">
        <v>28600</v>
      </c>
      <c r="H279" s="59">
        <v>32200</v>
      </c>
      <c r="I279" s="59">
        <f t="shared" si="8"/>
        <v>0</v>
      </c>
    </row>
    <row r="280" spans="1:9" customFormat="1" x14ac:dyDescent="0.35">
      <c r="A280" s="63">
        <f t="shared" si="9"/>
        <v>279</v>
      </c>
      <c r="B280" s="54" t="s">
        <v>1368</v>
      </c>
      <c r="C280" s="55" t="s">
        <v>1369</v>
      </c>
      <c r="D280" s="54" t="s">
        <v>1331</v>
      </c>
      <c r="E280" s="56">
        <v>0</v>
      </c>
      <c r="F280" s="57" t="s">
        <v>792</v>
      </c>
      <c r="G280" s="58">
        <v>53200</v>
      </c>
      <c r="H280" s="59">
        <v>53200</v>
      </c>
      <c r="I280" s="59">
        <f t="shared" si="8"/>
        <v>0</v>
      </c>
    </row>
    <row r="281" spans="1:9" customFormat="1" x14ac:dyDescent="0.35">
      <c r="A281" s="63">
        <f t="shared" si="9"/>
        <v>280</v>
      </c>
      <c r="B281" s="54" t="s">
        <v>1370</v>
      </c>
      <c r="C281" s="55" t="s">
        <v>1371</v>
      </c>
      <c r="D281" s="54" t="s">
        <v>1331</v>
      </c>
      <c r="E281" s="56">
        <v>0</v>
      </c>
      <c r="F281" s="57" t="s">
        <v>792</v>
      </c>
      <c r="G281" s="58">
        <v>13000</v>
      </c>
      <c r="H281" s="59">
        <v>13000</v>
      </c>
      <c r="I281" s="59">
        <f t="shared" si="8"/>
        <v>0</v>
      </c>
    </row>
    <row r="282" spans="1:9" customFormat="1" x14ac:dyDescent="0.35">
      <c r="A282" s="63">
        <f t="shared" si="9"/>
        <v>281</v>
      </c>
      <c r="B282" s="54" t="s">
        <v>1372</v>
      </c>
      <c r="C282" s="55" t="s">
        <v>1373</v>
      </c>
      <c r="D282" s="54" t="s">
        <v>1331</v>
      </c>
      <c r="E282" s="56">
        <v>0</v>
      </c>
      <c r="F282" s="57" t="s">
        <v>974</v>
      </c>
      <c r="G282" s="58">
        <v>229000</v>
      </c>
      <c r="H282" s="59">
        <v>229000</v>
      </c>
      <c r="I282" s="59">
        <f t="shared" si="8"/>
        <v>0</v>
      </c>
    </row>
    <row r="283" spans="1:9" customFormat="1" x14ac:dyDescent="0.35">
      <c r="A283" s="63">
        <f t="shared" si="9"/>
        <v>282</v>
      </c>
      <c r="B283" s="54" t="s">
        <v>1374</v>
      </c>
      <c r="C283" s="55" t="s">
        <v>1375</v>
      </c>
      <c r="D283" s="54" t="s">
        <v>1331</v>
      </c>
      <c r="E283" s="56">
        <v>0</v>
      </c>
      <c r="F283" s="57" t="s">
        <v>1376</v>
      </c>
      <c r="G283" s="58">
        <v>375000</v>
      </c>
      <c r="H283" s="59">
        <v>375000</v>
      </c>
      <c r="I283" s="59">
        <f t="shared" si="8"/>
        <v>0</v>
      </c>
    </row>
    <row r="284" spans="1:9" customFormat="1" x14ac:dyDescent="0.35">
      <c r="A284" s="63">
        <f t="shared" si="9"/>
        <v>283</v>
      </c>
      <c r="B284" s="54" t="s">
        <v>1377</v>
      </c>
      <c r="C284" s="55" t="s">
        <v>1378</v>
      </c>
      <c r="D284" s="54" t="s">
        <v>1331</v>
      </c>
      <c r="E284" s="56">
        <v>0</v>
      </c>
      <c r="F284" s="57" t="s">
        <v>1376</v>
      </c>
      <c r="G284" s="58">
        <v>375000</v>
      </c>
      <c r="H284" s="59">
        <v>375000</v>
      </c>
      <c r="I284" s="59">
        <f t="shared" si="8"/>
        <v>0</v>
      </c>
    </row>
    <row r="285" spans="1:9" customFormat="1" x14ac:dyDescent="0.35">
      <c r="A285" s="63">
        <f t="shared" si="9"/>
        <v>284</v>
      </c>
      <c r="B285" s="54" t="s">
        <v>1379</v>
      </c>
      <c r="C285" s="55" t="s">
        <v>1380</v>
      </c>
      <c r="D285" s="54" t="s">
        <v>1331</v>
      </c>
      <c r="E285" s="56">
        <v>0</v>
      </c>
      <c r="F285" s="57" t="s">
        <v>878</v>
      </c>
      <c r="G285" s="58">
        <v>1120500</v>
      </c>
      <c r="H285" s="59">
        <v>1120500</v>
      </c>
      <c r="I285" s="59">
        <f t="shared" si="8"/>
        <v>0</v>
      </c>
    </row>
    <row r="286" spans="1:9" customFormat="1" x14ac:dyDescent="0.35">
      <c r="A286" s="63">
        <f t="shared" si="9"/>
        <v>285</v>
      </c>
      <c r="B286" s="54" t="s">
        <v>1381</v>
      </c>
      <c r="C286" s="55" t="s">
        <v>1382</v>
      </c>
      <c r="D286" s="54" t="s">
        <v>1331</v>
      </c>
      <c r="E286" s="56">
        <v>0</v>
      </c>
      <c r="F286" s="57" t="s">
        <v>792</v>
      </c>
      <c r="G286" s="58">
        <v>28000</v>
      </c>
      <c r="H286" s="59">
        <v>28000</v>
      </c>
      <c r="I286" s="59">
        <f t="shared" si="8"/>
        <v>0</v>
      </c>
    </row>
    <row r="287" spans="1:9" customFormat="1" x14ac:dyDescent="0.35">
      <c r="A287" s="63">
        <f t="shared" si="9"/>
        <v>286</v>
      </c>
      <c r="B287" s="54" t="s">
        <v>1383</v>
      </c>
      <c r="C287" s="55" t="s">
        <v>1384</v>
      </c>
      <c r="D287" s="54" t="s">
        <v>1331</v>
      </c>
      <c r="E287" s="56">
        <v>0</v>
      </c>
      <c r="F287" s="57" t="s">
        <v>1217</v>
      </c>
      <c r="G287" s="58">
        <v>2000</v>
      </c>
      <c r="H287" s="59">
        <v>2000</v>
      </c>
      <c r="I287" s="59">
        <f t="shared" si="8"/>
        <v>0</v>
      </c>
    </row>
    <row r="288" spans="1:9" customFormat="1" x14ac:dyDescent="0.35">
      <c r="A288" s="63">
        <f t="shared" si="9"/>
        <v>287</v>
      </c>
      <c r="B288" s="54" t="s">
        <v>1385</v>
      </c>
      <c r="C288" s="55" t="s">
        <v>1386</v>
      </c>
      <c r="D288" s="54" t="s">
        <v>1331</v>
      </c>
      <c r="E288" s="56">
        <v>0</v>
      </c>
      <c r="F288" s="57" t="s">
        <v>792</v>
      </c>
      <c r="G288" s="58">
        <v>3000</v>
      </c>
      <c r="H288" s="59">
        <v>3000</v>
      </c>
      <c r="I288" s="59">
        <f t="shared" si="8"/>
        <v>0</v>
      </c>
    </row>
    <row r="289" spans="1:9" customFormat="1" x14ac:dyDescent="0.35">
      <c r="A289" s="63">
        <f t="shared" si="9"/>
        <v>288</v>
      </c>
      <c r="B289" s="54" t="s">
        <v>1387</v>
      </c>
      <c r="C289" s="55" t="s">
        <v>1388</v>
      </c>
      <c r="D289" s="54" t="s">
        <v>1331</v>
      </c>
      <c r="E289" s="56">
        <v>0</v>
      </c>
      <c r="F289" s="57" t="s">
        <v>974</v>
      </c>
      <c r="G289" s="58">
        <v>4500</v>
      </c>
      <c r="H289" s="59">
        <v>9922.5</v>
      </c>
      <c r="I289" s="59">
        <f t="shared" si="8"/>
        <v>0</v>
      </c>
    </row>
    <row r="290" spans="1:9" customFormat="1" x14ac:dyDescent="0.35">
      <c r="A290" s="63">
        <f t="shared" si="9"/>
        <v>289</v>
      </c>
      <c r="B290" s="54" t="s">
        <v>1389</v>
      </c>
      <c r="C290" s="55" t="s">
        <v>1390</v>
      </c>
      <c r="D290" s="54" t="s">
        <v>1331</v>
      </c>
      <c r="E290" s="56">
        <v>0</v>
      </c>
      <c r="F290" s="57" t="s">
        <v>792</v>
      </c>
      <c r="G290" s="58">
        <v>0</v>
      </c>
      <c r="H290" s="59">
        <v>1521000</v>
      </c>
      <c r="I290" s="59">
        <f t="shared" si="8"/>
        <v>0</v>
      </c>
    </row>
    <row r="291" spans="1:9" customFormat="1" x14ac:dyDescent="0.35">
      <c r="A291" s="63">
        <f t="shared" si="9"/>
        <v>290</v>
      </c>
      <c r="B291" s="54" t="s">
        <v>1391</v>
      </c>
      <c r="C291" s="55" t="s">
        <v>1392</v>
      </c>
      <c r="D291" s="54" t="s">
        <v>1331</v>
      </c>
      <c r="E291" s="56">
        <v>0</v>
      </c>
      <c r="F291" s="57" t="s">
        <v>878</v>
      </c>
      <c r="G291" s="58">
        <v>100000</v>
      </c>
      <c r="H291" s="59">
        <v>100000</v>
      </c>
      <c r="I291" s="59">
        <f t="shared" si="8"/>
        <v>0</v>
      </c>
    </row>
    <row r="292" spans="1:9" customFormat="1" x14ac:dyDescent="0.35">
      <c r="A292" s="63">
        <f t="shared" si="9"/>
        <v>291</v>
      </c>
      <c r="B292" s="54" t="s">
        <v>1393</v>
      </c>
      <c r="C292" s="55" t="s">
        <v>1394</v>
      </c>
      <c r="D292" s="54" t="s">
        <v>1331</v>
      </c>
      <c r="E292" s="56">
        <v>0</v>
      </c>
      <c r="F292" s="57" t="s">
        <v>792</v>
      </c>
      <c r="G292" s="58">
        <v>10000</v>
      </c>
      <c r="H292" s="59">
        <v>10000</v>
      </c>
      <c r="I292" s="59">
        <f t="shared" si="8"/>
        <v>0</v>
      </c>
    </row>
    <row r="293" spans="1:9" customFormat="1" x14ac:dyDescent="0.35">
      <c r="A293" s="63">
        <f t="shared" si="9"/>
        <v>292</v>
      </c>
      <c r="B293" s="54" t="s">
        <v>1395</v>
      </c>
      <c r="C293" s="55" t="s">
        <v>1396</v>
      </c>
      <c r="D293" s="54" t="s">
        <v>1331</v>
      </c>
      <c r="E293" s="56">
        <v>0</v>
      </c>
      <c r="F293" s="57" t="s">
        <v>815</v>
      </c>
      <c r="G293" s="58">
        <v>4000</v>
      </c>
      <c r="H293" s="59">
        <v>5600</v>
      </c>
      <c r="I293" s="59">
        <f t="shared" si="8"/>
        <v>0</v>
      </c>
    </row>
    <row r="294" spans="1:9" customFormat="1" x14ac:dyDescent="0.35">
      <c r="A294" s="63">
        <f t="shared" si="9"/>
        <v>293</v>
      </c>
      <c r="B294" s="54" t="s">
        <v>1397</v>
      </c>
      <c r="C294" s="55" t="s">
        <v>1398</v>
      </c>
      <c r="D294" s="54" t="s">
        <v>1331</v>
      </c>
      <c r="E294" s="56">
        <v>0</v>
      </c>
      <c r="F294" s="57" t="s">
        <v>792</v>
      </c>
      <c r="G294" s="58">
        <v>5000</v>
      </c>
      <c r="H294" s="59">
        <v>5000</v>
      </c>
      <c r="I294" s="59">
        <f t="shared" si="8"/>
        <v>0</v>
      </c>
    </row>
    <row r="295" spans="1:9" customFormat="1" x14ac:dyDescent="0.35">
      <c r="A295" s="63">
        <f t="shared" si="9"/>
        <v>294</v>
      </c>
      <c r="B295" s="54" t="s">
        <v>1399</v>
      </c>
      <c r="C295" s="55" t="s">
        <v>1400</v>
      </c>
      <c r="D295" s="54" t="s">
        <v>1331</v>
      </c>
      <c r="E295" s="56">
        <v>0</v>
      </c>
      <c r="F295" s="57" t="s">
        <v>792</v>
      </c>
      <c r="G295" s="58">
        <v>350000</v>
      </c>
      <c r="H295" s="59">
        <v>250000</v>
      </c>
      <c r="I295" s="59">
        <f t="shared" si="8"/>
        <v>0</v>
      </c>
    </row>
    <row r="296" spans="1:9" customFormat="1" x14ac:dyDescent="0.35">
      <c r="A296" s="63">
        <f t="shared" si="9"/>
        <v>295</v>
      </c>
      <c r="B296" s="54" t="s">
        <v>1401</v>
      </c>
      <c r="C296" s="55" t="s">
        <v>1402</v>
      </c>
      <c r="D296" s="54" t="s">
        <v>1331</v>
      </c>
      <c r="E296" s="56">
        <v>0</v>
      </c>
      <c r="F296" s="57" t="s">
        <v>792</v>
      </c>
      <c r="G296" s="58">
        <v>9500</v>
      </c>
      <c r="H296" s="59">
        <v>9500</v>
      </c>
      <c r="I296" s="59">
        <f t="shared" si="8"/>
        <v>0</v>
      </c>
    </row>
    <row r="297" spans="1:9" customFormat="1" x14ac:dyDescent="0.35">
      <c r="A297" s="63">
        <f t="shared" si="9"/>
        <v>296</v>
      </c>
      <c r="B297" s="54" t="s">
        <v>1403</v>
      </c>
      <c r="C297" s="55" t="s">
        <v>1404</v>
      </c>
      <c r="D297" s="54" t="s">
        <v>1331</v>
      </c>
      <c r="E297" s="56">
        <v>0</v>
      </c>
      <c r="F297" s="57" t="s">
        <v>792</v>
      </c>
      <c r="G297" s="58">
        <v>16000</v>
      </c>
      <c r="H297" s="59">
        <v>16000</v>
      </c>
      <c r="I297" s="59">
        <f t="shared" si="8"/>
        <v>0</v>
      </c>
    </row>
    <row r="298" spans="1:9" customFormat="1" x14ac:dyDescent="0.35">
      <c r="A298" s="63">
        <f t="shared" si="9"/>
        <v>297</v>
      </c>
      <c r="B298" s="54" t="s">
        <v>1405</v>
      </c>
      <c r="C298" s="55" t="s">
        <v>1406</v>
      </c>
      <c r="D298" s="54" t="s">
        <v>1331</v>
      </c>
      <c r="E298" s="56">
        <v>0</v>
      </c>
      <c r="F298" s="57" t="s">
        <v>870</v>
      </c>
      <c r="G298" s="58">
        <v>70000</v>
      </c>
      <c r="H298" s="59">
        <v>70000</v>
      </c>
      <c r="I298" s="59">
        <f t="shared" si="8"/>
        <v>0</v>
      </c>
    </row>
    <row r="299" spans="1:9" customFormat="1" x14ac:dyDescent="0.35">
      <c r="A299" s="63">
        <f t="shared" si="9"/>
        <v>298</v>
      </c>
      <c r="B299" s="54" t="s">
        <v>1407</v>
      </c>
      <c r="C299" s="55" t="s">
        <v>1408</v>
      </c>
      <c r="D299" s="54" t="s">
        <v>1331</v>
      </c>
      <c r="E299" s="56">
        <v>0</v>
      </c>
      <c r="F299" s="57" t="s">
        <v>815</v>
      </c>
      <c r="G299" s="58">
        <v>7000</v>
      </c>
      <c r="H299" s="59">
        <v>7000</v>
      </c>
      <c r="I299" s="59">
        <f t="shared" si="8"/>
        <v>0</v>
      </c>
    </row>
    <row r="300" spans="1:9" customFormat="1" x14ac:dyDescent="0.35">
      <c r="A300" s="63">
        <f t="shared" si="9"/>
        <v>299</v>
      </c>
      <c r="B300" s="54" t="s">
        <v>1409</v>
      </c>
      <c r="C300" s="55" t="s">
        <v>1410</v>
      </c>
      <c r="D300" s="54" t="s">
        <v>1331</v>
      </c>
      <c r="E300" s="56">
        <v>0</v>
      </c>
      <c r="F300" s="57" t="s">
        <v>792</v>
      </c>
      <c r="G300" s="58">
        <v>183448</v>
      </c>
      <c r="H300" s="59">
        <v>183448</v>
      </c>
      <c r="I300" s="59">
        <f t="shared" si="8"/>
        <v>0</v>
      </c>
    </row>
    <row r="301" spans="1:9" customFormat="1" x14ac:dyDescent="0.35">
      <c r="A301" s="63">
        <f t="shared" si="9"/>
        <v>300</v>
      </c>
      <c r="B301" s="54" t="s">
        <v>1411</v>
      </c>
      <c r="C301" s="55" t="s">
        <v>1412</v>
      </c>
      <c r="D301" s="54" t="s">
        <v>1331</v>
      </c>
      <c r="E301" s="56">
        <v>0</v>
      </c>
      <c r="F301" s="57" t="s">
        <v>792</v>
      </c>
      <c r="G301" s="58">
        <v>29250</v>
      </c>
      <c r="H301" s="59">
        <v>29250</v>
      </c>
      <c r="I301" s="59">
        <f t="shared" si="8"/>
        <v>0</v>
      </c>
    </row>
    <row r="302" spans="1:9" customFormat="1" x14ac:dyDescent="0.35">
      <c r="A302" s="63">
        <f t="shared" si="9"/>
        <v>301</v>
      </c>
      <c r="B302" s="54" t="s">
        <v>1413</v>
      </c>
      <c r="C302" s="55" t="s">
        <v>1414</v>
      </c>
      <c r="D302" s="54" t="s">
        <v>1331</v>
      </c>
      <c r="E302" s="56">
        <v>0</v>
      </c>
      <c r="F302" s="57" t="s">
        <v>792</v>
      </c>
      <c r="G302" s="58">
        <v>7500</v>
      </c>
      <c r="H302" s="59">
        <v>5000</v>
      </c>
      <c r="I302" s="59">
        <f t="shared" si="8"/>
        <v>0</v>
      </c>
    </row>
    <row r="303" spans="1:9" customFormat="1" x14ac:dyDescent="0.35">
      <c r="A303" s="63">
        <f t="shared" si="9"/>
        <v>302</v>
      </c>
      <c r="B303" s="54" t="s">
        <v>1415</v>
      </c>
      <c r="C303" s="55" t="s">
        <v>1416</v>
      </c>
      <c r="D303" s="54" t="s">
        <v>1331</v>
      </c>
      <c r="E303" s="56">
        <v>0</v>
      </c>
      <c r="F303" s="57" t="s">
        <v>792</v>
      </c>
      <c r="G303" s="58">
        <v>7500</v>
      </c>
      <c r="H303" s="59">
        <v>5000</v>
      </c>
      <c r="I303" s="59">
        <f t="shared" si="8"/>
        <v>0</v>
      </c>
    </row>
    <row r="304" spans="1:9" customFormat="1" x14ac:dyDescent="0.35">
      <c r="A304" s="63">
        <f t="shared" si="9"/>
        <v>303</v>
      </c>
      <c r="B304" s="54" t="s">
        <v>1417</v>
      </c>
      <c r="C304" s="55" t="s">
        <v>1418</v>
      </c>
      <c r="D304" s="54" t="s">
        <v>1331</v>
      </c>
      <c r="E304" s="56">
        <v>0</v>
      </c>
      <c r="F304" s="57" t="s">
        <v>792</v>
      </c>
      <c r="G304" s="58">
        <v>3264000</v>
      </c>
      <c r="H304" s="59">
        <v>4824540</v>
      </c>
      <c r="I304" s="59">
        <f t="shared" si="8"/>
        <v>0</v>
      </c>
    </row>
    <row r="305" spans="1:9" customFormat="1" x14ac:dyDescent="0.35">
      <c r="A305" s="63">
        <f t="shared" si="9"/>
        <v>304</v>
      </c>
      <c r="B305" s="54" t="s">
        <v>1419</v>
      </c>
      <c r="C305" s="55" t="s">
        <v>1420</v>
      </c>
      <c r="D305" s="54" t="s">
        <v>1331</v>
      </c>
      <c r="E305" s="56">
        <v>0</v>
      </c>
      <c r="F305" s="57" t="s">
        <v>878</v>
      </c>
      <c r="G305" s="58">
        <v>30000</v>
      </c>
      <c r="H305" s="59">
        <v>30000</v>
      </c>
      <c r="I305" s="59">
        <f t="shared" si="8"/>
        <v>0</v>
      </c>
    </row>
    <row r="306" spans="1:9" customFormat="1" x14ac:dyDescent="0.35">
      <c r="A306" s="63">
        <f t="shared" si="9"/>
        <v>305</v>
      </c>
      <c r="B306" s="54" t="s">
        <v>1421</v>
      </c>
      <c r="C306" s="55" t="s">
        <v>1422</v>
      </c>
      <c r="D306" s="54" t="s">
        <v>1331</v>
      </c>
      <c r="E306" s="56">
        <v>0</v>
      </c>
      <c r="F306" s="57" t="s">
        <v>792</v>
      </c>
      <c r="G306" s="58">
        <v>281250</v>
      </c>
      <c r="H306" s="59">
        <v>490000</v>
      </c>
      <c r="I306" s="59">
        <f t="shared" si="8"/>
        <v>0</v>
      </c>
    </row>
    <row r="307" spans="1:9" customFormat="1" x14ac:dyDescent="0.35">
      <c r="A307" s="63">
        <f t="shared" si="9"/>
        <v>306</v>
      </c>
      <c r="B307" s="54" t="s">
        <v>1423</v>
      </c>
      <c r="C307" s="55" t="s">
        <v>1424</v>
      </c>
      <c r="D307" s="54" t="s">
        <v>1331</v>
      </c>
      <c r="E307" s="56">
        <v>0</v>
      </c>
      <c r="F307" s="57" t="s">
        <v>792</v>
      </c>
      <c r="G307" s="58">
        <v>337741.25</v>
      </c>
      <c r="H307" s="59">
        <v>413000</v>
      </c>
      <c r="I307" s="59">
        <f t="shared" si="8"/>
        <v>0</v>
      </c>
    </row>
    <row r="308" spans="1:9" customFormat="1" x14ac:dyDescent="0.35">
      <c r="A308" s="63">
        <f t="shared" si="9"/>
        <v>307</v>
      </c>
      <c r="B308" s="54" t="s">
        <v>1425</v>
      </c>
      <c r="C308" s="55" t="s">
        <v>1426</v>
      </c>
      <c r="D308" s="54" t="s">
        <v>1331</v>
      </c>
      <c r="E308" s="56">
        <v>0</v>
      </c>
      <c r="F308" s="57" t="s">
        <v>792</v>
      </c>
      <c r="G308" s="58">
        <v>337741.25</v>
      </c>
      <c r="H308" s="59">
        <v>413000</v>
      </c>
      <c r="I308" s="59">
        <f t="shared" si="8"/>
        <v>0</v>
      </c>
    </row>
    <row r="309" spans="1:9" customFormat="1" x14ac:dyDescent="0.35">
      <c r="A309" s="63">
        <f t="shared" si="9"/>
        <v>308</v>
      </c>
      <c r="B309" s="54" t="s">
        <v>1427</v>
      </c>
      <c r="C309" s="55" t="s">
        <v>1428</v>
      </c>
      <c r="D309" s="54" t="s">
        <v>1331</v>
      </c>
      <c r="E309" s="56">
        <v>0</v>
      </c>
      <c r="F309" s="57" t="s">
        <v>792</v>
      </c>
      <c r="G309" s="58">
        <v>337741.25</v>
      </c>
      <c r="H309" s="59">
        <v>413000</v>
      </c>
      <c r="I309" s="59">
        <f t="shared" si="8"/>
        <v>0</v>
      </c>
    </row>
    <row r="310" spans="1:9" customFormat="1" x14ac:dyDescent="0.35">
      <c r="A310" s="63">
        <f t="shared" si="9"/>
        <v>309</v>
      </c>
      <c r="B310" s="54" t="s">
        <v>1429</v>
      </c>
      <c r="C310" s="55" t="s">
        <v>1430</v>
      </c>
      <c r="D310" s="54" t="s">
        <v>1331</v>
      </c>
      <c r="E310" s="56">
        <v>0</v>
      </c>
      <c r="F310" s="57" t="s">
        <v>1431</v>
      </c>
      <c r="G310" s="58">
        <v>62500</v>
      </c>
      <c r="H310" s="59">
        <v>62500</v>
      </c>
      <c r="I310" s="59">
        <f t="shared" si="8"/>
        <v>0</v>
      </c>
    </row>
    <row r="311" spans="1:9" customFormat="1" x14ac:dyDescent="0.35">
      <c r="A311" s="63">
        <f t="shared" si="9"/>
        <v>310</v>
      </c>
      <c r="B311" s="54" t="s">
        <v>1432</v>
      </c>
      <c r="C311" s="55" t="s">
        <v>1433</v>
      </c>
      <c r="D311" s="54" t="s">
        <v>1331</v>
      </c>
      <c r="E311" s="56">
        <v>0</v>
      </c>
      <c r="F311" s="57" t="s">
        <v>1431</v>
      </c>
      <c r="G311" s="58">
        <v>34950</v>
      </c>
      <c r="H311" s="59">
        <v>34950</v>
      </c>
      <c r="I311" s="59">
        <f t="shared" si="8"/>
        <v>0</v>
      </c>
    </row>
    <row r="312" spans="1:9" customFormat="1" x14ac:dyDescent="0.35">
      <c r="A312" s="63">
        <f t="shared" si="9"/>
        <v>311</v>
      </c>
      <c r="B312" s="54" t="s">
        <v>1434</v>
      </c>
      <c r="C312" s="55" t="s">
        <v>1435</v>
      </c>
      <c r="D312" s="54" t="s">
        <v>1331</v>
      </c>
      <c r="E312" s="56">
        <v>0</v>
      </c>
      <c r="F312" s="57" t="s">
        <v>969</v>
      </c>
      <c r="G312" s="58">
        <v>22800</v>
      </c>
      <c r="H312" s="59">
        <v>22800</v>
      </c>
      <c r="I312" s="59">
        <f t="shared" si="8"/>
        <v>0</v>
      </c>
    </row>
    <row r="313" spans="1:9" customFormat="1" x14ac:dyDescent="0.35">
      <c r="A313" s="63">
        <f t="shared" si="9"/>
        <v>312</v>
      </c>
      <c r="B313" s="54" t="s">
        <v>1436</v>
      </c>
      <c r="C313" s="55" t="s">
        <v>1437</v>
      </c>
      <c r="D313" s="54" t="s">
        <v>1331</v>
      </c>
      <c r="E313" s="56">
        <v>0</v>
      </c>
      <c r="F313" s="57" t="s">
        <v>969</v>
      </c>
      <c r="G313" s="58">
        <v>110000</v>
      </c>
      <c r="H313" s="59">
        <v>110000</v>
      </c>
      <c r="I313" s="59">
        <f t="shared" si="8"/>
        <v>0</v>
      </c>
    </row>
    <row r="314" spans="1:9" customFormat="1" x14ac:dyDescent="0.35">
      <c r="A314" s="63">
        <f t="shared" si="9"/>
        <v>313</v>
      </c>
      <c r="B314" s="54" t="s">
        <v>1438</v>
      </c>
      <c r="C314" s="55" t="s">
        <v>1439</v>
      </c>
      <c r="D314" s="54" t="s">
        <v>1331</v>
      </c>
      <c r="E314" s="56">
        <v>0</v>
      </c>
      <c r="F314" s="57" t="s">
        <v>969</v>
      </c>
      <c r="G314" s="58">
        <v>204000</v>
      </c>
      <c r="H314" s="59">
        <v>204000</v>
      </c>
      <c r="I314" s="59">
        <f t="shared" si="8"/>
        <v>0</v>
      </c>
    </row>
    <row r="315" spans="1:9" customFormat="1" x14ac:dyDescent="0.35">
      <c r="A315" s="63">
        <f t="shared" si="9"/>
        <v>314</v>
      </c>
      <c r="B315" s="54" t="s">
        <v>1440</v>
      </c>
      <c r="C315" s="55" t="s">
        <v>1441</v>
      </c>
      <c r="D315" s="54" t="s">
        <v>1331</v>
      </c>
      <c r="E315" s="56">
        <v>0</v>
      </c>
      <c r="F315" s="57" t="s">
        <v>969</v>
      </c>
      <c r="G315" s="58">
        <v>204000</v>
      </c>
      <c r="H315" s="59">
        <v>204000</v>
      </c>
      <c r="I315" s="59">
        <f t="shared" si="8"/>
        <v>0</v>
      </c>
    </row>
    <row r="316" spans="1:9" customFormat="1" x14ac:dyDescent="0.35">
      <c r="A316" s="63">
        <f t="shared" si="9"/>
        <v>315</v>
      </c>
      <c r="B316" s="54" t="s">
        <v>1442</v>
      </c>
      <c r="C316" s="55" t="s">
        <v>1443</v>
      </c>
      <c r="D316" s="54" t="s">
        <v>1331</v>
      </c>
      <c r="E316" s="56">
        <v>0</v>
      </c>
      <c r="F316" s="57" t="s">
        <v>870</v>
      </c>
      <c r="G316" s="58">
        <v>13333.33</v>
      </c>
      <c r="H316" s="59">
        <v>13333.33</v>
      </c>
      <c r="I316" s="59">
        <f t="shared" si="8"/>
        <v>0</v>
      </c>
    </row>
    <row r="317" spans="1:9" customFormat="1" x14ac:dyDescent="0.35">
      <c r="A317" s="63">
        <f t="shared" si="9"/>
        <v>316</v>
      </c>
      <c r="B317" s="54" t="s">
        <v>1444</v>
      </c>
      <c r="C317" s="55" t="s">
        <v>1445</v>
      </c>
      <c r="D317" s="54" t="s">
        <v>1331</v>
      </c>
      <c r="E317" s="56">
        <v>0</v>
      </c>
      <c r="F317" s="57" t="s">
        <v>977</v>
      </c>
      <c r="G317" s="58">
        <v>25000</v>
      </c>
      <c r="H317" s="59">
        <v>25000</v>
      </c>
      <c r="I317" s="59">
        <f t="shared" si="8"/>
        <v>0</v>
      </c>
    </row>
    <row r="318" spans="1:9" customFormat="1" x14ac:dyDescent="0.35">
      <c r="A318" s="63">
        <f t="shared" si="9"/>
        <v>317</v>
      </c>
      <c r="B318" s="54" t="s">
        <v>1446</v>
      </c>
      <c r="C318" s="55" t="s">
        <v>1447</v>
      </c>
      <c r="D318" s="54" t="s">
        <v>1331</v>
      </c>
      <c r="E318" s="56">
        <v>0</v>
      </c>
      <c r="F318" s="57" t="s">
        <v>977</v>
      </c>
      <c r="G318" s="58">
        <v>0</v>
      </c>
      <c r="H318" s="59">
        <v>22400</v>
      </c>
      <c r="I318" s="59">
        <f t="shared" si="8"/>
        <v>0</v>
      </c>
    </row>
    <row r="319" spans="1:9" customFormat="1" x14ac:dyDescent="0.35">
      <c r="A319" s="63">
        <f t="shared" si="9"/>
        <v>318</v>
      </c>
      <c r="B319" s="54" t="s">
        <v>1448</v>
      </c>
      <c r="C319" s="55" t="s">
        <v>1449</v>
      </c>
      <c r="D319" s="54" t="s">
        <v>1331</v>
      </c>
      <c r="E319" s="56">
        <v>0</v>
      </c>
      <c r="F319" s="57" t="s">
        <v>870</v>
      </c>
      <c r="G319" s="58">
        <v>21000</v>
      </c>
      <c r="H319" s="59">
        <v>21000</v>
      </c>
      <c r="I319" s="59">
        <f t="shared" si="8"/>
        <v>0</v>
      </c>
    </row>
    <row r="320" spans="1:9" customFormat="1" x14ac:dyDescent="0.35">
      <c r="A320" s="63">
        <f t="shared" si="9"/>
        <v>319</v>
      </c>
      <c r="B320" s="54" t="s">
        <v>1450</v>
      </c>
      <c r="C320" s="55" t="s">
        <v>1451</v>
      </c>
      <c r="D320" s="54" t="s">
        <v>1331</v>
      </c>
      <c r="E320" s="56">
        <v>0</v>
      </c>
      <c r="F320" s="57" t="s">
        <v>815</v>
      </c>
      <c r="G320" s="58">
        <v>3441</v>
      </c>
      <c r="H320" s="59">
        <v>4451.8630000000003</v>
      </c>
      <c r="I320" s="59">
        <f t="shared" si="8"/>
        <v>0</v>
      </c>
    </row>
    <row r="321" spans="1:9" customFormat="1" x14ac:dyDescent="0.35">
      <c r="A321" s="63">
        <f t="shared" si="9"/>
        <v>320</v>
      </c>
      <c r="B321" s="54" t="s">
        <v>1452</v>
      </c>
      <c r="C321" s="55" t="s">
        <v>1453</v>
      </c>
      <c r="D321" s="54" t="s">
        <v>1331</v>
      </c>
      <c r="E321" s="56">
        <v>0</v>
      </c>
      <c r="F321" s="57" t="s">
        <v>1376</v>
      </c>
      <c r="G321" s="58">
        <v>162000</v>
      </c>
      <c r="H321" s="59">
        <v>162000</v>
      </c>
      <c r="I321" s="59">
        <f t="shared" si="8"/>
        <v>0</v>
      </c>
    </row>
    <row r="322" spans="1:9" customFormat="1" x14ac:dyDescent="0.35">
      <c r="A322" s="63">
        <f t="shared" si="9"/>
        <v>321</v>
      </c>
      <c r="B322" s="54" t="s">
        <v>1454</v>
      </c>
      <c r="C322" s="55" t="s">
        <v>1455</v>
      </c>
      <c r="D322" s="54" t="s">
        <v>1331</v>
      </c>
      <c r="E322" s="56">
        <v>0</v>
      </c>
      <c r="F322" s="57" t="s">
        <v>1322</v>
      </c>
      <c r="G322" s="58">
        <v>743000</v>
      </c>
      <c r="H322" s="59">
        <v>741000</v>
      </c>
      <c r="I322" s="59">
        <f t="shared" si="8"/>
        <v>0</v>
      </c>
    </row>
    <row r="323" spans="1:9" customFormat="1" x14ac:dyDescent="0.35">
      <c r="A323" s="63">
        <f t="shared" si="9"/>
        <v>322</v>
      </c>
      <c r="B323" s="54" t="s">
        <v>1456</v>
      </c>
      <c r="C323" s="55" t="s">
        <v>1457</v>
      </c>
      <c r="D323" s="54" t="s">
        <v>1331</v>
      </c>
      <c r="E323" s="56">
        <v>0</v>
      </c>
      <c r="F323" s="57" t="s">
        <v>1376</v>
      </c>
      <c r="G323" s="58">
        <v>160000</v>
      </c>
      <c r="H323" s="59">
        <v>160000</v>
      </c>
      <c r="I323" s="59">
        <f t="shared" ref="I323:I386" si="10">H323*E323</f>
        <v>0</v>
      </c>
    </row>
    <row r="324" spans="1:9" customFormat="1" ht="23" x14ac:dyDescent="0.35">
      <c r="A324" s="63">
        <f t="shared" ref="A324:A387" si="11">A323+1</f>
        <v>323</v>
      </c>
      <c r="B324" s="54" t="s">
        <v>1458</v>
      </c>
      <c r="C324" s="55" t="s">
        <v>1459</v>
      </c>
      <c r="D324" s="54" t="s">
        <v>1331</v>
      </c>
      <c r="E324" s="56">
        <v>0</v>
      </c>
      <c r="F324" s="57" t="s">
        <v>1322</v>
      </c>
      <c r="G324" s="58">
        <v>741000</v>
      </c>
      <c r="H324" s="59">
        <v>741000</v>
      </c>
      <c r="I324" s="59">
        <f t="shared" si="10"/>
        <v>0</v>
      </c>
    </row>
    <row r="325" spans="1:9" customFormat="1" x14ac:dyDescent="0.35">
      <c r="A325" s="63">
        <f t="shared" si="11"/>
        <v>324</v>
      </c>
      <c r="B325" s="54" t="s">
        <v>1460</v>
      </c>
      <c r="C325" s="55" t="s">
        <v>1461</v>
      </c>
      <c r="D325" s="54" t="s">
        <v>1331</v>
      </c>
      <c r="E325" s="56">
        <v>0</v>
      </c>
      <c r="F325" s="57" t="s">
        <v>870</v>
      </c>
      <c r="G325" s="58">
        <v>16000</v>
      </c>
      <c r="H325" s="59">
        <v>16000</v>
      </c>
      <c r="I325" s="59">
        <f t="shared" si="10"/>
        <v>0</v>
      </c>
    </row>
    <row r="326" spans="1:9" customFormat="1" x14ac:dyDescent="0.35">
      <c r="A326" s="63">
        <f t="shared" si="11"/>
        <v>325</v>
      </c>
      <c r="B326" s="54" t="s">
        <v>1462</v>
      </c>
      <c r="C326" s="55" t="s">
        <v>1463</v>
      </c>
      <c r="D326" s="54" t="s">
        <v>1331</v>
      </c>
      <c r="E326" s="56">
        <v>0</v>
      </c>
      <c r="F326" s="57" t="s">
        <v>870</v>
      </c>
      <c r="G326" s="58">
        <v>148200</v>
      </c>
      <c r="H326" s="59">
        <v>148200</v>
      </c>
      <c r="I326" s="59">
        <f t="shared" si="10"/>
        <v>0</v>
      </c>
    </row>
    <row r="327" spans="1:9" customFormat="1" x14ac:dyDescent="0.35">
      <c r="A327" s="63">
        <f t="shared" si="11"/>
        <v>326</v>
      </c>
      <c r="B327" s="54" t="s">
        <v>1464</v>
      </c>
      <c r="C327" s="55" t="s">
        <v>1465</v>
      </c>
      <c r="D327" s="54" t="s">
        <v>1331</v>
      </c>
      <c r="E327" s="56">
        <v>0</v>
      </c>
      <c r="F327" s="57" t="s">
        <v>870</v>
      </c>
      <c r="G327" s="58">
        <v>55000</v>
      </c>
      <c r="H327" s="59">
        <v>55000</v>
      </c>
      <c r="I327" s="59">
        <f t="shared" si="10"/>
        <v>0</v>
      </c>
    </row>
    <row r="328" spans="1:9" customFormat="1" x14ac:dyDescent="0.35">
      <c r="A328" s="63">
        <f t="shared" si="11"/>
        <v>327</v>
      </c>
      <c r="B328" s="54" t="s">
        <v>1466</v>
      </c>
      <c r="C328" s="55" t="s">
        <v>1467</v>
      </c>
      <c r="D328" s="54" t="s">
        <v>1331</v>
      </c>
      <c r="E328" s="56">
        <v>0</v>
      </c>
      <c r="F328" s="57" t="s">
        <v>815</v>
      </c>
      <c r="G328" s="58">
        <v>474000</v>
      </c>
      <c r="H328" s="59">
        <v>474000</v>
      </c>
      <c r="I328" s="59">
        <f t="shared" si="10"/>
        <v>0</v>
      </c>
    </row>
    <row r="329" spans="1:9" customFormat="1" x14ac:dyDescent="0.35">
      <c r="A329" s="63">
        <f t="shared" si="11"/>
        <v>328</v>
      </c>
      <c r="B329" s="54" t="s">
        <v>1468</v>
      </c>
      <c r="C329" s="55" t="s">
        <v>1469</v>
      </c>
      <c r="D329" s="54" t="s">
        <v>1331</v>
      </c>
      <c r="E329" s="56">
        <v>0</v>
      </c>
      <c r="F329" s="57" t="s">
        <v>815</v>
      </c>
      <c r="G329" s="58">
        <v>881500</v>
      </c>
      <c r="H329" s="59">
        <v>1234100</v>
      </c>
      <c r="I329" s="59">
        <f t="shared" si="10"/>
        <v>0</v>
      </c>
    </row>
    <row r="330" spans="1:9" customFormat="1" x14ac:dyDescent="0.35">
      <c r="A330" s="63">
        <f t="shared" si="11"/>
        <v>329</v>
      </c>
      <c r="B330" s="54" t="s">
        <v>1470</v>
      </c>
      <c r="C330" s="55" t="s">
        <v>1471</v>
      </c>
      <c r="D330" s="54" t="s">
        <v>1331</v>
      </c>
      <c r="E330" s="56">
        <v>0</v>
      </c>
      <c r="F330" s="57" t="s">
        <v>870</v>
      </c>
      <c r="G330" s="58">
        <v>94400</v>
      </c>
      <c r="H330" s="59">
        <v>94400</v>
      </c>
      <c r="I330" s="59">
        <f t="shared" si="10"/>
        <v>0</v>
      </c>
    </row>
    <row r="331" spans="1:9" customFormat="1" x14ac:dyDescent="0.35">
      <c r="A331" s="63">
        <f t="shared" si="11"/>
        <v>330</v>
      </c>
      <c r="B331" s="54" t="s">
        <v>1472</v>
      </c>
      <c r="C331" s="55" t="s">
        <v>1473</v>
      </c>
      <c r="D331" s="54" t="s">
        <v>1331</v>
      </c>
      <c r="E331" s="56">
        <v>0</v>
      </c>
      <c r="F331" s="57" t="s">
        <v>870</v>
      </c>
      <c r="G331" s="58">
        <v>28143</v>
      </c>
      <c r="H331" s="59">
        <v>28143</v>
      </c>
      <c r="I331" s="59">
        <f t="shared" si="10"/>
        <v>0</v>
      </c>
    </row>
    <row r="332" spans="1:9" customFormat="1" x14ac:dyDescent="0.35">
      <c r="A332" s="63">
        <f t="shared" si="11"/>
        <v>331</v>
      </c>
      <c r="B332" s="54" t="s">
        <v>1474</v>
      </c>
      <c r="C332" s="55" t="s">
        <v>1475</v>
      </c>
      <c r="D332" s="54" t="s">
        <v>1331</v>
      </c>
      <c r="E332" s="56">
        <v>0</v>
      </c>
      <c r="F332" s="57" t="s">
        <v>870</v>
      </c>
      <c r="G332" s="58">
        <v>42244</v>
      </c>
      <c r="H332" s="59">
        <v>42244</v>
      </c>
      <c r="I332" s="59">
        <f t="shared" si="10"/>
        <v>0</v>
      </c>
    </row>
    <row r="333" spans="1:9" customFormat="1" x14ac:dyDescent="0.35">
      <c r="A333" s="63">
        <f t="shared" si="11"/>
        <v>332</v>
      </c>
      <c r="B333" s="54" t="s">
        <v>1476</v>
      </c>
      <c r="C333" s="55" t="s">
        <v>1477</v>
      </c>
      <c r="D333" s="54" t="s">
        <v>1331</v>
      </c>
      <c r="E333" s="56">
        <v>0</v>
      </c>
      <c r="F333" s="57" t="s">
        <v>870</v>
      </c>
      <c r="G333" s="58">
        <v>11000</v>
      </c>
      <c r="H333" s="59">
        <v>11000</v>
      </c>
      <c r="I333" s="59">
        <f t="shared" si="10"/>
        <v>0</v>
      </c>
    </row>
    <row r="334" spans="1:9" customFormat="1" ht="23" x14ac:dyDescent="0.35">
      <c r="A334" s="63">
        <f t="shared" si="11"/>
        <v>333</v>
      </c>
      <c r="B334" s="54" t="s">
        <v>1478</v>
      </c>
      <c r="C334" s="55" t="s">
        <v>1479</v>
      </c>
      <c r="D334" s="54" t="s">
        <v>1331</v>
      </c>
      <c r="E334" s="56">
        <v>0</v>
      </c>
      <c r="F334" s="57" t="s">
        <v>815</v>
      </c>
      <c r="G334" s="58">
        <v>742000</v>
      </c>
      <c r="H334" s="59">
        <v>742000</v>
      </c>
      <c r="I334" s="59">
        <f t="shared" si="10"/>
        <v>0</v>
      </c>
    </row>
    <row r="335" spans="1:9" customFormat="1" x14ac:dyDescent="0.35">
      <c r="A335" s="63">
        <f t="shared" si="11"/>
        <v>334</v>
      </c>
      <c r="B335" s="54" t="s">
        <v>1480</v>
      </c>
      <c r="C335" s="55" t="s">
        <v>1481</v>
      </c>
      <c r="D335" s="54" t="s">
        <v>1331</v>
      </c>
      <c r="E335" s="56">
        <v>0</v>
      </c>
      <c r="F335" s="57" t="s">
        <v>870</v>
      </c>
      <c r="G335" s="58">
        <v>22000</v>
      </c>
      <c r="H335" s="59">
        <v>22000</v>
      </c>
      <c r="I335" s="59">
        <f t="shared" si="10"/>
        <v>0</v>
      </c>
    </row>
    <row r="336" spans="1:9" customFormat="1" x14ac:dyDescent="0.35">
      <c r="A336" s="63">
        <f t="shared" si="11"/>
        <v>335</v>
      </c>
      <c r="B336" s="54" t="s">
        <v>1482</v>
      </c>
      <c r="C336" s="55" t="s">
        <v>1483</v>
      </c>
      <c r="D336" s="54" t="s">
        <v>1331</v>
      </c>
      <c r="E336" s="56">
        <v>0</v>
      </c>
      <c r="F336" s="57" t="s">
        <v>815</v>
      </c>
      <c r="G336" s="58">
        <v>1057000</v>
      </c>
      <c r="H336" s="59">
        <v>1057000</v>
      </c>
      <c r="I336" s="59">
        <f t="shared" si="10"/>
        <v>0</v>
      </c>
    </row>
    <row r="337" spans="1:9" customFormat="1" x14ac:dyDescent="0.35">
      <c r="A337" s="63">
        <f t="shared" si="11"/>
        <v>336</v>
      </c>
      <c r="B337" s="54" t="s">
        <v>1484</v>
      </c>
      <c r="C337" s="55" t="s">
        <v>1485</v>
      </c>
      <c r="D337" s="54" t="s">
        <v>1331</v>
      </c>
      <c r="E337" s="56">
        <v>0</v>
      </c>
      <c r="F337" s="57" t="s">
        <v>792</v>
      </c>
      <c r="G337" s="58">
        <v>15000</v>
      </c>
      <c r="H337" s="59">
        <v>15000</v>
      </c>
      <c r="I337" s="59">
        <f t="shared" si="10"/>
        <v>0</v>
      </c>
    </row>
    <row r="338" spans="1:9" customFormat="1" x14ac:dyDescent="0.35">
      <c r="A338" s="63">
        <f t="shared" si="11"/>
        <v>337</v>
      </c>
      <c r="B338" s="54" t="s">
        <v>1486</v>
      </c>
      <c r="C338" s="55" t="s">
        <v>1487</v>
      </c>
      <c r="D338" s="54" t="s">
        <v>1331</v>
      </c>
      <c r="E338" s="56">
        <v>0</v>
      </c>
      <c r="F338" s="57" t="s">
        <v>792</v>
      </c>
      <c r="G338" s="58">
        <v>4500</v>
      </c>
      <c r="H338" s="59">
        <v>4500</v>
      </c>
      <c r="I338" s="59">
        <f t="shared" si="10"/>
        <v>0</v>
      </c>
    </row>
    <row r="339" spans="1:9" customFormat="1" x14ac:dyDescent="0.35">
      <c r="A339" s="63">
        <f t="shared" si="11"/>
        <v>338</v>
      </c>
      <c r="B339" s="54" t="s">
        <v>1488</v>
      </c>
      <c r="C339" s="55" t="s">
        <v>1489</v>
      </c>
      <c r="D339" s="54" t="s">
        <v>1331</v>
      </c>
      <c r="E339" s="56">
        <v>0</v>
      </c>
      <c r="F339" s="57" t="s">
        <v>792</v>
      </c>
      <c r="G339" s="58">
        <v>1734</v>
      </c>
      <c r="H339" s="59">
        <v>3375</v>
      </c>
      <c r="I339" s="59">
        <f t="shared" si="10"/>
        <v>0</v>
      </c>
    </row>
    <row r="340" spans="1:9" customFormat="1" ht="23" x14ac:dyDescent="0.35">
      <c r="A340" s="63">
        <f t="shared" si="11"/>
        <v>339</v>
      </c>
      <c r="B340" s="54" t="s">
        <v>1490</v>
      </c>
      <c r="C340" s="55" t="s">
        <v>1491</v>
      </c>
      <c r="D340" s="54" t="s">
        <v>1331</v>
      </c>
      <c r="E340" s="56">
        <v>0</v>
      </c>
      <c r="F340" s="57" t="s">
        <v>815</v>
      </c>
      <c r="G340" s="58">
        <v>0</v>
      </c>
      <c r="H340" s="59">
        <v>299000</v>
      </c>
      <c r="I340" s="59">
        <f t="shared" si="10"/>
        <v>0</v>
      </c>
    </row>
    <row r="341" spans="1:9" customFormat="1" x14ac:dyDescent="0.35">
      <c r="A341" s="63">
        <f t="shared" si="11"/>
        <v>340</v>
      </c>
      <c r="B341" s="54" t="s">
        <v>1492</v>
      </c>
      <c r="C341" s="55" t="s">
        <v>1493</v>
      </c>
      <c r="D341" s="54" t="s">
        <v>1331</v>
      </c>
      <c r="E341" s="56">
        <v>0</v>
      </c>
      <c r="F341" s="57" t="s">
        <v>974</v>
      </c>
      <c r="G341" s="58">
        <v>15000</v>
      </c>
      <c r="H341" s="59">
        <v>15000</v>
      </c>
      <c r="I341" s="59">
        <f t="shared" si="10"/>
        <v>0</v>
      </c>
    </row>
    <row r="342" spans="1:9" customFormat="1" x14ac:dyDescent="0.35">
      <c r="A342" s="63">
        <f t="shared" si="11"/>
        <v>341</v>
      </c>
      <c r="B342" s="54" t="s">
        <v>1494</v>
      </c>
      <c r="C342" s="55" t="s">
        <v>1495</v>
      </c>
      <c r="D342" s="54" t="s">
        <v>1331</v>
      </c>
      <c r="E342" s="56">
        <v>0</v>
      </c>
      <c r="F342" s="57" t="s">
        <v>1217</v>
      </c>
      <c r="G342" s="58">
        <v>0</v>
      </c>
      <c r="H342" s="59">
        <v>1538600</v>
      </c>
      <c r="I342" s="59">
        <f t="shared" si="10"/>
        <v>0</v>
      </c>
    </row>
    <row r="343" spans="1:9" customFormat="1" x14ac:dyDescent="0.35">
      <c r="A343" s="63">
        <f t="shared" si="11"/>
        <v>342</v>
      </c>
      <c r="B343" s="54" t="s">
        <v>1496</v>
      </c>
      <c r="C343" s="55" t="s">
        <v>1497</v>
      </c>
      <c r="D343" s="54" t="s">
        <v>1331</v>
      </c>
      <c r="E343" s="56">
        <v>0</v>
      </c>
      <c r="F343" s="57" t="s">
        <v>1003</v>
      </c>
      <c r="G343" s="58">
        <v>222000</v>
      </c>
      <c r="H343" s="59">
        <v>470120</v>
      </c>
      <c r="I343" s="59">
        <f t="shared" si="10"/>
        <v>0</v>
      </c>
    </row>
    <row r="344" spans="1:9" customFormat="1" x14ac:dyDescent="0.35">
      <c r="A344" s="63">
        <f t="shared" si="11"/>
        <v>343</v>
      </c>
      <c r="B344" s="54" t="s">
        <v>1498</v>
      </c>
      <c r="C344" s="55" t="s">
        <v>1499</v>
      </c>
      <c r="D344" s="54" t="s">
        <v>1331</v>
      </c>
      <c r="E344" s="56">
        <v>0</v>
      </c>
      <c r="F344" s="57" t="s">
        <v>1003</v>
      </c>
      <c r="G344" s="58">
        <v>0</v>
      </c>
      <c r="H344" s="59">
        <v>651700</v>
      </c>
      <c r="I344" s="59">
        <f t="shared" si="10"/>
        <v>0</v>
      </c>
    </row>
    <row r="345" spans="1:9" customFormat="1" x14ac:dyDescent="0.35">
      <c r="A345" s="63">
        <f t="shared" si="11"/>
        <v>344</v>
      </c>
      <c r="B345" s="54" t="s">
        <v>1500</v>
      </c>
      <c r="C345" s="55" t="s">
        <v>1501</v>
      </c>
      <c r="D345" s="54" t="s">
        <v>1331</v>
      </c>
      <c r="E345" s="56">
        <v>0</v>
      </c>
      <c r="F345" s="57" t="s">
        <v>1003</v>
      </c>
      <c r="G345" s="58">
        <v>0</v>
      </c>
      <c r="H345" s="59">
        <v>483000</v>
      </c>
      <c r="I345" s="59">
        <f t="shared" si="10"/>
        <v>0</v>
      </c>
    </row>
    <row r="346" spans="1:9" customFormat="1" x14ac:dyDescent="0.35">
      <c r="A346" s="63">
        <f t="shared" si="11"/>
        <v>345</v>
      </c>
      <c r="B346" s="54" t="s">
        <v>1502</v>
      </c>
      <c r="C346" s="55" t="s">
        <v>1503</v>
      </c>
      <c r="D346" s="54" t="s">
        <v>1331</v>
      </c>
      <c r="E346" s="56">
        <v>0</v>
      </c>
      <c r="F346" s="57" t="s">
        <v>878</v>
      </c>
      <c r="G346" s="58">
        <v>0</v>
      </c>
      <c r="H346" s="59">
        <v>1618120</v>
      </c>
      <c r="I346" s="59">
        <f t="shared" si="10"/>
        <v>0</v>
      </c>
    </row>
    <row r="347" spans="1:9" customFormat="1" x14ac:dyDescent="0.35">
      <c r="A347" s="63">
        <f t="shared" si="11"/>
        <v>346</v>
      </c>
      <c r="B347" s="54" t="s">
        <v>1504</v>
      </c>
      <c r="C347" s="55" t="s">
        <v>1505</v>
      </c>
      <c r="D347" s="54" t="s">
        <v>1331</v>
      </c>
      <c r="E347" s="56">
        <v>0</v>
      </c>
      <c r="F347" s="57" t="s">
        <v>1003</v>
      </c>
      <c r="G347" s="58">
        <v>0</v>
      </c>
      <c r="H347" s="59">
        <v>5523980</v>
      </c>
      <c r="I347" s="59">
        <f t="shared" si="10"/>
        <v>0</v>
      </c>
    </row>
    <row r="348" spans="1:9" customFormat="1" ht="23" x14ac:dyDescent="0.35">
      <c r="A348" s="63">
        <f t="shared" si="11"/>
        <v>347</v>
      </c>
      <c r="B348" s="54" t="s">
        <v>1506</v>
      </c>
      <c r="C348" s="55" t="s">
        <v>1507</v>
      </c>
      <c r="D348" s="54" t="s">
        <v>1331</v>
      </c>
      <c r="E348" s="56">
        <v>0</v>
      </c>
      <c r="F348" s="57" t="s">
        <v>1003</v>
      </c>
      <c r="G348" s="58">
        <v>0</v>
      </c>
      <c r="H348" s="59">
        <v>1452500</v>
      </c>
      <c r="I348" s="59">
        <f t="shared" si="10"/>
        <v>0</v>
      </c>
    </row>
    <row r="349" spans="1:9" customFormat="1" x14ac:dyDescent="0.35">
      <c r="A349" s="63">
        <f t="shared" si="11"/>
        <v>348</v>
      </c>
      <c r="B349" s="54" t="s">
        <v>1508</v>
      </c>
      <c r="C349" s="55" t="s">
        <v>1509</v>
      </c>
      <c r="D349" s="54" t="s">
        <v>1331</v>
      </c>
      <c r="E349" s="56">
        <v>0</v>
      </c>
      <c r="F349" s="57" t="s">
        <v>878</v>
      </c>
      <c r="G349" s="58">
        <v>0</v>
      </c>
      <c r="H349" s="59">
        <v>8227912</v>
      </c>
      <c r="I349" s="59">
        <f t="shared" si="10"/>
        <v>0</v>
      </c>
    </row>
    <row r="350" spans="1:9" customFormat="1" x14ac:dyDescent="0.35">
      <c r="A350" s="63">
        <f t="shared" si="11"/>
        <v>349</v>
      </c>
      <c r="B350" s="54" t="s">
        <v>1510</v>
      </c>
      <c r="C350" s="55" t="s">
        <v>1511</v>
      </c>
      <c r="D350" s="54" t="s">
        <v>1331</v>
      </c>
      <c r="E350" s="56">
        <v>0</v>
      </c>
      <c r="F350" s="57" t="s">
        <v>878</v>
      </c>
      <c r="G350" s="58">
        <v>0</v>
      </c>
      <c r="H350" s="59">
        <v>3794000</v>
      </c>
      <c r="I350" s="59">
        <f t="shared" si="10"/>
        <v>0</v>
      </c>
    </row>
    <row r="351" spans="1:9" customFormat="1" x14ac:dyDescent="0.35">
      <c r="A351" s="63">
        <f t="shared" si="11"/>
        <v>350</v>
      </c>
      <c r="B351" s="54" t="s">
        <v>1512</v>
      </c>
      <c r="C351" s="55" t="s">
        <v>1513</v>
      </c>
      <c r="D351" s="54" t="s">
        <v>1331</v>
      </c>
      <c r="E351" s="56">
        <v>0</v>
      </c>
      <c r="F351" s="57" t="s">
        <v>1431</v>
      </c>
      <c r="G351" s="58">
        <v>0</v>
      </c>
      <c r="H351" s="59">
        <v>55550</v>
      </c>
      <c r="I351" s="59">
        <f t="shared" si="10"/>
        <v>0</v>
      </c>
    </row>
    <row r="352" spans="1:9" customFormat="1" x14ac:dyDescent="0.35">
      <c r="A352" s="63">
        <f t="shared" si="11"/>
        <v>351</v>
      </c>
      <c r="B352" s="54" t="s">
        <v>1514</v>
      </c>
      <c r="C352" s="55" t="s">
        <v>1515</v>
      </c>
      <c r="D352" s="54" t="s">
        <v>1331</v>
      </c>
      <c r="E352" s="56">
        <v>0</v>
      </c>
      <c r="F352" s="57" t="s">
        <v>792</v>
      </c>
      <c r="G352" s="58">
        <v>0</v>
      </c>
      <c r="H352" s="59">
        <v>28000</v>
      </c>
      <c r="I352" s="59">
        <f t="shared" si="10"/>
        <v>0</v>
      </c>
    </row>
    <row r="353" spans="1:9" customFormat="1" x14ac:dyDescent="0.35">
      <c r="A353" s="63">
        <f t="shared" si="11"/>
        <v>352</v>
      </c>
      <c r="B353" s="54" t="s">
        <v>1516</v>
      </c>
      <c r="C353" s="55" t="s">
        <v>1517</v>
      </c>
      <c r="D353" s="54" t="s">
        <v>1331</v>
      </c>
      <c r="E353" s="56">
        <v>0</v>
      </c>
      <c r="F353" s="57" t="s">
        <v>792</v>
      </c>
      <c r="G353" s="58">
        <v>100000</v>
      </c>
      <c r="H353" s="59">
        <v>100000</v>
      </c>
      <c r="I353" s="59">
        <f t="shared" si="10"/>
        <v>0</v>
      </c>
    </row>
    <row r="354" spans="1:9" customFormat="1" x14ac:dyDescent="0.35">
      <c r="A354" s="63">
        <f t="shared" si="11"/>
        <v>353</v>
      </c>
      <c r="B354" s="54" t="s">
        <v>1518</v>
      </c>
      <c r="C354" s="55" t="s">
        <v>1519</v>
      </c>
      <c r="D354" s="54" t="s">
        <v>1331</v>
      </c>
      <c r="E354" s="56">
        <v>0</v>
      </c>
      <c r="F354" s="57" t="s">
        <v>792</v>
      </c>
      <c r="G354" s="58">
        <v>130000</v>
      </c>
      <c r="H354" s="59">
        <v>130000</v>
      </c>
      <c r="I354" s="59">
        <f t="shared" si="10"/>
        <v>0</v>
      </c>
    </row>
    <row r="355" spans="1:9" customFormat="1" x14ac:dyDescent="0.35">
      <c r="A355" s="63">
        <f t="shared" si="11"/>
        <v>354</v>
      </c>
      <c r="B355" s="54" t="s">
        <v>1520</v>
      </c>
      <c r="C355" s="55" t="s">
        <v>1521</v>
      </c>
      <c r="D355" s="54" t="s">
        <v>1331</v>
      </c>
      <c r="E355" s="56">
        <v>0</v>
      </c>
      <c r="F355" s="57" t="s">
        <v>792</v>
      </c>
      <c r="G355" s="58">
        <v>190000</v>
      </c>
      <c r="H355" s="59">
        <v>190000</v>
      </c>
      <c r="I355" s="59">
        <f t="shared" si="10"/>
        <v>0</v>
      </c>
    </row>
    <row r="356" spans="1:9" customFormat="1" x14ac:dyDescent="0.35">
      <c r="A356" s="63">
        <f t="shared" si="11"/>
        <v>355</v>
      </c>
      <c r="B356" s="54" t="s">
        <v>1522</v>
      </c>
      <c r="C356" s="55" t="s">
        <v>1523</v>
      </c>
      <c r="D356" s="54" t="s">
        <v>1331</v>
      </c>
      <c r="E356" s="56">
        <v>0</v>
      </c>
      <c r="F356" s="57" t="s">
        <v>792</v>
      </c>
      <c r="G356" s="58">
        <v>260000</v>
      </c>
      <c r="H356" s="59">
        <v>260000</v>
      </c>
      <c r="I356" s="59">
        <f t="shared" si="10"/>
        <v>0</v>
      </c>
    </row>
    <row r="357" spans="1:9" customFormat="1" x14ac:dyDescent="0.35">
      <c r="A357" s="63">
        <f t="shared" si="11"/>
        <v>356</v>
      </c>
      <c r="B357" s="54" t="s">
        <v>1524</v>
      </c>
      <c r="C357" s="55" t="s">
        <v>1525</v>
      </c>
      <c r="D357" s="54" t="s">
        <v>1331</v>
      </c>
      <c r="E357" s="56">
        <v>0</v>
      </c>
      <c r="F357" s="57" t="s">
        <v>792</v>
      </c>
      <c r="G357" s="58">
        <v>353000</v>
      </c>
      <c r="H357" s="59">
        <v>353000</v>
      </c>
      <c r="I357" s="59">
        <f t="shared" si="10"/>
        <v>0</v>
      </c>
    </row>
    <row r="358" spans="1:9" customFormat="1" ht="23" x14ac:dyDescent="0.35">
      <c r="A358" s="63">
        <f t="shared" si="11"/>
        <v>357</v>
      </c>
      <c r="B358" s="54" t="s">
        <v>1526</v>
      </c>
      <c r="C358" s="55" t="s">
        <v>1527</v>
      </c>
      <c r="D358" s="54" t="s">
        <v>1331</v>
      </c>
      <c r="E358" s="56">
        <v>0</v>
      </c>
      <c r="F358" s="57" t="s">
        <v>878</v>
      </c>
      <c r="G358" s="58">
        <v>0</v>
      </c>
      <c r="H358" s="59">
        <v>3430000</v>
      </c>
      <c r="I358" s="59">
        <f t="shared" si="10"/>
        <v>0</v>
      </c>
    </row>
    <row r="359" spans="1:9" customFormat="1" x14ac:dyDescent="0.35">
      <c r="A359" s="63">
        <f t="shared" si="11"/>
        <v>358</v>
      </c>
      <c r="B359" s="54" t="s">
        <v>1528</v>
      </c>
      <c r="C359" s="55" t="s">
        <v>1529</v>
      </c>
      <c r="D359" s="54" t="s">
        <v>1331</v>
      </c>
      <c r="E359" s="56">
        <v>0</v>
      </c>
      <c r="F359" s="57" t="s">
        <v>792</v>
      </c>
      <c r="G359" s="58">
        <v>272315.5</v>
      </c>
      <c r="H359" s="59">
        <v>278000</v>
      </c>
      <c r="I359" s="59">
        <f t="shared" si="10"/>
        <v>0</v>
      </c>
    </row>
    <row r="360" spans="1:9" customFormat="1" x14ac:dyDescent="0.35">
      <c r="A360" s="63">
        <f t="shared" si="11"/>
        <v>359</v>
      </c>
      <c r="B360" s="54" t="s">
        <v>1530</v>
      </c>
      <c r="C360" s="55" t="s">
        <v>1531</v>
      </c>
      <c r="D360" s="54" t="s">
        <v>1331</v>
      </c>
      <c r="E360" s="56">
        <v>0</v>
      </c>
      <c r="F360" s="57" t="s">
        <v>994</v>
      </c>
      <c r="G360" s="58">
        <v>21500</v>
      </c>
      <c r="H360" s="59">
        <v>29400</v>
      </c>
      <c r="I360" s="59">
        <f t="shared" si="10"/>
        <v>0</v>
      </c>
    </row>
    <row r="361" spans="1:9" customFormat="1" x14ac:dyDescent="0.35">
      <c r="A361" s="63">
        <f t="shared" si="11"/>
        <v>360</v>
      </c>
      <c r="B361" s="54" t="s">
        <v>1532</v>
      </c>
      <c r="C361" s="55" t="s">
        <v>1533</v>
      </c>
      <c r="D361" s="54" t="s">
        <v>1331</v>
      </c>
      <c r="E361" s="56">
        <v>0</v>
      </c>
      <c r="F361" s="57" t="s">
        <v>792</v>
      </c>
      <c r="G361" s="58">
        <v>0</v>
      </c>
      <c r="H361" s="59">
        <v>7700</v>
      </c>
      <c r="I361" s="59">
        <f t="shared" si="10"/>
        <v>0</v>
      </c>
    </row>
    <row r="362" spans="1:9" customFormat="1" x14ac:dyDescent="0.35">
      <c r="A362" s="63">
        <f t="shared" si="11"/>
        <v>361</v>
      </c>
      <c r="B362" s="54" t="s">
        <v>1534</v>
      </c>
      <c r="C362" s="55" t="s">
        <v>1535</v>
      </c>
      <c r="D362" s="54" t="s">
        <v>1331</v>
      </c>
      <c r="E362" s="56">
        <v>0</v>
      </c>
      <c r="F362" s="57" t="s">
        <v>792</v>
      </c>
      <c r="G362" s="58">
        <v>0</v>
      </c>
      <c r="H362" s="59">
        <v>4480</v>
      </c>
      <c r="I362" s="59">
        <f t="shared" si="10"/>
        <v>0</v>
      </c>
    </row>
    <row r="363" spans="1:9" customFormat="1" x14ac:dyDescent="0.35">
      <c r="A363" s="63">
        <f t="shared" si="11"/>
        <v>362</v>
      </c>
      <c r="B363" s="54" t="s">
        <v>1536</v>
      </c>
      <c r="C363" s="55" t="s">
        <v>1537</v>
      </c>
      <c r="D363" s="54" t="s">
        <v>1331</v>
      </c>
      <c r="E363" s="56">
        <v>0</v>
      </c>
      <c r="F363" s="57" t="s">
        <v>815</v>
      </c>
      <c r="G363" s="58">
        <v>3819.51</v>
      </c>
      <c r="H363" s="59">
        <v>4451.8599999999997</v>
      </c>
      <c r="I363" s="59">
        <f t="shared" si="10"/>
        <v>0</v>
      </c>
    </row>
    <row r="364" spans="1:9" customFormat="1" x14ac:dyDescent="0.35">
      <c r="A364" s="63">
        <f t="shared" si="11"/>
        <v>363</v>
      </c>
      <c r="B364" s="54" t="s">
        <v>1538</v>
      </c>
      <c r="C364" s="55" t="s">
        <v>1539</v>
      </c>
      <c r="D364" s="54" t="s">
        <v>1331</v>
      </c>
      <c r="E364" s="56">
        <v>0</v>
      </c>
      <c r="F364" s="57" t="s">
        <v>994</v>
      </c>
      <c r="G364" s="58">
        <v>67000</v>
      </c>
      <c r="H364" s="59">
        <v>93800</v>
      </c>
      <c r="I364" s="59">
        <f t="shared" si="10"/>
        <v>0</v>
      </c>
    </row>
    <row r="365" spans="1:9" customFormat="1" ht="23" x14ac:dyDescent="0.35">
      <c r="A365" s="63">
        <f t="shared" si="11"/>
        <v>364</v>
      </c>
      <c r="B365" s="54" t="s">
        <v>1540</v>
      </c>
      <c r="C365" s="55" t="s">
        <v>1541</v>
      </c>
      <c r="D365" s="54" t="s">
        <v>1331</v>
      </c>
      <c r="E365" s="56">
        <v>0</v>
      </c>
      <c r="F365" s="57" t="s">
        <v>792</v>
      </c>
      <c r="G365" s="58">
        <v>630000</v>
      </c>
      <c r="H365" s="59">
        <v>630000</v>
      </c>
      <c r="I365" s="59">
        <f t="shared" si="10"/>
        <v>0</v>
      </c>
    </row>
    <row r="366" spans="1:9" customFormat="1" x14ac:dyDescent="0.35">
      <c r="A366" s="63">
        <f t="shared" si="11"/>
        <v>365</v>
      </c>
      <c r="B366" s="54" t="s">
        <v>1542</v>
      </c>
      <c r="C366" s="55" t="s">
        <v>1543</v>
      </c>
      <c r="D366" s="54" t="s">
        <v>1331</v>
      </c>
      <c r="E366" s="56">
        <v>0</v>
      </c>
      <c r="F366" s="57" t="s">
        <v>878</v>
      </c>
      <c r="G366" s="58">
        <v>0</v>
      </c>
      <c r="H366" s="59">
        <v>5500000</v>
      </c>
      <c r="I366" s="59">
        <f t="shared" si="10"/>
        <v>0</v>
      </c>
    </row>
    <row r="367" spans="1:9" customFormat="1" x14ac:dyDescent="0.35">
      <c r="A367" s="63">
        <f t="shared" si="11"/>
        <v>366</v>
      </c>
      <c r="B367" s="54" t="s">
        <v>1544</v>
      </c>
      <c r="C367" s="55" t="s">
        <v>1545</v>
      </c>
      <c r="D367" s="54" t="s">
        <v>1331</v>
      </c>
      <c r="E367" s="56">
        <v>0</v>
      </c>
      <c r="F367" s="57" t="s">
        <v>878</v>
      </c>
      <c r="G367" s="58">
        <v>600000</v>
      </c>
      <c r="H367" s="59">
        <v>600000</v>
      </c>
      <c r="I367" s="59">
        <f t="shared" si="10"/>
        <v>0</v>
      </c>
    </row>
    <row r="368" spans="1:9" customFormat="1" x14ac:dyDescent="0.35">
      <c r="A368" s="63">
        <f t="shared" si="11"/>
        <v>367</v>
      </c>
      <c r="B368" s="54" t="s">
        <v>1546</v>
      </c>
      <c r="C368" s="55" t="s">
        <v>1547</v>
      </c>
      <c r="D368" s="54" t="s">
        <v>1331</v>
      </c>
      <c r="E368" s="56">
        <v>0</v>
      </c>
      <c r="F368" s="57" t="s">
        <v>792</v>
      </c>
      <c r="G368" s="58">
        <v>399900</v>
      </c>
      <c r="H368" s="59">
        <v>559680</v>
      </c>
      <c r="I368" s="59">
        <f t="shared" si="10"/>
        <v>0</v>
      </c>
    </row>
    <row r="369" spans="1:9" customFormat="1" x14ac:dyDescent="0.35">
      <c r="A369" s="63">
        <f t="shared" si="11"/>
        <v>368</v>
      </c>
      <c r="B369" s="54" t="s">
        <v>1548</v>
      </c>
      <c r="C369" s="55" t="s">
        <v>1549</v>
      </c>
      <c r="D369" s="54" t="s">
        <v>1331</v>
      </c>
      <c r="E369" s="56">
        <v>0</v>
      </c>
      <c r="F369" s="57" t="s">
        <v>792</v>
      </c>
      <c r="G369" s="58">
        <v>55000</v>
      </c>
      <c r="H369" s="59">
        <v>55000</v>
      </c>
      <c r="I369" s="59">
        <f t="shared" si="10"/>
        <v>0</v>
      </c>
    </row>
    <row r="370" spans="1:9" customFormat="1" x14ac:dyDescent="0.35">
      <c r="A370" s="63">
        <f t="shared" si="11"/>
        <v>369</v>
      </c>
      <c r="B370" s="54" t="s">
        <v>1550</v>
      </c>
      <c r="C370" s="55" t="s">
        <v>1551</v>
      </c>
      <c r="D370" s="54" t="s">
        <v>1331</v>
      </c>
      <c r="E370" s="56">
        <v>0</v>
      </c>
      <c r="F370" s="57" t="s">
        <v>1552</v>
      </c>
      <c r="G370" s="58">
        <v>0</v>
      </c>
      <c r="H370" s="59">
        <v>105000</v>
      </c>
      <c r="I370" s="59">
        <f t="shared" si="10"/>
        <v>0</v>
      </c>
    </row>
    <row r="371" spans="1:9" customFormat="1" x14ac:dyDescent="0.35">
      <c r="A371" s="63">
        <f t="shared" si="11"/>
        <v>370</v>
      </c>
      <c r="B371" s="54" t="s">
        <v>1553</v>
      </c>
      <c r="C371" s="55" t="s">
        <v>1554</v>
      </c>
      <c r="D371" s="54" t="s">
        <v>1331</v>
      </c>
      <c r="E371" s="56">
        <v>0</v>
      </c>
      <c r="F371" s="57" t="s">
        <v>792</v>
      </c>
      <c r="G371" s="58">
        <v>0</v>
      </c>
      <c r="H371" s="59">
        <v>14000</v>
      </c>
      <c r="I371" s="59">
        <f t="shared" si="10"/>
        <v>0</v>
      </c>
    </row>
    <row r="372" spans="1:9" customFormat="1" x14ac:dyDescent="0.35">
      <c r="A372" s="63">
        <f t="shared" si="11"/>
        <v>371</v>
      </c>
      <c r="B372" s="54" t="s">
        <v>1555</v>
      </c>
      <c r="C372" s="55" t="s">
        <v>1556</v>
      </c>
      <c r="D372" s="54" t="s">
        <v>1331</v>
      </c>
      <c r="E372" s="56">
        <v>0</v>
      </c>
      <c r="F372" s="57" t="s">
        <v>792</v>
      </c>
      <c r="G372" s="58">
        <v>0</v>
      </c>
      <c r="H372" s="59">
        <v>12600</v>
      </c>
      <c r="I372" s="59">
        <f t="shared" si="10"/>
        <v>0</v>
      </c>
    </row>
    <row r="373" spans="1:9" customFormat="1" x14ac:dyDescent="0.35">
      <c r="A373" s="63">
        <f t="shared" si="11"/>
        <v>372</v>
      </c>
      <c r="B373" s="54" t="s">
        <v>1557</v>
      </c>
      <c r="C373" s="55" t="s">
        <v>1558</v>
      </c>
      <c r="D373" s="54" t="s">
        <v>1331</v>
      </c>
      <c r="E373" s="56">
        <v>0</v>
      </c>
      <c r="F373" s="57" t="s">
        <v>878</v>
      </c>
      <c r="G373" s="58">
        <v>75000</v>
      </c>
      <c r="H373" s="59">
        <v>75000</v>
      </c>
      <c r="I373" s="59">
        <f t="shared" si="10"/>
        <v>0</v>
      </c>
    </row>
    <row r="374" spans="1:9" customFormat="1" x14ac:dyDescent="0.35">
      <c r="A374" s="63">
        <f t="shared" si="11"/>
        <v>373</v>
      </c>
      <c r="B374" s="54" t="s">
        <v>1559</v>
      </c>
      <c r="C374" s="55" t="s">
        <v>1560</v>
      </c>
      <c r="D374" s="54" t="s">
        <v>1331</v>
      </c>
      <c r="E374" s="56">
        <v>0</v>
      </c>
      <c r="F374" s="57" t="s">
        <v>792</v>
      </c>
      <c r="G374" s="58">
        <v>7300</v>
      </c>
      <c r="H374" s="59">
        <v>7300</v>
      </c>
      <c r="I374" s="59">
        <f t="shared" si="10"/>
        <v>0</v>
      </c>
    </row>
    <row r="375" spans="1:9" customFormat="1" x14ac:dyDescent="0.35">
      <c r="A375" s="63">
        <f t="shared" si="11"/>
        <v>374</v>
      </c>
      <c r="B375" s="54" t="s">
        <v>1561</v>
      </c>
      <c r="C375" s="55" t="s">
        <v>1562</v>
      </c>
      <c r="D375" s="54" t="s">
        <v>1331</v>
      </c>
      <c r="E375" s="56">
        <v>0</v>
      </c>
      <c r="F375" s="57" t="s">
        <v>1563</v>
      </c>
      <c r="G375" s="58">
        <v>53000</v>
      </c>
      <c r="H375" s="59">
        <v>53000</v>
      </c>
      <c r="I375" s="59">
        <f t="shared" si="10"/>
        <v>0</v>
      </c>
    </row>
    <row r="376" spans="1:9" customFormat="1" ht="23" x14ac:dyDescent="0.35">
      <c r="A376" s="63">
        <f t="shared" si="11"/>
        <v>375</v>
      </c>
      <c r="B376" s="54" t="s">
        <v>1564</v>
      </c>
      <c r="C376" s="55" t="s">
        <v>1565</v>
      </c>
      <c r="D376" s="54" t="s">
        <v>1331</v>
      </c>
      <c r="E376" s="56">
        <v>0</v>
      </c>
      <c r="F376" s="57" t="s">
        <v>844</v>
      </c>
      <c r="G376" s="58">
        <v>0</v>
      </c>
      <c r="H376" s="59">
        <v>1230000</v>
      </c>
      <c r="I376" s="59">
        <f t="shared" si="10"/>
        <v>0</v>
      </c>
    </row>
    <row r="377" spans="1:9" customFormat="1" ht="23" x14ac:dyDescent="0.35">
      <c r="A377" s="63">
        <f t="shared" si="11"/>
        <v>376</v>
      </c>
      <c r="B377" s="54" t="s">
        <v>1566</v>
      </c>
      <c r="C377" s="55" t="s">
        <v>1567</v>
      </c>
      <c r="D377" s="54" t="s">
        <v>1331</v>
      </c>
      <c r="E377" s="56">
        <v>0</v>
      </c>
      <c r="F377" s="57" t="s">
        <v>878</v>
      </c>
      <c r="G377" s="58">
        <v>0</v>
      </c>
      <c r="H377" s="59">
        <v>47000000</v>
      </c>
      <c r="I377" s="59">
        <f t="shared" si="10"/>
        <v>0</v>
      </c>
    </row>
    <row r="378" spans="1:9" customFormat="1" x14ac:dyDescent="0.35">
      <c r="A378" s="63">
        <f t="shared" si="11"/>
        <v>377</v>
      </c>
      <c r="B378" s="54" t="s">
        <v>1568</v>
      </c>
      <c r="C378" s="55" t="s">
        <v>1569</v>
      </c>
      <c r="D378" s="54" t="s">
        <v>1331</v>
      </c>
      <c r="E378" s="56">
        <v>0</v>
      </c>
      <c r="F378" s="57" t="s">
        <v>792</v>
      </c>
      <c r="G378" s="58">
        <v>0</v>
      </c>
      <c r="H378" s="59">
        <v>67200</v>
      </c>
      <c r="I378" s="59">
        <f t="shared" si="10"/>
        <v>0</v>
      </c>
    </row>
    <row r="379" spans="1:9" customFormat="1" x14ac:dyDescent="0.35">
      <c r="A379" s="63">
        <f t="shared" si="11"/>
        <v>378</v>
      </c>
      <c r="B379" s="54" t="s">
        <v>1570</v>
      </c>
      <c r="C379" s="55" t="s">
        <v>1571</v>
      </c>
      <c r="D379" s="54" t="s">
        <v>1331</v>
      </c>
      <c r="E379" s="56">
        <v>0</v>
      </c>
      <c r="F379" s="57" t="s">
        <v>1217</v>
      </c>
      <c r="G379" s="58">
        <v>15000</v>
      </c>
      <c r="H379" s="59">
        <v>15000</v>
      </c>
      <c r="I379" s="59">
        <f t="shared" si="10"/>
        <v>0</v>
      </c>
    </row>
    <row r="380" spans="1:9" customFormat="1" x14ac:dyDescent="0.35">
      <c r="A380" s="63">
        <f t="shared" si="11"/>
        <v>379</v>
      </c>
      <c r="B380" s="54" t="s">
        <v>1572</v>
      </c>
      <c r="C380" s="55" t="s">
        <v>1573</v>
      </c>
      <c r="D380" s="54" t="s">
        <v>1331</v>
      </c>
      <c r="E380" s="56">
        <v>0</v>
      </c>
      <c r="F380" s="57" t="s">
        <v>792</v>
      </c>
      <c r="G380" s="58">
        <v>35000</v>
      </c>
      <c r="H380" s="59">
        <v>35000</v>
      </c>
      <c r="I380" s="59">
        <f t="shared" si="10"/>
        <v>0</v>
      </c>
    </row>
    <row r="381" spans="1:9" customFormat="1" x14ac:dyDescent="0.35">
      <c r="A381" s="63">
        <f t="shared" si="11"/>
        <v>380</v>
      </c>
      <c r="B381" s="54" t="s">
        <v>1574</v>
      </c>
      <c r="C381" s="55" t="s">
        <v>1575</v>
      </c>
      <c r="D381" s="54" t="s">
        <v>1331</v>
      </c>
      <c r="E381" s="56">
        <v>0</v>
      </c>
      <c r="F381" s="57" t="s">
        <v>974</v>
      </c>
      <c r="G381" s="58">
        <v>150700</v>
      </c>
      <c r="H381" s="59">
        <v>150700</v>
      </c>
      <c r="I381" s="59">
        <f t="shared" si="10"/>
        <v>0</v>
      </c>
    </row>
    <row r="382" spans="1:9" customFormat="1" x14ac:dyDescent="0.35">
      <c r="A382" s="63">
        <f t="shared" si="11"/>
        <v>381</v>
      </c>
      <c r="B382" s="54" t="s">
        <v>1576</v>
      </c>
      <c r="C382" s="55" t="s">
        <v>1577</v>
      </c>
      <c r="D382" s="54" t="s">
        <v>1331</v>
      </c>
      <c r="E382" s="56">
        <v>0</v>
      </c>
      <c r="F382" s="57" t="s">
        <v>1376</v>
      </c>
      <c r="G382" s="58">
        <v>245000</v>
      </c>
      <c r="H382" s="59">
        <v>245000</v>
      </c>
      <c r="I382" s="59">
        <f t="shared" si="10"/>
        <v>0</v>
      </c>
    </row>
    <row r="383" spans="1:9" customFormat="1" x14ac:dyDescent="0.35">
      <c r="A383" s="63">
        <f t="shared" si="11"/>
        <v>382</v>
      </c>
      <c r="B383" s="54" t="s">
        <v>1578</v>
      </c>
      <c r="C383" s="55" t="s">
        <v>1579</v>
      </c>
      <c r="D383" s="54" t="s">
        <v>1331</v>
      </c>
      <c r="E383" s="56">
        <v>0</v>
      </c>
      <c r="F383" s="57" t="s">
        <v>792</v>
      </c>
      <c r="G383" s="58">
        <v>7500</v>
      </c>
      <c r="H383" s="59">
        <v>7500</v>
      </c>
      <c r="I383" s="59">
        <f t="shared" si="10"/>
        <v>0</v>
      </c>
    </row>
    <row r="384" spans="1:9" customFormat="1" ht="23" x14ac:dyDescent="0.35">
      <c r="A384" s="63">
        <f t="shared" si="11"/>
        <v>383</v>
      </c>
      <c r="B384" s="54" t="s">
        <v>1580</v>
      </c>
      <c r="C384" s="55" t="s">
        <v>1581</v>
      </c>
      <c r="D384" s="54" t="s">
        <v>1331</v>
      </c>
      <c r="E384" s="56">
        <v>0</v>
      </c>
      <c r="F384" s="57" t="s">
        <v>1552</v>
      </c>
      <c r="G384" s="58">
        <v>215000</v>
      </c>
      <c r="H384" s="59">
        <v>301000</v>
      </c>
      <c r="I384" s="59">
        <f t="shared" si="10"/>
        <v>0</v>
      </c>
    </row>
    <row r="385" spans="1:9" customFormat="1" x14ac:dyDescent="0.35">
      <c r="A385" s="63">
        <f t="shared" si="11"/>
        <v>384</v>
      </c>
      <c r="B385" s="54" t="s">
        <v>1582</v>
      </c>
      <c r="C385" s="55" t="s">
        <v>1583</v>
      </c>
      <c r="D385" s="54" t="s">
        <v>1331</v>
      </c>
      <c r="E385" s="56">
        <v>0</v>
      </c>
      <c r="F385" s="57" t="s">
        <v>1322</v>
      </c>
      <c r="G385" s="58">
        <v>750000</v>
      </c>
      <c r="H385" s="59">
        <v>750000</v>
      </c>
      <c r="I385" s="59">
        <f t="shared" si="10"/>
        <v>0</v>
      </c>
    </row>
    <row r="386" spans="1:9" customFormat="1" x14ac:dyDescent="0.35">
      <c r="A386" s="63">
        <f t="shared" si="11"/>
        <v>385</v>
      </c>
      <c r="B386" s="54" t="s">
        <v>1584</v>
      </c>
      <c r="C386" s="55" t="s">
        <v>1585</v>
      </c>
      <c r="D386" s="54" t="s">
        <v>1331</v>
      </c>
      <c r="E386" s="56">
        <v>0</v>
      </c>
      <c r="F386" s="57" t="s">
        <v>792</v>
      </c>
      <c r="G386" s="58">
        <v>165000</v>
      </c>
      <c r="H386" s="59">
        <v>208000</v>
      </c>
      <c r="I386" s="59">
        <f t="shared" si="10"/>
        <v>0</v>
      </c>
    </row>
    <row r="387" spans="1:9" customFormat="1" ht="23" x14ac:dyDescent="0.35">
      <c r="A387" s="63">
        <f t="shared" si="11"/>
        <v>386</v>
      </c>
      <c r="B387" s="54" t="s">
        <v>1586</v>
      </c>
      <c r="C387" s="55" t="s">
        <v>1587</v>
      </c>
      <c r="D387" s="54" t="s">
        <v>1331</v>
      </c>
      <c r="E387" s="56">
        <v>0</v>
      </c>
      <c r="F387" s="57" t="s">
        <v>792</v>
      </c>
      <c r="G387" s="58">
        <v>0</v>
      </c>
      <c r="H387" s="59">
        <v>530000</v>
      </c>
      <c r="I387" s="59">
        <f t="shared" ref="I387:I450" si="12">H387*E387</f>
        <v>0</v>
      </c>
    </row>
    <row r="388" spans="1:9" customFormat="1" ht="23" x14ac:dyDescent="0.35">
      <c r="A388" s="63">
        <f t="shared" ref="A388:A451" si="13">A387+1</f>
        <v>387</v>
      </c>
      <c r="B388" s="54" t="s">
        <v>1588</v>
      </c>
      <c r="C388" s="55" t="s">
        <v>1589</v>
      </c>
      <c r="D388" s="54" t="s">
        <v>1331</v>
      </c>
      <c r="E388" s="56">
        <v>0</v>
      </c>
      <c r="F388" s="57" t="s">
        <v>844</v>
      </c>
      <c r="G388" s="58">
        <v>0</v>
      </c>
      <c r="H388" s="59">
        <v>87500</v>
      </c>
      <c r="I388" s="59">
        <f t="shared" si="12"/>
        <v>0</v>
      </c>
    </row>
    <row r="389" spans="1:9" customFormat="1" x14ac:dyDescent="0.35">
      <c r="A389" s="63">
        <f t="shared" si="13"/>
        <v>388</v>
      </c>
      <c r="B389" s="54" t="s">
        <v>1590</v>
      </c>
      <c r="C389" s="55" t="s">
        <v>1591</v>
      </c>
      <c r="D389" s="54" t="s">
        <v>1331</v>
      </c>
      <c r="E389" s="56">
        <v>0</v>
      </c>
      <c r="F389" s="57" t="s">
        <v>792</v>
      </c>
      <c r="G389" s="58">
        <v>0</v>
      </c>
      <c r="H389" s="59">
        <v>87500</v>
      </c>
      <c r="I389" s="59">
        <f t="shared" si="12"/>
        <v>0</v>
      </c>
    </row>
    <row r="390" spans="1:9" customFormat="1" ht="23" x14ac:dyDescent="0.35">
      <c r="A390" s="63">
        <f t="shared" si="13"/>
        <v>389</v>
      </c>
      <c r="B390" s="54" t="s">
        <v>1592</v>
      </c>
      <c r="C390" s="55" t="s">
        <v>1593</v>
      </c>
      <c r="D390" s="54" t="s">
        <v>1331</v>
      </c>
      <c r="E390" s="56">
        <v>0</v>
      </c>
      <c r="F390" s="57" t="s">
        <v>844</v>
      </c>
      <c r="G390" s="58">
        <v>0</v>
      </c>
      <c r="H390" s="59">
        <v>465000</v>
      </c>
      <c r="I390" s="59">
        <f t="shared" si="12"/>
        <v>0</v>
      </c>
    </row>
    <row r="391" spans="1:9" customFormat="1" x14ac:dyDescent="0.35">
      <c r="A391" s="63">
        <f t="shared" si="13"/>
        <v>390</v>
      </c>
      <c r="B391" s="54" t="s">
        <v>1594</v>
      </c>
      <c r="C391" s="55" t="s">
        <v>1595</v>
      </c>
      <c r="D391" s="54" t="s">
        <v>1331</v>
      </c>
      <c r="E391" s="56">
        <v>0</v>
      </c>
      <c r="F391" s="57" t="s">
        <v>1431</v>
      </c>
      <c r="G391" s="58">
        <v>17475</v>
      </c>
      <c r="H391" s="59">
        <v>17475</v>
      </c>
      <c r="I391" s="59">
        <f t="shared" si="12"/>
        <v>0</v>
      </c>
    </row>
    <row r="392" spans="1:9" customFormat="1" x14ac:dyDescent="0.35">
      <c r="A392" s="63">
        <f t="shared" si="13"/>
        <v>391</v>
      </c>
      <c r="B392" s="54" t="s">
        <v>1596</v>
      </c>
      <c r="C392" s="55" t="s">
        <v>1597</v>
      </c>
      <c r="D392" s="54" t="s">
        <v>1331</v>
      </c>
      <c r="E392" s="56">
        <v>0</v>
      </c>
      <c r="F392" s="57" t="s">
        <v>844</v>
      </c>
      <c r="G392" s="58">
        <v>0</v>
      </c>
      <c r="H392" s="59">
        <v>42500000</v>
      </c>
      <c r="I392" s="59">
        <f t="shared" si="12"/>
        <v>0</v>
      </c>
    </row>
    <row r="393" spans="1:9" customFormat="1" x14ac:dyDescent="0.35">
      <c r="A393" s="63">
        <f t="shared" si="13"/>
        <v>392</v>
      </c>
      <c r="B393" s="54" t="s">
        <v>1598</v>
      </c>
      <c r="C393" s="55" t="s">
        <v>1599</v>
      </c>
      <c r="D393" s="54" t="s">
        <v>1331</v>
      </c>
      <c r="E393" s="56">
        <v>0</v>
      </c>
      <c r="F393" s="57" t="s">
        <v>977</v>
      </c>
      <c r="G393" s="58">
        <v>23250</v>
      </c>
      <c r="H393" s="59">
        <v>23250</v>
      </c>
      <c r="I393" s="59">
        <f t="shared" si="12"/>
        <v>0</v>
      </c>
    </row>
    <row r="394" spans="1:9" customFormat="1" x14ac:dyDescent="0.35">
      <c r="A394" s="63">
        <f t="shared" si="13"/>
        <v>393</v>
      </c>
      <c r="B394" s="54" t="s">
        <v>1600</v>
      </c>
      <c r="C394" s="55" t="s">
        <v>1601</v>
      </c>
      <c r="D394" s="54" t="s">
        <v>1331</v>
      </c>
      <c r="E394" s="56">
        <v>0</v>
      </c>
      <c r="F394" s="57" t="s">
        <v>977</v>
      </c>
      <c r="G394" s="58">
        <v>57900</v>
      </c>
      <c r="H394" s="59">
        <v>57900</v>
      </c>
      <c r="I394" s="59">
        <f t="shared" si="12"/>
        <v>0</v>
      </c>
    </row>
    <row r="395" spans="1:9" customFormat="1" x14ac:dyDescent="0.35">
      <c r="A395" s="63">
        <f t="shared" si="13"/>
        <v>394</v>
      </c>
      <c r="B395" s="54" t="s">
        <v>1602</v>
      </c>
      <c r="C395" s="55" t="s">
        <v>1603</v>
      </c>
      <c r="D395" s="54" t="s">
        <v>1331</v>
      </c>
      <c r="E395" s="56">
        <v>0</v>
      </c>
      <c r="F395" s="57" t="s">
        <v>977</v>
      </c>
      <c r="G395" s="58">
        <v>76000</v>
      </c>
      <c r="H395" s="59">
        <v>122500</v>
      </c>
      <c r="I395" s="59">
        <f t="shared" si="12"/>
        <v>0</v>
      </c>
    </row>
    <row r="396" spans="1:9" customFormat="1" x14ac:dyDescent="0.35">
      <c r="A396" s="63">
        <f t="shared" si="13"/>
        <v>395</v>
      </c>
      <c r="B396" s="54" t="s">
        <v>1604</v>
      </c>
      <c r="C396" s="55" t="s">
        <v>1605</v>
      </c>
      <c r="D396" s="54" t="s">
        <v>1331</v>
      </c>
      <c r="E396" s="56">
        <v>0</v>
      </c>
      <c r="F396" s="57" t="s">
        <v>977</v>
      </c>
      <c r="G396" s="58">
        <v>31000</v>
      </c>
      <c r="H396" s="59">
        <v>31000</v>
      </c>
      <c r="I396" s="59">
        <f t="shared" si="12"/>
        <v>0</v>
      </c>
    </row>
    <row r="397" spans="1:9" customFormat="1" x14ac:dyDescent="0.35">
      <c r="A397" s="63">
        <f t="shared" si="13"/>
        <v>396</v>
      </c>
      <c r="B397" s="54" t="s">
        <v>1606</v>
      </c>
      <c r="C397" s="55" t="s">
        <v>1607</v>
      </c>
      <c r="D397" s="54" t="s">
        <v>1331</v>
      </c>
      <c r="E397" s="56">
        <v>0</v>
      </c>
      <c r="F397" s="57" t="s">
        <v>977</v>
      </c>
      <c r="G397" s="58">
        <v>160000</v>
      </c>
      <c r="H397" s="59">
        <v>160000</v>
      </c>
      <c r="I397" s="59">
        <f t="shared" si="12"/>
        <v>0</v>
      </c>
    </row>
    <row r="398" spans="1:9" customFormat="1" x14ac:dyDescent="0.35">
      <c r="A398" s="63">
        <f t="shared" si="13"/>
        <v>397</v>
      </c>
      <c r="B398" s="54" t="s">
        <v>1608</v>
      </c>
      <c r="C398" s="55" t="s">
        <v>1609</v>
      </c>
      <c r="D398" s="54" t="s">
        <v>1331</v>
      </c>
      <c r="E398" s="56">
        <v>0</v>
      </c>
      <c r="F398" s="57" t="s">
        <v>977</v>
      </c>
      <c r="G398" s="58">
        <v>9200</v>
      </c>
      <c r="H398" s="59">
        <v>9200</v>
      </c>
      <c r="I398" s="59">
        <f t="shared" si="12"/>
        <v>0</v>
      </c>
    </row>
    <row r="399" spans="1:9" customFormat="1" x14ac:dyDescent="0.35">
      <c r="A399" s="63">
        <f t="shared" si="13"/>
        <v>398</v>
      </c>
      <c r="B399" s="54" t="s">
        <v>1610</v>
      </c>
      <c r="C399" s="55" t="s">
        <v>1611</v>
      </c>
      <c r="D399" s="54" t="s">
        <v>1331</v>
      </c>
      <c r="E399" s="56">
        <v>0</v>
      </c>
      <c r="F399" s="57" t="s">
        <v>977</v>
      </c>
      <c r="G399" s="58">
        <v>13290.61</v>
      </c>
      <c r="H399" s="59">
        <v>19500</v>
      </c>
      <c r="I399" s="59">
        <f t="shared" si="12"/>
        <v>0</v>
      </c>
    </row>
    <row r="400" spans="1:9" customFormat="1" x14ac:dyDescent="0.35">
      <c r="A400" s="63">
        <f t="shared" si="13"/>
        <v>399</v>
      </c>
      <c r="B400" s="54" t="s">
        <v>1612</v>
      </c>
      <c r="C400" s="55" t="s">
        <v>1613</v>
      </c>
      <c r="D400" s="54" t="s">
        <v>1331</v>
      </c>
      <c r="E400" s="56">
        <v>0</v>
      </c>
      <c r="F400" s="57" t="s">
        <v>994</v>
      </c>
      <c r="G400" s="58">
        <v>20038.89</v>
      </c>
      <c r="H400" s="59">
        <v>70000</v>
      </c>
      <c r="I400" s="59">
        <f t="shared" si="12"/>
        <v>0</v>
      </c>
    </row>
    <row r="401" spans="1:9" customFormat="1" x14ac:dyDescent="0.35">
      <c r="A401" s="63">
        <f t="shared" si="13"/>
        <v>400</v>
      </c>
      <c r="B401" s="54" t="s">
        <v>1614</v>
      </c>
      <c r="C401" s="55" t="s">
        <v>1615</v>
      </c>
      <c r="D401" s="54" t="s">
        <v>1331</v>
      </c>
      <c r="E401" s="56">
        <v>0</v>
      </c>
      <c r="F401" s="57" t="s">
        <v>1087</v>
      </c>
      <c r="G401" s="58">
        <v>10000</v>
      </c>
      <c r="H401" s="59">
        <v>16200</v>
      </c>
      <c r="I401" s="59">
        <f t="shared" si="12"/>
        <v>0</v>
      </c>
    </row>
    <row r="402" spans="1:9" customFormat="1" x14ac:dyDescent="0.35">
      <c r="A402" s="63">
        <f t="shared" si="13"/>
        <v>401</v>
      </c>
      <c r="B402" s="54" t="s">
        <v>1616</v>
      </c>
      <c r="C402" s="55" t="s">
        <v>1617</v>
      </c>
      <c r="D402" s="54" t="s">
        <v>1331</v>
      </c>
      <c r="E402" s="56">
        <v>0</v>
      </c>
      <c r="F402" s="57" t="s">
        <v>815</v>
      </c>
      <c r="G402" s="58">
        <v>101850</v>
      </c>
      <c r="H402" s="59">
        <v>146713</v>
      </c>
      <c r="I402" s="59">
        <f t="shared" si="12"/>
        <v>0</v>
      </c>
    </row>
    <row r="403" spans="1:9" customFormat="1" x14ac:dyDescent="0.35">
      <c r="A403" s="63">
        <f t="shared" si="13"/>
        <v>402</v>
      </c>
      <c r="B403" s="54" t="s">
        <v>1618</v>
      </c>
      <c r="C403" s="55" t="s">
        <v>1619</v>
      </c>
      <c r="D403" s="54" t="s">
        <v>1331</v>
      </c>
      <c r="E403" s="56">
        <v>0</v>
      </c>
      <c r="F403" s="57" t="s">
        <v>969</v>
      </c>
      <c r="G403" s="58">
        <v>0</v>
      </c>
      <c r="H403" s="59">
        <v>2660000</v>
      </c>
      <c r="I403" s="59">
        <f t="shared" si="12"/>
        <v>0</v>
      </c>
    </row>
    <row r="404" spans="1:9" customFormat="1" x14ac:dyDescent="0.35">
      <c r="A404" s="63">
        <f t="shared" si="13"/>
        <v>403</v>
      </c>
      <c r="B404" s="54" t="s">
        <v>1620</v>
      </c>
      <c r="C404" s="55" t="s">
        <v>1621</v>
      </c>
      <c r="D404" s="54" t="s">
        <v>1331</v>
      </c>
      <c r="E404" s="56">
        <v>0</v>
      </c>
      <c r="F404" s="57" t="s">
        <v>792</v>
      </c>
      <c r="G404" s="58">
        <v>3700</v>
      </c>
      <c r="H404" s="59">
        <v>3700</v>
      </c>
      <c r="I404" s="59">
        <f t="shared" si="12"/>
        <v>0</v>
      </c>
    </row>
    <row r="405" spans="1:9" customFormat="1" x14ac:dyDescent="0.35">
      <c r="A405" s="63">
        <f t="shared" si="13"/>
        <v>404</v>
      </c>
      <c r="B405" s="54" t="s">
        <v>1622</v>
      </c>
      <c r="C405" s="55" t="s">
        <v>1623</v>
      </c>
      <c r="D405" s="54" t="s">
        <v>1331</v>
      </c>
      <c r="E405" s="56">
        <v>0</v>
      </c>
      <c r="F405" s="57" t="s">
        <v>792</v>
      </c>
      <c r="G405" s="58">
        <v>6200</v>
      </c>
      <c r="H405" s="59">
        <v>6200</v>
      </c>
      <c r="I405" s="59">
        <f t="shared" si="12"/>
        <v>0</v>
      </c>
    </row>
    <row r="406" spans="1:9" customFormat="1" x14ac:dyDescent="0.35">
      <c r="A406" s="63">
        <f t="shared" si="13"/>
        <v>405</v>
      </c>
      <c r="B406" s="54" t="s">
        <v>1624</v>
      </c>
      <c r="C406" s="55" t="s">
        <v>1625</v>
      </c>
      <c r="D406" s="54" t="s">
        <v>1331</v>
      </c>
      <c r="E406" s="56">
        <v>0</v>
      </c>
      <c r="F406" s="57" t="s">
        <v>792</v>
      </c>
      <c r="G406" s="58">
        <v>0</v>
      </c>
      <c r="H406" s="59">
        <v>0</v>
      </c>
      <c r="I406" s="59">
        <f t="shared" si="12"/>
        <v>0</v>
      </c>
    </row>
    <row r="407" spans="1:9" customFormat="1" x14ac:dyDescent="0.35">
      <c r="A407" s="63">
        <f t="shared" si="13"/>
        <v>406</v>
      </c>
      <c r="B407" s="54" t="s">
        <v>1626</v>
      </c>
      <c r="C407" s="55" t="s">
        <v>1627</v>
      </c>
      <c r="D407" s="54" t="s">
        <v>1331</v>
      </c>
      <c r="E407" s="56">
        <v>0</v>
      </c>
      <c r="F407" s="57" t="s">
        <v>792</v>
      </c>
      <c r="G407" s="58">
        <v>0</v>
      </c>
      <c r="H407" s="59">
        <v>0</v>
      </c>
      <c r="I407" s="59">
        <f t="shared" si="12"/>
        <v>0</v>
      </c>
    </row>
    <row r="408" spans="1:9" customFormat="1" x14ac:dyDescent="0.35">
      <c r="A408" s="63">
        <f t="shared" si="13"/>
        <v>407</v>
      </c>
      <c r="B408" s="54" t="s">
        <v>1628</v>
      </c>
      <c r="C408" s="55" t="s">
        <v>1629</v>
      </c>
      <c r="D408" s="54" t="s">
        <v>1331</v>
      </c>
      <c r="E408" s="56">
        <v>0</v>
      </c>
      <c r="F408" s="57" t="s">
        <v>844</v>
      </c>
      <c r="G408" s="58">
        <v>0</v>
      </c>
      <c r="H408" s="59">
        <v>4032000</v>
      </c>
      <c r="I408" s="59">
        <f t="shared" si="12"/>
        <v>0</v>
      </c>
    </row>
    <row r="409" spans="1:9" customFormat="1" x14ac:dyDescent="0.35">
      <c r="A409" s="63">
        <f t="shared" si="13"/>
        <v>408</v>
      </c>
      <c r="B409" s="54" t="s">
        <v>1630</v>
      </c>
      <c r="C409" s="55" t="s">
        <v>1631</v>
      </c>
      <c r="D409" s="54" t="s">
        <v>1331</v>
      </c>
      <c r="E409" s="56">
        <v>0</v>
      </c>
      <c r="F409" s="57" t="s">
        <v>977</v>
      </c>
      <c r="G409" s="58">
        <v>28000</v>
      </c>
      <c r="H409" s="59">
        <v>28000</v>
      </c>
      <c r="I409" s="59">
        <f t="shared" si="12"/>
        <v>0</v>
      </c>
    </row>
    <row r="410" spans="1:9" customFormat="1" ht="34.5" x14ac:dyDescent="0.35">
      <c r="A410" s="63">
        <f t="shared" si="13"/>
        <v>409</v>
      </c>
      <c r="B410" s="54" t="s">
        <v>1632</v>
      </c>
      <c r="C410" s="55" t="s">
        <v>1633</v>
      </c>
      <c r="D410" s="54" t="s">
        <v>1331</v>
      </c>
      <c r="E410" s="56">
        <v>0</v>
      </c>
      <c r="F410" s="57" t="s">
        <v>844</v>
      </c>
      <c r="G410" s="58">
        <v>0</v>
      </c>
      <c r="H410" s="59">
        <v>5850000</v>
      </c>
      <c r="I410" s="59">
        <f t="shared" si="12"/>
        <v>0</v>
      </c>
    </row>
    <row r="411" spans="1:9" customFormat="1" x14ac:dyDescent="0.35">
      <c r="A411" s="63">
        <f t="shared" si="13"/>
        <v>410</v>
      </c>
      <c r="B411" s="54" t="s">
        <v>1634</v>
      </c>
      <c r="C411" s="55" t="s">
        <v>1635</v>
      </c>
      <c r="D411" s="54" t="s">
        <v>1331</v>
      </c>
      <c r="E411" s="56">
        <v>0</v>
      </c>
      <c r="F411" s="57" t="s">
        <v>1217</v>
      </c>
      <c r="G411" s="58">
        <v>5500</v>
      </c>
      <c r="H411" s="59">
        <v>5500</v>
      </c>
      <c r="I411" s="59">
        <f t="shared" si="12"/>
        <v>0</v>
      </c>
    </row>
    <row r="412" spans="1:9" customFormat="1" ht="23" x14ac:dyDescent="0.35">
      <c r="A412" s="63">
        <f t="shared" si="13"/>
        <v>411</v>
      </c>
      <c r="B412" s="54" t="s">
        <v>1636</v>
      </c>
      <c r="C412" s="55" t="s">
        <v>1637</v>
      </c>
      <c r="D412" s="54" t="s">
        <v>1331</v>
      </c>
      <c r="E412" s="56">
        <v>0</v>
      </c>
      <c r="F412" s="57" t="s">
        <v>1638</v>
      </c>
      <c r="G412" s="58">
        <v>130000</v>
      </c>
      <c r="H412" s="59">
        <v>182000</v>
      </c>
      <c r="I412" s="59">
        <f t="shared" si="12"/>
        <v>0</v>
      </c>
    </row>
    <row r="413" spans="1:9" customFormat="1" x14ac:dyDescent="0.35">
      <c r="A413" s="63">
        <f t="shared" si="13"/>
        <v>412</v>
      </c>
      <c r="B413" s="54" t="s">
        <v>1639</v>
      </c>
      <c r="C413" s="55" t="s">
        <v>1640</v>
      </c>
      <c r="D413" s="54" t="s">
        <v>1331</v>
      </c>
      <c r="E413" s="56">
        <v>0</v>
      </c>
      <c r="F413" s="57" t="s">
        <v>792</v>
      </c>
      <c r="G413" s="58">
        <v>18000</v>
      </c>
      <c r="H413" s="59">
        <v>18000</v>
      </c>
      <c r="I413" s="59">
        <f t="shared" si="12"/>
        <v>0</v>
      </c>
    </row>
    <row r="414" spans="1:9" customFormat="1" x14ac:dyDescent="0.35">
      <c r="A414" s="63">
        <f t="shared" si="13"/>
        <v>413</v>
      </c>
      <c r="B414" s="54" t="s">
        <v>1641</v>
      </c>
      <c r="C414" s="55" t="s">
        <v>1642</v>
      </c>
      <c r="D414" s="54" t="s">
        <v>1331</v>
      </c>
      <c r="E414" s="56">
        <v>0</v>
      </c>
      <c r="F414" s="57" t="s">
        <v>792</v>
      </c>
      <c r="G414" s="58">
        <v>183750</v>
      </c>
      <c r="H414" s="59">
        <v>180000</v>
      </c>
      <c r="I414" s="59">
        <f t="shared" si="12"/>
        <v>0</v>
      </c>
    </row>
    <row r="415" spans="1:9" customFormat="1" ht="34.5" x14ac:dyDescent="0.35">
      <c r="A415" s="63">
        <f t="shared" si="13"/>
        <v>414</v>
      </c>
      <c r="B415" s="54" t="s">
        <v>1643</v>
      </c>
      <c r="C415" s="55" t="s">
        <v>1644</v>
      </c>
      <c r="D415" s="54" t="s">
        <v>1331</v>
      </c>
      <c r="E415" s="56">
        <v>0</v>
      </c>
      <c r="F415" s="57" t="s">
        <v>878</v>
      </c>
      <c r="G415" s="58">
        <v>0</v>
      </c>
      <c r="H415" s="59">
        <v>169575000</v>
      </c>
      <c r="I415" s="59">
        <f t="shared" si="12"/>
        <v>0</v>
      </c>
    </row>
    <row r="416" spans="1:9" customFormat="1" x14ac:dyDescent="0.35">
      <c r="A416" s="63">
        <f t="shared" si="13"/>
        <v>415</v>
      </c>
      <c r="B416" s="54" t="s">
        <v>1645</v>
      </c>
      <c r="C416" s="55" t="s">
        <v>1646</v>
      </c>
      <c r="D416" s="54" t="s">
        <v>1331</v>
      </c>
      <c r="E416" s="56">
        <v>0</v>
      </c>
      <c r="F416" s="57" t="s">
        <v>792</v>
      </c>
      <c r="G416" s="58">
        <v>0</v>
      </c>
      <c r="H416" s="59">
        <v>18648</v>
      </c>
      <c r="I416" s="59">
        <f t="shared" si="12"/>
        <v>0</v>
      </c>
    </row>
    <row r="417" spans="1:9" customFormat="1" x14ac:dyDescent="0.35">
      <c r="A417" s="63">
        <f t="shared" si="13"/>
        <v>416</v>
      </c>
      <c r="B417" s="54" t="s">
        <v>1647</v>
      </c>
      <c r="C417" s="55" t="s">
        <v>1648</v>
      </c>
      <c r="D417" s="54" t="s">
        <v>1331</v>
      </c>
      <c r="E417" s="56">
        <v>0</v>
      </c>
      <c r="F417" s="57" t="s">
        <v>792</v>
      </c>
      <c r="G417" s="58">
        <v>193750</v>
      </c>
      <c r="H417" s="59">
        <v>195000</v>
      </c>
      <c r="I417" s="59">
        <f t="shared" si="12"/>
        <v>0</v>
      </c>
    </row>
    <row r="418" spans="1:9" customFormat="1" x14ac:dyDescent="0.35">
      <c r="A418" s="63">
        <f t="shared" si="13"/>
        <v>417</v>
      </c>
      <c r="B418" s="54" t="s">
        <v>1649</v>
      </c>
      <c r="C418" s="55" t="s">
        <v>1650</v>
      </c>
      <c r="D418" s="54" t="s">
        <v>1331</v>
      </c>
      <c r="E418" s="56">
        <v>0</v>
      </c>
      <c r="F418" s="57" t="s">
        <v>878</v>
      </c>
      <c r="G418" s="58">
        <v>150000</v>
      </c>
      <c r="H418" s="59">
        <v>150000</v>
      </c>
      <c r="I418" s="59">
        <f t="shared" si="12"/>
        <v>0</v>
      </c>
    </row>
    <row r="419" spans="1:9" customFormat="1" x14ac:dyDescent="0.35">
      <c r="A419" s="63">
        <f t="shared" si="13"/>
        <v>418</v>
      </c>
      <c r="B419" s="54" t="s">
        <v>1651</v>
      </c>
      <c r="C419" s="55" t="s">
        <v>1652</v>
      </c>
      <c r="D419" s="54" t="s">
        <v>1331</v>
      </c>
      <c r="E419" s="56">
        <v>0</v>
      </c>
      <c r="F419" s="57" t="s">
        <v>792</v>
      </c>
      <c r="G419" s="58">
        <v>0</v>
      </c>
      <c r="H419" s="59">
        <v>2835000</v>
      </c>
      <c r="I419" s="59">
        <f t="shared" si="12"/>
        <v>0</v>
      </c>
    </row>
    <row r="420" spans="1:9" customFormat="1" x14ac:dyDescent="0.35">
      <c r="A420" s="63">
        <f t="shared" si="13"/>
        <v>419</v>
      </c>
      <c r="B420" s="54" t="s">
        <v>1653</v>
      </c>
      <c r="C420" s="55" t="s">
        <v>1654</v>
      </c>
      <c r="D420" s="54" t="s">
        <v>1331</v>
      </c>
      <c r="E420" s="56">
        <v>0</v>
      </c>
      <c r="F420" s="57" t="s">
        <v>792</v>
      </c>
      <c r="G420" s="58">
        <v>20000</v>
      </c>
      <c r="H420" s="59">
        <v>20000</v>
      </c>
      <c r="I420" s="59">
        <f t="shared" si="12"/>
        <v>0</v>
      </c>
    </row>
    <row r="421" spans="1:9" customFormat="1" x14ac:dyDescent="0.35">
      <c r="A421" s="63">
        <f t="shared" si="13"/>
        <v>420</v>
      </c>
      <c r="B421" s="54" t="s">
        <v>1655</v>
      </c>
      <c r="C421" s="55" t="s">
        <v>1656</v>
      </c>
      <c r="D421" s="54" t="s">
        <v>1331</v>
      </c>
      <c r="E421" s="56">
        <v>0</v>
      </c>
      <c r="F421" s="57" t="s">
        <v>792</v>
      </c>
      <c r="G421" s="58">
        <v>0</v>
      </c>
      <c r="H421" s="59">
        <v>115000</v>
      </c>
      <c r="I421" s="59">
        <f t="shared" si="12"/>
        <v>0</v>
      </c>
    </row>
    <row r="422" spans="1:9" customFormat="1" x14ac:dyDescent="0.35">
      <c r="A422" s="63">
        <f t="shared" si="13"/>
        <v>421</v>
      </c>
      <c r="B422" s="54" t="s">
        <v>1657</v>
      </c>
      <c r="C422" s="55" t="s">
        <v>1658</v>
      </c>
      <c r="D422" s="54" t="s">
        <v>1331</v>
      </c>
      <c r="E422" s="56">
        <v>0</v>
      </c>
      <c r="F422" s="57" t="s">
        <v>1638</v>
      </c>
      <c r="G422" s="58">
        <v>18000</v>
      </c>
      <c r="H422" s="59">
        <v>24300</v>
      </c>
      <c r="I422" s="59">
        <f t="shared" si="12"/>
        <v>0</v>
      </c>
    </row>
    <row r="423" spans="1:9" customFormat="1" x14ac:dyDescent="0.35">
      <c r="A423" s="63">
        <f t="shared" si="13"/>
        <v>422</v>
      </c>
      <c r="B423" s="54" t="s">
        <v>1659</v>
      </c>
      <c r="C423" s="55" t="s">
        <v>1660</v>
      </c>
      <c r="D423" s="54" t="s">
        <v>1331</v>
      </c>
      <c r="E423" s="56">
        <v>0</v>
      </c>
      <c r="F423" s="57" t="s">
        <v>792</v>
      </c>
      <c r="G423" s="58">
        <v>11000</v>
      </c>
      <c r="H423" s="59">
        <v>17500</v>
      </c>
      <c r="I423" s="59">
        <f t="shared" si="12"/>
        <v>0</v>
      </c>
    </row>
    <row r="424" spans="1:9" customFormat="1" x14ac:dyDescent="0.35">
      <c r="A424" s="63">
        <f t="shared" si="13"/>
        <v>423</v>
      </c>
      <c r="B424" s="54" t="s">
        <v>1661</v>
      </c>
      <c r="C424" s="55" t="s">
        <v>1662</v>
      </c>
      <c r="D424" s="54" t="s">
        <v>1331</v>
      </c>
      <c r="E424" s="56">
        <v>0</v>
      </c>
      <c r="F424" s="57" t="s">
        <v>792</v>
      </c>
      <c r="G424" s="58">
        <v>2500</v>
      </c>
      <c r="H424" s="59">
        <v>2500</v>
      </c>
      <c r="I424" s="59">
        <f t="shared" si="12"/>
        <v>0</v>
      </c>
    </row>
    <row r="425" spans="1:9" customFormat="1" x14ac:dyDescent="0.35">
      <c r="A425" s="63">
        <f t="shared" si="13"/>
        <v>424</v>
      </c>
      <c r="B425" s="54" t="s">
        <v>1663</v>
      </c>
      <c r="C425" s="55" t="s">
        <v>1664</v>
      </c>
      <c r="D425" s="54" t="s">
        <v>1331</v>
      </c>
      <c r="E425" s="56">
        <v>0</v>
      </c>
      <c r="F425" s="57" t="s">
        <v>792</v>
      </c>
      <c r="G425" s="58">
        <v>1500</v>
      </c>
      <c r="H425" s="59">
        <v>1500</v>
      </c>
      <c r="I425" s="59">
        <f t="shared" si="12"/>
        <v>0</v>
      </c>
    </row>
    <row r="426" spans="1:9" customFormat="1" x14ac:dyDescent="0.35">
      <c r="A426" s="63">
        <f t="shared" si="13"/>
        <v>425</v>
      </c>
      <c r="B426" s="54" t="s">
        <v>1665</v>
      </c>
      <c r="C426" s="55" t="s">
        <v>1666</v>
      </c>
      <c r="D426" s="54" t="s">
        <v>1331</v>
      </c>
      <c r="E426" s="56">
        <v>0</v>
      </c>
      <c r="F426" s="57" t="s">
        <v>792</v>
      </c>
      <c r="G426" s="58">
        <v>35000</v>
      </c>
      <c r="H426" s="59">
        <v>49000</v>
      </c>
      <c r="I426" s="59">
        <f t="shared" si="12"/>
        <v>0</v>
      </c>
    </row>
    <row r="427" spans="1:9" customFormat="1" x14ac:dyDescent="0.35">
      <c r="A427" s="63">
        <f t="shared" si="13"/>
        <v>426</v>
      </c>
      <c r="B427" s="54" t="s">
        <v>1667</v>
      </c>
      <c r="C427" s="55" t="s">
        <v>1668</v>
      </c>
      <c r="D427" s="54" t="s">
        <v>1331</v>
      </c>
      <c r="E427" s="56">
        <v>0</v>
      </c>
      <c r="F427" s="57" t="s">
        <v>792</v>
      </c>
      <c r="G427" s="58">
        <v>6000</v>
      </c>
      <c r="H427" s="59">
        <v>6000</v>
      </c>
      <c r="I427" s="59">
        <f t="shared" si="12"/>
        <v>0</v>
      </c>
    </row>
    <row r="428" spans="1:9" customFormat="1" x14ac:dyDescent="0.35">
      <c r="A428" s="63">
        <f t="shared" si="13"/>
        <v>427</v>
      </c>
      <c r="B428" s="54" t="s">
        <v>1669</v>
      </c>
      <c r="C428" s="55" t="s">
        <v>1670</v>
      </c>
      <c r="D428" s="54" t="s">
        <v>1331</v>
      </c>
      <c r="E428" s="56">
        <v>0</v>
      </c>
      <c r="F428" s="57" t="s">
        <v>1217</v>
      </c>
      <c r="G428" s="58">
        <v>36000</v>
      </c>
      <c r="H428" s="59">
        <v>36000</v>
      </c>
      <c r="I428" s="59">
        <f t="shared" si="12"/>
        <v>0</v>
      </c>
    </row>
    <row r="429" spans="1:9" customFormat="1" x14ac:dyDescent="0.35">
      <c r="A429" s="63">
        <f t="shared" si="13"/>
        <v>428</v>
      </c>
      <c r="B429" s="54" t="s">
        <v>1671</v>
      </c>
      <c r="C429" s="55" t="s">
        <v>1672</v>
      </c>
      <c r="D429" s="54" t="s">
        <v>1331</v>
      </c>
      <c r="E429" s="56">
        <v>0</v>
      </c>
      <c r="F429" s="57" t="s">
        <v>792</v>
      </c>
      <c r="G429" s="58">
        <v>0</v>
      </c>
      <c r="H429" s="59">
        <v>7420</v>
      </c>
      <c r="I429" s="59">
        <f t="shared" si="12"/>
        <v>0</v>
      </c>
    </row>
    <row r="430" spans="1:9" customFormat="1" x14ac:dyDescent="0.35">
      <c r="A430" s="63">
        <f t="shared" si="13"/>
        <v>429</v>
      </c>
      <c r="B430" s="54" t="s">
        <v>1673</v>
      </c>
      <c r="C430" s="55" t="s">
        <v>1674</v>
      </c>
      <c r="D430" s="54" t="s">
        <v>1331</v>
      </c>
      <c r="E430" s="56">
        <v>0</v>
      </c>
      <c r="F430" s="57" t="s">
        <v>1217</v>
      </c>
      <c r="G430" s="58">
        <v>3500</v>
      </c>
      <c r="H430" s="59">
        <v>3500</v>
      </c>
      <c r="I430" s="59">
        <f t="shared" si="12"/>
        <v>0</v>
      </c>
    </row>
    <row r="431" spans="1:9" customFormat="1" x14ac:dyDescent="0.35">
      <c r="A431" s="63">
        <f t="shared" si="13"/>
        <v>430</v>
      </c>
      <c r="B431" s="54" t="s">
        <v>1675</v>
      </c>
      <c r="C431" s="55" t="s">
        <v>1676</v>
      </c>
      <c r="D431" s="54" t="s">
        <v>1331</v>
      </c>
      <c r="E431" s="56">
        <v>0</v>
      </c>
      <c r="F431" s="57" t="s">
        <v>792</v>
      </c>
      <c r="G431" s="58">
        <v>5000</v>
      </c>
      <c r="H431" s="59">
        <v>5180</v>
      </c>
      <c r="I431" s="59">
        <f t="shared" si="12"/>
        <v>0</v>
      </c>
    </row>
    <row r="432" spans="1:9" customFormat="1" x14ac:dyDescent="0.35">
      <c r="A432" s="63">
        <f t="shared" si="13"/>
        <v>431</v>
      </c>
      <c r="B432" s="54" t="s">
        <v>1677</v>
      </c>
      <c r="C432" s="55" t="s">
        <v>1678</v>
      </c>
      <c r="D432" s="54" t="s">
        <v>1331</v>
      </c>
      <c r="E432" s="56">
        <v>0</v>
      </c>
      <c r="F432" s="57" t="s">
        <v>792</v>
      </c>
      <c r="G432" s="58">
        <v>39500</v>
      </c>
      <c r="H432" s="59">
        <v>39500</v>
      </c>
      <c r="I432" s="59">
        <f t="shared" si="12"/>
        <v>0</v>
      </c>
    </row>
    <row r="433" spans="1:9" customFormat="1" x14ac:dyDescent="0.35">
      <c r="A433" s="63">
        <f t="shared" si="13"/>
        <v>432</v>
      </c>
      <c r="B433" s="54" t="s">
        <v>1679</v>
      </c>
      <c r="C433" s="55" t="s">
        <v>1680</v>
      </c>
      <c r="D433" s="54" t="s">
        <v>1331</v>
      </c>
      <c r="E433" s="56">
        <v>0</v>
      </c>
      <c r="F433" s="57" t="s">
        <v>792</v>
      </c>
      <c r="G433" s="58">
        <v>7800</v>
      </c>
      <c r="H433" s="59">
        <v>7800</v>
      </c>
      <c r="I433" s="59">
        <f t="shared" si="12"/>
        <v>0</v>
      </c>
    </row>
    <row r="434" spans="1:9" customFormat="1" x14ac:dyDescent="0.35">
      <c r="A434" s="63">
        <f t="shared" si="13"/>
        <v>433</v>
      </c>
      <c r="B434" s="54" t="s">
        <v>1681</v>
      </c>
      <c r="C434" s="55" t="s">
        <v>1682</v>
      </c>
      <c r="D434" s="54" t="s">
        <v>1331</v>
      </c>
      <c r="E434" s="56">
        <v>0</v>
      </c>
      <c r="F434" s="57" t="s">
        <v>1217</v>
      </c>
      <c r="G434" s="58">
        <v>3500</v>
      </c>
      <c r="H434" s="59">
        <v>3500</v>
      </c>
      <c r="I434" s="59">
        <f t="shared" si="12"/>
        <v>0</v>
      </c>
    </row>
    <row r="435" spans="1:9" customFormat="1" x14ac:dyDescent="0.35">
      <c r="A435" s="63">
        <f t="shared" si="13"/>
        <v>434</v>
      </c>
      <c r="B435" s="54" t="s">
        <v>1683</v>
      </c>
      <c r="C435" s="55" t="s">
        <v>1684</v>
      </c>
      <c r="D435" s="54" t="s">
        <v>1331</v>
      </c>
      <c r="E435" s="56">
        <v>0</v>
      </c>
      <c r="F435" s="57" t="s">
        <v>815</v>
      </c>
      <c r="G435" s="58">
        <v>4000</v>
      </c>
      <c r="H435" s="59">
        <v>4000</v>
      </c>
      <c r="I435" s="59">
        <f t="shared" si="12"/>
        <v>0</v>
      </c>
    </row>
    <row r="436" spans="1:9" customFormat="1" x14ac:dyDescent="0.35">
      <c r="A436" s="63">
        <f t="shared" si="13"/>
        <v>435</v>
      </c>
      <c r="B436" s="54" t="s">
        <v>1685</v>
      </c>
      <c r="C436" s="55" t="s">
        <v>1686</v>
      </c>
      <c r="D436" s="54" t="s">
        <v>1331</v>
      </c>
      <c r="E436" s="56">
        <v>0</v>
      </c>
      <c r="F436" s="57" t="s">
        <v>870</v>
      </c>
      <c r="G436" s="58">
        <v>320000</v>
      </c>
      <c r="H436" s="59">
        <v>448000</v>
      </c>
      <c r="I436" s="59">
        <f t="shared" si="12"/>
        <v>0</v>
      </c>
    </row>
    <row r="437" spans="1:9" customFormat="1" x14ac:dyDescent="0.35">
      <c r="A437" s="63">
        <f t="shared" si="13"/>
        <v>436</v>
      </c>
      <c r="B437" s="54" t="s">
        <v>1687</v>
      </c>
      <c r="C437" s="55" t="s">
        <v>1688</v>
      </c>
      <c r="D437" s="54" t="s">
        <v>1331</v>
      </c>
      <c r="E437" s="56">
        <v>0</v>
      </c>
      <c r="F437" s="57" t="s">
        <v>870</v>
      </c>
      <c r="G437" s="58">
        <v>0</v>
      </c>
      <c r="H437" s="59">
        <v>6300</v>
      </c>
      <c r="I437" s="59">
        <f t="shared" si="12"/>
        <v>0</v>
      </c>
    </row>
    <row r="438" spans="1:9" customFormat="1" x14ac:dyDescent="0.35">
      <c r="A438" s="63">
        <f t="shared" si="13"/>
        <v>437</v>
      </c>
      <c r="B438" s="54" t="s">
        <v>1689</v>
      </c>
      <c r="C438" s="55" t="s">
        <v>1690</v>
      </c>
      <c r="D438" s="54" t="s">
        <v>1331</v>
      </c>
      <c r="E438" s="56">
        <v>0</v>
      </c>
      <c r="F438" s="57" t="s">
        <v>870</v>
      </c>
      <c r="G438" s="58">
        <v>0</v>
      </c>
      <c r="H438" s="59">
        <v>8400</v>
      </c>
      <c r="I438" s="59">
        <f t="shared" si="12"/>
        <v>0</v>
      </c>
    </row>
    <row r="439" spans="1:9" customFormat="1" x14ac:dyDescent="0.35">
      <c r="A439" s="63">
        <f t="shared" si="13"/>
        <v>438</v>
      </c>
      <c r="B439" s="54" t="s">
        <v>1691</v>
      </c>
      <c r="C439" s="55" t="s">
        <v>1692</v>
      </c>
      <c r="D439" s="54" t="s">
        <v>1331</v>
      </c>
      <c r="E439" s="56">
        <v>0</v>
      </c>
      <c r="F439" s="57" t="s">
        <v>870</v>
      </c>
      <c r="G439" s="58">
        <v>7500</v>
      </c>
      <c r="H439" s="59">
        <v>7500</v>
      </c>
      <c r="I439" s="59">
        <f t="shared" si="12"/>
        <v>0</v>
      </c>
    </row>
    <row r="440" spans="1:9" customFormat="1" x14ac:dyDescent="0.35">
      <c r="A440" s="63">
        <f t="shared" si="13"/>
        <v>439</v>
      </c>
      <c r="B440" s="54" t="s">
        <v>1693</v>
      </c>
      <c r="C440" s="55" t="s">
        <v>1694</v>
      </c>
      <c r="D440" s="54" t="s">
        <v>1331</v>
      </c>
      <c r="E440" s="56">
        <v>0</v>
      </c>
      <c r="F440" s="57" t="s">
        <v>792</v>
      </c>
      <c r="G440" s="58">
        <v>620000</v>
      </c>
      <c r="H440" s="59">
        <v>868000</v>
      </c>
      <c r="I440" s="59">
        <f t="shared" si="12"/>
        <v>0</v>
      </c>
    </row>
    <row r="441" spans="1:9" customFormat="1" x14ac:dyDescent="0.35">
      <c r="A441" s="63">
        <f t="shared" si="13"/>
        <v>440</v>
      </c>
      <c r="B441" s="54" t="s">
        <v>1695</v>
      </c>
      <c r="C441" s="55" t="s">
        <v>1696</v>
      </c>
      <c r="D441" s="54" t="s">
        <v>1331</v>
      </c>
      <c r="E441" s="56">
        <v>0</v>
      </c>
      <c r="F441" s="57" t="s">
        <v>792</v>
      </c>
      <c r="G441" s="58">
        <v>0</v>
      </c>
      <c r="H441" s="59">
        <v>336000</v>
      </c>
      <c r="I441" s="59">
        <f t="shared" si="12"/>
        <v>0</v>
      </c>
    </row>
    <row r="442" spans="1:9" customFormat="1" x14ac:dyDescent="0.35">
      <c r="A442" s="63">
        <f t="shared" si="13"/>
        <v>441</v>
      </c>
      <c r="B442" s="54" t="s">
        <v>1697</v>
      </c>
      <c r="C442" s="55" t="s">
        <v>1698</v>
      </c>
      <c r="D442" s="54" t="s">
        <v>1331</v>
      </c>
      <c r="E442" s="56">
        <v>0</v>
      </c>
      <c r="F442" s="57" t="s">
        <v>974</v>
      </c>
      <c r="G442" s="58">
        <v>29000</v>
      </c>
      <c r="H442" s="59">
        <v>40000</v>
      </c>
      <c r="I442" s="59">
        <f t="shared" si="12"/>
        <v>0</v>
      </c>
    </row>
    <row r="443" spans="1:9" customFormat="1" x14ac:dyDescent="0.35">
      <c r="A443" s="63">
        <f t="shared" si="13"/>
        <v>442</v>
      </c>
      <c r="B443" s="54" t="s">
        <v>1699</v>
      </c>
      <c r="C443" s="55" t="s">
        <v>1700</v>
      </c>
      <c r="D443" s="54" t="s">
        <v>1331</v>
      </c>
      <c r="E443" s="56">
        <v>0</v>
      </c>
      <c r="F443" s="57" t="s">
        <v>878</v>
      </c>
      <c r="G443" s="58">
        <v>1812000</v>
      </c>
      <c r="H443" s="59">
        <v>1812000</v>
      </c>
      <c r="I443" s="59">
        <f t="shared" si="12"/>
        <v>0</v>
      </c>
    </row>
    <row r="444" spans="1:9" customFormat="1" ht="34.5" x14ac:dyDescent="0.35">
      <c r="A444" s="63">
        <f t="shared" si="13"/>
        <v>443</v>
      </c>
      <c r="B444" s="54" t="s">
        <v>1701</v>
      </c>
      <c r="C444" s="55" t="s">
        <v>1702</v>
      </c>
      <c r="D444" s="54" t="s">
        <v>1331</v>
      </c>
      <c r="E444" s="56">
        <v>0</v>
      </c>
      <c r="F444" s="57" t="s">
        <v>792</v>
      </c>
      <c r="G444" s="58">
        <v>0</v>
      </c>
      <c r="H444" s="59">
        <v>1044000</v>
      </c>
      <c r="I444" s="59">
        <f t="shared" si="12"/>
        <v>0</v>
      </c>
    </row>
    <row r="445" spans="1:9" customFormat="1" x14ac:dyDescent="0.35">
      <c r="A445" s="63">
        <f t="shared" si="13"/>
        <v>444</v>
      </c>
      <c r="B445" s="54" t="s">
        <v>1703</v>
      </c>
      <c r="C445" s="55" t="s">
        <v>1704</v>
      </c>
      <c r="D445" s="54" t="s">
        <v>1331</v>
      </c>
      <c r="E445" s="56">
        <v>0</v>
      </c>
      <c r="F445" s="57" t="s">
        <v>792</v>
      </c>
      <c r="G445" s="58">
        <v>2000</v>
      </c>
      <c r="H445" s="59">
        <v>2000</v>
      </c>
      <c r="I445" s="59">
        <f t="shared" si="12"/>
        <v>0</v>
      </c>
    </row>
    <row r="446" spans="1:9" customFormat="1" x14ac:dyDescent="0.35">
      <c r="A446" s="63">
        <f t="shared" si="13"/>
        <v>445</v>
      </c>
      <c r="B446" s="54" t="s">
        <v>1705</v>
      </c>
      <c r="C446" s="55" t="s">
        <v>1706</v>
      </c>
      <c r="D446" s="54" t="s">
        <v>1331</v>
      </c>
      <c r="E446" s="56">
        <v>0</v>
      </c>
      <c r="F446" s="57" t="s">
        <v>792</v>
      </c>
      <c r="G446" s="58">
        <v>38000</v>
      </c>
      <c r="H446" s="59">
        <v>38000</v>
      </c>
      <c r="I446" s="59">
        <f t="shared" si="12"/>
        <v>0</v>
      </c>
    </row>
    <row r="447" spans="1:9" customFormat="1" x14ac:dyDescent="0.35">
      <c r="A447" s="63">
        <f t="shared" si="13"/>
        <v>446</v>
      </c>
      <c r="B447" s="54" t="s">
        <v>1707</v>
      </c>
      <c r="C447" s="55" t="s">
        <v>1708</v>
      </c>
      <c r="D447" s="54" t="s">
        <v>1331</v>
      </c>
      <c r="E447" s="56">
        <v>0</v>
      </c>
      <c r="F447" s="57" t="s">
        <v>792</v>
      </c>
      <c r="G447" s="58">
        <v>50000</v>
      </c>
      <c r="H447" s="59">
        <v>50000</v>
      </c>
      <c r="I447" s="59">
        <f t="shared" si="12"/>
        <v>0</v>
      </c>
    </row>
    <row r="448" spans="1:9" customFormat="1" x14ac:dyDescent="0.35">
      <c r="A448" s="63">
        <f t="shared" si="13"/>
        <v>447</v>
      </c>
      <c r="B448" s="54" t="s">
        <v>1709</v>
      </c>
      <c r="C448" s="55" t="s">
        <v>1710</v>
      </c>
      <c r="D448" s="54" t="s">
        <v>1331</v>
      </c>
      <c r="E448" s="56">
        <v>0</v>
      </c>
      <c r="F448" s="57" t="s">
        <v>792</v>
      </c>
      <c r="G448" s="58">
        <v>4100</v>
      </c>
      <c r="H448" s="59">
        <v>41000</v>
      </c>
      <c r="I448" s="59">
        <f t="shared" si="12"/>
        <v>0</v>
      </c>
    </row>
    <row r="449" spans="1:9" customFormat="1" x14ac:dyDescent="0.35">
      <c r="A449" s="63">
        <f t="shared" si="13"/>
        <v>448</v>
      </c>
      <c r="B449" s="54" t="s">
        <v>1711</v>
      </c>
      <c r="C449" s="55" t="s">
        <v>1712</v>
      </c>
      <c r="D449" s="54" t="s">
        <v>1331</v>
      </c>
      <c r="E449" s="56">
        <v>0</v>
      </c>
      <c r="F449" s="57" t="s">
        <v>792</v>
      </c>
      <c r="G449" s="58">
        <v>5000</v>
      </c>
      <c r="H449" s="59">
        <v>6160</v>
      </c>
      <c r="I449" s="59">
        <f t="shared" si="12"/>
        <v>0</v>
      </c>
    </row>
    <row r="450" spans="1:9" customFormat="1" ht="23" x14ac:dyDescent="0.35">
      <c r="A450" s="63">
        <f t="shared" si="13"/>
        <v>449</v>
      </c>
      <c r="B450" s="54" t="s">
        <v>1713</v>
      </c>
      <c r="C450" s="55" t="s">
        <v>1714</v>
      </c>
      <c r="D450" s="54" t="s">
        <v>1331</v>
      </c>
      <c r="E450" s="56">
        <v>0</v>
      </c>
      <c r="F450" s="57" t="s">
        <v>1003</v>
      </c>
      <c r="G450" s="58">
        <v>0</v>
      </c>
      <c r="H450" s="59">
        <v>23908213</v>
      </c>
      <c r="I450" s="59">
        <f t="shared" si="12"/>
        <v>0</v>
      </c>
    </row>
    <row r="451" spans="1:9" customFormat="1" ht="23" x14ac:dyDescent="0.35">
      <c r="A451" s="63">
        <f t="shared" si="13"/>
        <v>450</v>
      </c>
      <c r="B451" s="54" t="s">
        <v>1715</v>
      </c>
      <c r="C451" s="55" t="s">
        <v>1716</v>
      </c>
      <c r="D451" s="54" t="s">
        <v>1331</v>
      </c>
      <c r="E451" s="56">
        <v>0</v>
      </c>
      <c r="F451" s="57" t="s">
        <v>792</v>
      </c>
      <c r="G451" s="58">
        <v>0</v>
      </c>
      <c r="H451" s="59">
        <v>321000</v>
      </c>
      <c r="I451" s="59">
        <f t="shared" ref="I451:I514" si="14">H451*E451</f>
        <v>0</v>
      </c>
    </row>
    <row r="452" spans="1:9" customFormat="1" x14ac:dyDescent="0.35">
      <c r="A452" s="63">
        <f t="shared" ref="A452:A515" si="15">A451+1</f>
        <v>451</v>
      </c>
      <c r="B452" s="54" t="s">
        <v>1717</v>
      </c>
      <c r="C452" s="55" t="s">
        <v>1718</v>
      </c>
      <c r="D452" s="54" t="s">
        <v>1331</v>
      </c>
      <c r="E452" s="56">
        <v>0</v>
      </c>
      <c r="F452" s="57" t="s">
        <v>994</v>
      </c>
      <c r="G452" s="58">
        <v>64000</v>
      </c>
      <c r="H452" s="59">
        <v>64000</v>
      </c>
      <c r="I452" s="59">
        <f t="shared" si="14"/>
        <v>0</v>
      </c>
    </row>
    <row r="453" spans="1:9" customFormat="1" ht="23" x14ac:dyDescent="0.35">
      <c r="A453" s="63">
        <f t="shared" si="15"/>
        <v>452</v>
      </c>
      <c r="B453" s="54" t="s">
        <v>1719</v>
      </c>
      <c r="C453" s="55" t="s">
        <v>1720</v>
      </c>
      <c r="D453" s="54" t="s">
        <v>1331</v>
      </c>
      <c r="E453" s="56">
        <v>0</v>
      </c>
      <c r="F453" s="57" t="s">
        <v>792</v>
      </c>
      <c r="G453" s="58">
        <v>38000</v>
      </c>
      <c r="H453" s="59">
        <v>38000</v>
      </c>
      <c r="I453" s="59">
        <f t="shared" si="14"/>
        <v>0</v>
      </c>
    </row>
    <row r="454" spans="1:9" customFormat="1" x14ac:dyDescent="0.35">
      <c r="A454" s="63">
        <f t="shared" si="15"/>
        <v>453</v>
      </c>
      <c r="B454" s="54" t="s">
        <v>1721</v>
      </c>
      <c r="C454" s="55" t="s">
        <v>1722</v>
      </c>
      <c r="D454" s="54" t="s">
        <v>1331</v>
      </c>
      <c r="E454" s="56">
        <v>0</v>
      </c>
      <c r="F454" s="57" t="s">
        <v>792</v>
      </c>
      <c r="G454" s="58">
        <v>12000</v>
      </c>
      <c r="H454" s="59">
        <v>12000</v>
      </c>
      <c r="I454" s="59">
        <f t="shared" si="14"/>
        <v>0</v>
      </c>
    </row>
    <row r="455" spans="1:9" customFormat="1" x14ac:dyDescent="0.35">
      <c r="A455" s="63">
        <f t="shared" si="15"/>
        <v>454</v>
      </c>
      <c r="B455" s="54" t="s">
        <v>1723</v>
      </c>
      <c r="C455" s="55" t="s">
        <v>1724</v>
      </c>
      <c r="D455" s="54" t="s">
        <v>1331</v>
      </c>
      <c r="E455" s="56">
        <v>0</v>
      </c>
      <c r="F455" s="57" t="s">
        <v>792</v>
      </c>
      <c r="G455" s="58">
        <v>6400</v>
      </c>
      <c r="H455" s="59">
        <v>6400</v>
      </c>
      <c r="I455" s="59">
        <f t="shared" si="14"/>
        <v>0</v>
      </c>
    </row>
    <row r="456" spans="1:9" customFormat="1" x14ac:dyDescent="0.35">
      <c r="A456" s="63">
        <f t="shared" si="15"/>
        <v>455</v>
      </c>
      <c r="B456" s="54" t="s">
        <v>1725</v>
      </c>
      <c r="C456" s="55" t="s">
        <v>1726</v>
      </c>
      <c r="D456" s="54" t="s">
        <v>1331</v>
      </c>
      <c r="E456" s="56">
        <v>0</v>
      </c>
      <c r="F456" s="57" t="s">
        <v>792</v>
      </c>
      <c r="G456" s="58">
        <v>24000</v>
      </c>
      <c r="H456" s="59">
        <v>24000</v>
      </c>
      <c r="I456" s="59">
        <f t="shared" si="14"/>
        <v>0</v>
      </c>
    </row>
    <row r="457" spans="1:9" customFormat="1" ht="23" x14ac:dyDescent="0.35">
      <c r="A457" s="63">
        <f t="shared" si="15"/>
        <v>456</v>
      </c>
      <c r="B457" s="54" t="s">
        <v>1727</v>
      </c>
      <c r="C457" s="55" t="s">
        <v>1728</v>
      </c>
      <c r="D457" s="54" t="s">
        <v>1331</v>
      </c>
      <c r="E457" s="56">
        <v>0</v>
      </c>
      <c r="F457" s="57" t="s">
        <v>792</v>
      </c>
      <c r="G457" s="58">
        <v>0</v>
      </c>
      <c r="H457" s="59">
        <v>2597000</v>
      </c>
      <c r="I457" s="59">
        <f t="shared" si="14"/>
        <v>0</v>
      </c>
    </row>
    <row r="458" spans="1:9" customFormat="1" x14ac:dyDescent="0.35">
      <c r="A458" s="63">
        <f t="shared" si="15"/>
        <v>457</v>
      </c>
      <c r="B458" s="54" t="s">
        <v>1729</v>
      </c>
      <c r="C458" s="55" t="s">
        <v>1730</v>
      </c>
      <c r="D458" s="54" t="s">
        <v>1331</v>
      </c>
      <c r="E458" s="56">
        <v>0</v>
      </c>
      <c r="F458" s="57" t="s">
        <v>815</v>
      </c>
      <c r="G458" s="58">
        <v>51000</v>
      </c>
      <c r="H458" s="59">
        <v>51000</v>
      </c>
      <c r="I458" s="59">
        <f t="shared" si="14"/>
        <v>0</v>
      </c>
    </row>
    <row r="459" spans="1:9" customFormat="1" x14ac:dyDescent="0.35">
      <c r="A459" s="63">
        <f t="shared" si="15"/>
        <v>458</v>
      </c>
      <c r="B459" s="54" t="s">
        <v>1731</v>
      </c>
      <c r="C459" s="55" t="s">
        <v>1732</v>
      </c>
      <c r="D459" s="54" t="s">
        <v>1331</v>
      </c>
      <c r="E459" s="56">
        <v>0</v>
      </c>
      <c r="F459" s="57" t="s">
        <v>792</v>
      </c>
      <c r="G459" s="58">
        <v>0</v>
      </c>
      <c r="H459" s="59">
        <v>879200</v>
      </c>
      <c r="I459" s="59">
        <f t="shared" si="14"/>
        <v>0</v>
      </c>
    </row>
    <row r="460" spans="1:9" customFormat="1" x14ac:dyDescent="0.35">
      <c r="A460" s="63">
        <f t="shared" si="15"/>
        <v>459</v>
      </c>
      <c r="B460" s="54" t="s">
        <v>1733</v>
      </c>
      <c r="C460" s="55" t="s">
        <v>1734</v>
      </c>
      <c r="D460" s="54" t="s">
        <v>1331</v>
      </c>
      <c r="E460" s="56">
        <v>0</v>
      </c>
      <c r="F460" s="57" t="s">
        <v>792</v>
      </c>
      <c r="G460" s="58">
        <v>0</v>
      </c>
      <c r="H460" s="59">
        <v>133000</v>
      </c>
      <c r="I460" s="59">
        <f t="shared" si="14"/>
        <v>0</v>
      </c>
    </row>
    <row r="461" spans="1:9" customFormat="1" ht="23" x14ac:dyDescent="0.35">
      <c r="A461" s="63">
        <f t="shared" si="15"/>
        <v>460</v>
      </c>
      <c r="B461" s="54" t="s">
        <v>1735</v>
      </c>
      <c r="C461" s="55" t="s">
        <v>1736</v>
      </c>
      <c r="D461" s="54" t="s">
        <v>1331</v>
      </c>
      <c r="E461" s="56">
        <v>0</v>
      </c>
      <c r="F461" s="57" t="s">
        <v>792</v>
      </c>
      <c r="G461" s="58">
        <v>4559639</v>
      </c>
      <c r="H461" s="59">
        <v>4504504.5</v>
      </c>
      <c r="I461" s="59">
        <f t="shared" si="14"/>
        <v>0</v>
      </c>
    </row>
    <row r="462" spans="1:9" customFormat="1" ht="23" x14ac:dyDescent="0.35">
      <c r="A462" s="63">
        <f t="shared" si="15"/>
        <v>461</v>
      </c>
      <c r="B462" s="54" t="s">
        <v>1737</v>
      </c>
      <c r="C462" s="55" t="s">
        <v>1738</v>
      </c>
      <c r="D462" s="54" t="s">
        <v>1331</v>
      </c>
      <c r="E462" s="56">
        <v>0</v>
      </c>
      <c r="F462" s="57" t="s">
        <v>844</v>
      </c>
      <c r="G462" s="58">
        <v>0</v>
      </c>
      <c r="H462" s="59">
        <v>4475000</v>
      </c>
      <c r="I462" s="59">
        <f t="shared" si="14"/>
        <v>0</v>
      </c>
    </row>
    <row r="463" spans="1:9" customFormat="1" x14ac:dyDescent="0.35">
      <c r="A463" s="63">
        <f t="shared" si="15"/>
        <v>462</v>
      </c>
      <c r="B463" s="54" t="s">
        <v>1739</v>
      </c>
      <c r="C463" s="55" t="s">
        <v>1740</v>
      </c>
      <c r="D463" s="54" t="s">
        <v>1331</v>
      </c>
      <c r="E463" s="56">
        <v>0</v>
      </c>
      <c r="F463" s="57" t="s">
        <v>792</v>
      </c>
      <c r="G463" s="58">
        <v>50000</v>
      </c>
      <c r="H463" s="59">
        <v>50000</v>
      </c>
      <c r="I463" s="59">
        <f t="shared" si="14"/>
        <v>0</v>
      </c>
    </row>
    <row r="464" spans="1:9" customFormat="1" x14ac:dyDescent="0.35">
      <c r="A464" s="63">
        <f t="shared" si="15"/>
        <v>463</v>
      </c>
      <c r="B464" s="54" t="s">
        <v>1741</v>
      </c>
      <c r="C464" s="55" t="s">
        <v>1742</v>
      </c>
      <c r="D464" s="54" t="s">
        <v>1331</v>
      </c>
      <c r="E464" s="56">
        <v>0</v>
      </c>
      <c r="F464" s="57" t="s">
        <v>792</v>
      </c>
      <c r="G464" s="58">
        <v>244499</v>
      </c>
      <c r="H464" s="59">
        <v>488998</v>
      </c>
      <c r="I464" s="59">
        <f t="shared" si="14"/>
        <v>0</v>
      </c>
    </row>
    <row r="465" spans="1:9" customFormat="1" ht="23" x14ac:dyDescent="0.35">
      <c r="A465" s="63">
        <f t="shared" si="15"/>
        <v>464</v>
      </c>
      <c r="B465" s="54" t="s">
        <v>1743</v>
      </c>
      <c r="C465" s="55" t="s">
        <v>1744</v>
      </c>
      <c r="D465" s="54" t="s">
        <v>1331</v>
      </c>
      <c r="E465" s="56">
        <v>0</v>
      </c>
      <c r="F465" s="57" t="s">
        <v>792</v>
      </c>
      <c r="G465" s="58">
        <v>302999</v>
      </c>
      <c r="H465" s="59">
        <v>445200</v>
      </c>
      <c r="I465" s="59">
        <f t="shared" si="14"/>
        <v>0</v>
      </c>
    </row>
    <row r="466" spans="1:9" customFormat="1" ht="23" x14ac:dyDescent="0.35">
      <c r="A466" s="63">
        <f t="shared" si="15"/>
        <v>465</v>
      </c>
      <c r="B466" s="54" t="s">
        <v>1745</v>
      </c>
      <c r="C466" s="55" t="s">
        <v>1746</v>
      </c>
      <c r="D466" s="54" t="s">
        <v>1331</v>
      </c>
      <c r="E466" s="56">
        <v>0</v>
      </c>
      <c r="F466" s="57" t="s">
        <v>977</v>
      </c>
      <c r="G466" s="58">
        <v>481100</v>
      </c>
      <c r="H466" s="59">
        <v>481100</v>
      </c>
      <c r="I466" s="59">
        <f t="shared" si="14"/>
        <v>0</v>
      </c>
    </row>
    <row r="467" spans="1:9" customFormat="1" x14ac:dyDescent="0.35">
      <c r="A467" s="63">
        <f t="shared" si="15"/>
        <v>466</v>
      </c>
      <c r="B467" s="54" t="s">
        <v>1747</v>
      </c>
      <c r="C467" s="55" t="s">
        <v>1748</v>
      </c>
      <c r="D467" s="54" t="s">
        <v>1331</v>
      </c>
      <c r="E467" s="56">
        <v>0</v>
      </c>
      <c r="F467" s="57" t="s">
        <v>792</v>
      </c>
      <c r="G467" s="58">
        <v>1000</v>
      </c>
      <c r="H467" s="59">
        <v>1000</v>
      </c>
      <c r="I467" s="59">
        <f t="shared" si="14"/>
        <v>0</v>
      </c>
    </row>
    <row r="468" spans="1:9" customFormat="1" x14ac:dyDescent="0.35">
      <c r="A468" s="63">
        <f t="shared" si="15"/>
        <v>467</v>
      </c>
      <c r="B468" s="54" t="s">
        <v>1749</v>
      </c>
      <c r="C468" s="55" t="s">
        <v>1750</v>
      </c>
      <c r="D468" s="54" t="s">
        <v>1331</v>
      </c>
      <c r="E468" s="56">
        <v>0</v>
      </c>
      <c r="F468" s="57" t="s">
        <v>792</v>
      </c>
      <c r="G468" s="58">
        <v>21000</v>
      </c>
      <c r="H468" s="59">
        <v>21000</v>
      </c>
      <c r="I468" s="59">
        <f t="shared" si="14"/>
        <v>0</v>
      </c>
    </row>
    <row r="469" spans="1:9" customFormat="1" x14ac:dyDescent="0.35">
      <c r="A469" s="63">
        <f t="shared" si="15"/>
        <v>468</v>
      </c>
      <c r="B469" s="54" t="s">
        <v>1751</v>
      </c>
      <c r="C469" s="55" t="s">
        <v>1752</v>
      </c>
      <c r="D469" s="54" t="s">
        <v>1331</v>
      </c>
      <c r="E469" s="56">
        <v>0</v>
      </c>
      <c r="F469" s="57" t="s">
        <v>792</v>
      </c>
      <c r="G469" s="58">
        <v>0</v>
      </c>
      <c r="H469" s="59">
        <v>21000</v>
      </c>
      <c r="I469" s="59">
        <f t="shared" si="14"/>
        <v>0</v>
      </c>
    </row>
    <row r="470" spans="1:9" customFormat="1" x14ac:dyDescent="0.35">
      <c r="A470" s="63">
        <f t="shared" si="15"/>
        <v>469</v>
      </c>
      <c r="B470" s="54" t="s">
        <v>1753</v>
      </c>
      <c r="C470" s="55" t="s">
        <v>1754</v>
      </c>
      <c r="D470" s="54" t="s">
        <v>1331</v>
      </c>
      <c r="E470" s="56">
        <v>0</v>
      </c>
      <c r="F470" s="57" t="s">
        <v>792</v>
      </c>
      <c r="G470" s="58">
        <v>0</v>
      </c>
      <c r="H470" s="59">
        <v>21000</v>
      </c>
      <c r="I470" s="59">
        <f t="shared" si="14"/>
        <v>0</v>
      </c>
    </row>
    <row r="471" spans="1:9" customFormat="1" x14ac:dyDescent="0.35">
      <c r="A471" s="63">
        <f t="shared" si="15"/>
        <v>470</v>
      </c>
      <c r="B471" s="54" t="s">
        <v>1755</v>
      </c>
      <c r="C471" s="55" t="s">
        <v>1756</v>
      </c>
      <c r="D471" s="54" t="s">
        <v>1331</v>
      </c>
      <c r="E471" s="56">
        <v>0</v>
      </c>
      <c r="F471" s="57" t="s">
        <v>815</v>
      </c>
      <c r="G471" s="58">
        <v>0</v>
      </c>
      <c r="H471" s="59">
        <v>12600</v>
      </c>
      <c r="I471" s="59">
        <f t="shared" si="14"/>
        <v>0</v>
      </c>
    </row>
    <row r="472" spans="1:9" customFormat="1" x14ac:dyDescent="0.35">
      <c r="A472" s="63">
        <f t="shared" si="15"/>
        <v>471</v>
      </c>
      <c r="B472" s="54" t="s">
        <v>1757</v>
      </c>
      <c r="C472" s="55" t="s">
        <v>1758</v>
      </c>
      <c r="D472" s="54" t="s">
        <v>1331</v>
      </c>
      <c r="E472" s="56">
        <v>0</v>
      </c>
      <c r="F472" s="57" t="s">
        <v>792</v>
      </c>
      <c r="G472" s="58">
        <v>20000</v>
      </c>
      <c r="H472" s="59">
        <v>20000</v>
      </c>
      <c r="I472" s="59">
        <f t="shared" si="14"/>
        <v>0</v>
      </c>
    </row>
    <row r="473" spans="1:9" customFormat="1" x14ac:dyDescent="0.35">
      <c r="A473" s="63">
        <f t="shared" si="15"/>
        <v>472</v>
      </c>
      <c r="B473" s="54" t="s">
        <v>1759</v>
      </c>
      <c r="C473" s="55" t="s">
        <v>1760</v>
      </c>
      <c r="D473" s="54" t="s">
        <v>1331</v>
      </c>
      <c r="E473" s="56">
        <v>0</v>
      </c>
      <c r="F473" s="57" t="s">
        <v>792</v>
      </c>
      <c r="G473" s="58">
        <v>10000</v>
      </c>
      <c r="H473" s="59">
        <v>10000</v>
      </c>
      <c r="I473" s="59">
        <f t="shared" si="14"/>
        <v>0</v>
      </c>
    </row>
    <row r="474" spans="1:9" customFormat="1" x14ac:dyDescent="0.35">
      <c r="A474" s="63">
        <f t="shared" si="15"/>
        <v>473</v>
      </c>
      <c r="B474" s="54" t="s">
        <v>1761</v>
      </c>
      <c r="C474" s="55" t="s">
        <v>1762</v>
      </c>
      <c r="D474" s="54" t="s">
        <v>1331</v>
      </c>
      <c r="E474" s="56">
        <v>0</v>
      </c>
      <c r="F474" s="57" t="s">
        <v>844</v>
      </c>
      <c r="G474" s="58">
        <v>2797000</v>
      </c>
      <c r="H474" s="59">
        <v>4097800</v>
      </c>
      <c r="I474" s="59">
        <f t="shared" si="14"/>
        <v>0</v>
      </c>
    </row>
    <row r="475" spans="1:9" customFormat="1" ht="23" x14ac:dyDescent="0.35">
      <c r="A475" s="63">
        <f t="shared" si="15"/>
        <v>474</v>
      </c>
      <c r="B475" s="54" t="s">
        <v>1763</v>
      </c>
      <c r="C475" s="55" t="s">
        <v>1764</v>
      </c>
      <c r="D475" s="54" t="s">
        <v>1765</v>
      </c>
      <c r="E475" s="56">
        <v>0</v>
      </c>
      <c r="F475" s="57" t="s">
        <v>1217</v>
      </c>
      <c r="G475" s="58">
        <v>142500</v>
      </c>
      <c r="H475" s="59">
        <v>142500</v>
      </c>
      <c r="I475" s="59">
        <f t="shared" si="14"/>
        <v>0</v>
      </c>
    </row>
    <row r="476" spans="1:9" customFormat="1" ht="23" x14ac:dyDescent="0.35">
      <c r="A476" s="63">
        <f t="shared" si="15"/>
        <v>475</v>
      </c>
      <c r="B476" s="54" t="s">
        <v>1766</v>
      </c>
      <c r="C476" s="55" t="s">
        <v>1767</v>
      </c>
      <c r="D476" s="54" t="s">
        <v>1765</v>
      </c>
      <c r="E476" s="56">
        <v>0</v>
      </c>
      <c r="F476" s="57" t="s">
        <v>815</v>
      </c>
      <c r="G476" s="58">
        <v>1301000</v>
      </c>
      <c r="H476" s="59">
        <v>1301000</v>
      </c>
      <c r="I476" s="59">
        <f t="shared" si="14"/>
        <v>0</v>
      </c>
    </row>
    <row r="477" spans="1:9" customFormat="1" ht="23" x14ac:dyDescent="0.35">
      <c r="A477" s="63">
        <f t="shared" si="15"/>
        <v>476</v>
      </c>
      <c r="B477" s="54" t="s">
        <v>1768</v>
      </c>
      <c r="C477" s="55" t="s">
        <v>1769</v>
      </c>
      <c r="D477" s="54" t="s">
        <v>1765</v>
      </c>
      <c r="E477" s="56">
        <v>0</v>
      </c>
      <c r="F477" s="57" t="s">
        <v>844</v>
      </c>
      <c r="G477" s="58">
        <v>1650000</v>
      </c>
      <c r="H477" s="59">
        <v>772500</v>
      </c>
      <c r="I477" s="59">
        <f t="shared" si="14"/>
        <v>0</v>
      </c>
    </row>
    <row r="478" spans="1:9" customFormat="1" ht="23" x14ac:dyDescent="0.35">
      <c r="A478" s="63">
        <f t="shared" si="15"/>
        <v>477</v>
      </c>
      <c r="B478" s="54" t="s">
        <v>1770</v>
      </c>
      <c r="C478" s="55" t="s">
        <v>1771</v>
      </c>
      <c r="D478" s="54" t="s">
        <v>1765</v>
      </c>
      <c r="E478" s="56">
        <v>0</v>
      </c>
      <c r="F478" s="57" t="s">
        <v>844</v>
      </c>
      <c r="G478" s="58">
        <v>1065000</v>
      </c>
      <c r="H478" s="59">
        <v>795000</v>
      </c>
      <c r="I478" s="59">
        <f t="shared" si="14"/>
        <v>0</v>
      </c>
    </row>
    <row r="479" spans="1:9" customFormat="1" x14ac:dyDescent="0.35">
      <c r="A479" s="63">
        <f t="shared" si="15"/>
        <v>478</v>
      </c>
      <c r="B479" s="54" t="s">
        <v>1772</v>
      </c>
      <c r="C479" s="55" t="s">
        <v>1773</v>
      </c>
      <c r="D479" s="54" t="s">
        <v>1774</v>
      </c>
      <c r="E479" s="56">
        <v>0</v>
      </c>
      <c r="F479" s="57" t="s">
        <v>844</v>
      </c>
      <c r="G479" s="58">
        <v>0</v>
      </c>
      <c r="H479" s="59">
        <v>0</v>
      </c>
      <c r="I479" s="59">
        <f t="shared" si="14"/>
        <v>0</v>
      </c>
    </row>
    <row r="480" spans="1:9" customFormat="1" x14ac:dyDescent="0.35">
      <c r="A480" s="63">
        <f t="shared" si="15"/>
        <v>479</v>
      </c>
      <c r="B480" s="54" t="s">
        <v>1775</v>
      </c>
      <c r="C480" s="55" t="s">
        <v>1776</v>
      </c>
      <c r="D480" s="54" t="s">
        <v>1774</v>
      </c>
      <c r="E480" s="56">
        <v>0</v>
      </c>
      <c r="F480" s="57" t="s">
        <v>844</v>
      </c>
      <c r="G480" s="58">
        <v>0</v>
      </c>
      <c r="H480" s="59">
        <v>0</v>
      </c>
      <c r="I480" s="59">
        <f t="shared" si="14"/>
        <v>0</v>
      </c>
    </row>
    <row r="481" spans="1:9" customFormat="1" x14ac:dyDescent="0.35">
      <c r="A481" s="63">
        <f t="shared" si="15"/>
        <v>480</v>
      </c>
      <c r="B481" s="54" t="s">
        <v>1777</v>
      </c>
      <c r="C481" s="55" t="s">
        <v>1778</v>
      </c>
      <c r="D481" s="54" t="s">
        <v>1774</v>
      </c>
      <c r="E481" s="92">
        <v>2498</v>
      </c>
      <c r="F481" s="57" t="s">
        <v>1779</v>
      </c>
      <c r="G481" s="58">
        <v>0</v>
      </c>
      <c r="H481" s="59">
        <v>200000</v>
      </c>
      <c r="I481" s="59">
        <f t="shared" si="14"/>
        <v>499600000</v>
      </c>
    </row>
    <row r="482" spans="1:9" customFormat="1" x14ac:dyDescent="0.35">
      <c r="A482" s="63">
        <f t="shared" si="15"/>
        <v>481</v>
      </c>
      <c r="B482" s="54" t="s">
        <v>1780</v>
      </c>
      <c r="C482" s="55" t="s">
        <v>1781</v>
      </c>
      <c r="D482" s="54" t="s">
        <v>1782</v>
      </c>
      <c r="E482" s="56">
        <v>0</v>
      </c>
      <c r="F482" s="57" t="s">
        <v>792</v>
      </c>
      <c r="G482" s="58">
        <v>875</v>
      </c>
      <c r="H482" s="59">
        <v>3000</v>
      </c>
      <c r="I482" s="59">
        <f t="shared" si="14"/>
        <v>0</v>
      </c>
    </row>
    <row r="483" spans="1:9" customFormat="1" x14ac:dyDescent="0.35">
      <c r="A483" s="63">
        <f t="shared" si="15"/>
        <v>482</v>
      </c>
      <c r="B483" s="54" t="s">
        <v>1783</v>
      </c>
      <c r="C483" s="55" t="s">
        <v>1784</v>
      </c>
      <c r="D483" s="54" t="s">
        <v>1785</v>
      </c>
      <c r="E483" s="56">
        <v>0</v>
      </c>
      <c r="F483" s="57" t="s">
        <v>792</v>
      </c>
      <c r="G483" s="58">
        <v>30500</v>
      </c>
      <c r="H483" s="59">
        <v>46300</v>
      </c>
      <c r="I483" s="59">
        <f t="shared" si="14"/>
        <v>0</v>
      </c>
    </row>
    <row r="484" spans="1:9" customFormat="1" x14ac:dyDescent="0.35">
      <c r="A484" s="63">
        <f t="shared" si="15"/>
        <v>483</v>
      </c>
      <c r="B484" s="54" t="s">
        <v>1786</v>
      </c>
      <c r="C484" s="55" t="s">
        <v>1787</v>
      </c>
      <c r="D484" s="54" t="s">
        <v>1785</v>
      </c>
      <c r="E484" s="56">
        <v>0</v>
      </c>
      <c r="F484" s="57" t="s">
        <v>792</v>
      </c>
      <c r="G484" s="58">
        <v>3180</v>
      </c>
      <c r="H484" s="59">
        <v>4400</v>
      </c>
      <c r="I484" s="59">
        <f t="shared" si="14"/>
        <v>0</v>
      </c>
    </row>
    <row r="485" spans="1:9" customFormat="1" x14ac:dyDescent="0.35">
      <c r="A485" s="63">
        <f t="shared" si="15"/>
        <v>484</v>
      </c>
      <c r="B485" s="54" t="s">
        <v>1788</v>
      </c>
      <c r="C485" s="55" t="s">
        <v>1789</v>
      </c>
      <c r="D485" s="54" t="s">
        <v>1785</v>
      </c>
      <c r="E485" s="56">
        <v>0</v>
      </c>
      <c r="F485" s="57" t="s">
        <v>792</v>
      </c>
      <c r="G485" s="58">
        <v>3720</v>
      </c>
      <c r="H485" s="59">
        <v>5500</v>
      </c>
      <c r="I485" s="59">
        <f t="shared" si="14"/>
        <v>0</v>
      </c>
    </row>
    <row r="486" spans="1:9" customFormat="1" x14ac:dyDescent="0.35">
      <c r="A486" s="63">
        <f t="shared" si="15"/>
        <v>485</v>
      </c>
      <c r="B486" s="54" t="s">
        <v>1790</v>
      </c>
      <c r="C486" s="55" t="s">
        <v>1791</v>
      </c>
      <c r="D486" s="54" t="s">
        <v>1785</v>
      </c>
      <c r="E486" s="56">
        <v>0</v>
      </c>
      <c r="F486" s="57" t="s">
        <v>792</v>
      </c>
      <c r="G486" s="58">
        <v>2400</v>
      </c>
      <c r="H486" s="59">
        <v>5000</v>
      </c>
      <c r="I486" s="59">
        <f t="shared" si="14"/>
        <v>0</v>
      </c>
    </row>
    <row r="487" spans="1:9" customFormat="1" x14ac:dyDescent="0.35">
      <c r="A487" s="63">
        <f t="shared" si="15"/>
        <v>486</v>
      </c>
      <c r="B487" s="54" t="s">
        <v>1792</v>
      </c>
      <c r="C487" s="55" t="s">
        <v>1793</v>
      </c>
      <c r="D487" s="54" t="s">
        <v>1785</v>
      </c>
      <c r="E487" s="56">
        <v>0</v>
      </c>
      <c r="F487" s="57" t="s">
        <v>792</v>
      </c>
      <c r="G487" s="58">
        <v>3500</v>
      </c>
      <c r="H487" s="59">
        <v>5000</v>
      </c>
      <c r="I487" s="59">
        <f t="shared" si="14"/>
        <v>0</v>
      </c>
    </row>
    <row r="488" spans="1:9" customFormat="1" x14ac:dyDescent="0.35">
      <c r="A488" s="63">
        <f t="shared" si="15"/>
        <v>487</v>
      </c>
      <c r="B488" s="54" t="s">
        <v>1794</v>
      </c>
      <c r="C488" s="55" t="s">
        <v>1795</v>
      </c>
      <c r="D488" s="54" t="s">
        <v>1785</v>
      </c>
      <c r="E488" s="56">
        <v>0</v>
      </c>
      <c r="F488" s="57" t="s">
        <v>792</v>
      </c>
      <c r="G488" s="58">
        <v>2689</v>
      </c>
      <c r="H488" s="59">
        <v>6800</v>
      </c>
      <c r="I488" s="59">
        <f t="shared" si="14"/>
        <v>0</v>
      </c>
    </row>
    <row r="489" spans="1:9" customFormat="1" x14ac:dyDescent="0.35">
      <c r="A489" s="63">
        <f t="shared" si="15"/>
        <v>488</v>
      </c>
      <c r="B489" s="54" t="s">
        <v>1796</v>
      </c>
      <c r="C489" s="55" t="s">
        <v>1797</v>
      </c>
      <c r="D489" s="54" t="s">
        <v>1785</v>
      </c>
      <c r="E489" s="56">
        <v>0</v>
      </c>
      <c r="F489" s="57" t="s">
        <v>792</v>
      </c>
      <c r="G489" s="58">
        <v>5640</v>
      </c>
      <c r="H489" s="59">
        <v>9680</v>
      </c>
      <c r="I489" s="59">
        <f t="shared" si="14"/>
        <v>0</v>
      </c>
    </row>
    <row r="490" spans="1:9" customFormat="1" x14ac:dyDescent="0.35">
      <c r="A490" s="63">
        <f t="shared" si="15"/>
        <v>489</v>
      </c>
      <c r="B490" s="54" t="s">
        <v>1798</v>
      </c>
      <c r="C490" s="55" t="s">
        <v>1799</v>
      </c>
      <c r="D490" s="54" t="s">
        <v>1785</v>
      </c>
      <c r="E490" s="56">
        <v>0</v>
      </c>
      <c r="F490" s="57" t="s">
        <v>792</v>
      </c>
      <c r="G490" s="58">
        <v>712</v>
      </c>
      <c r="H490" s="59">
        <v>1300</v>
      </c>
      <c r="I490" s="59">
        <f t="shared" si="14"/>
        <v>0</v>
      </c>
    </row>
    <row r="491" spans="1:9" customFormat="1" x14ac:dyDescent="0.35">
      <c r="A491" s="63">
        <f t="shared" si="15"/>
        <v>490</v>
      </c>
      <c r="B491" s="54" t="s">
        <v>1800</v>
      </c>
      <c r="C491" s="55" t="s">
        <v>1801</v>
      </c>
      <c r="D491" s="54" t="s">
        <v>1785</v>
      </c>
      <c r="E491" s="56">
        <v>0</v>
      </c>
      <c r="F491" s="57" t="s">
        <v>792</v>
      </c>
      <c r="G491" s="58">
        <v>792</v>
      </c>
      <c r="H491" s="59">
        <v>1450</v>
      </c>
      <c r="I491" s="59">
        <f t="shared" si="14"/>
        <v>0</v>
      </c>
    </row>
    <row r="492" spans="1:9" customFormat="1" x14ac:dyDescent="0.35">
      <c r="A492" s="63">
        <f t="shared" si="15"/>
        <v>491</v>
      </c>
      <c r="B492" s="54" t="s">
        <v>1802</v>
      </c>
      <c r="C492" s="55" t="s">
        <v>1803</v>
      </c>
      <c r="D492" s="54" t="s">
        <v>1785</v>
      </c>
      <c r="E492" s="56">
        <v>0</v>
      </c>
      <c r="F492" s="57" t="s">
        <v>792</v>
      </c>
      <c r="G492" s="58">
        <v>22515</v>
      </c>
      <c r="H492" s="59">
        <v>36800</v>
      </c>
      <c r="I492" s="59">
        <f t="shared" si="14"/>
        <v>0</v>
      </c>
    </row>
    <row r="493" spans="1:9" customFormat="1" x14ac:dyDescent="0.35">
      <c r="A493" s="63">
        <f t="shared" si="15"/>
        <v>492</v>
      </c>
      <c r="B493" s="54" t="s">
        <v>1804</v>
      </c>
      <c r="C493" s="55" t="s">
        <v>1805</v>
      </c>
      <c r="D493" s="54" t="s">
        <v>1785</v>
      </c>
      <c r="E493" s="56">
        <v>0</v>
      </c>
      <c r="F493" s="57" t="s">
        <v>792</v>
      </c>
      <c r="G493" s="58">
        <v>22500</v>
      </c>
      <c r="H493" s="59">
        <v>37000</v>
      </c>
      <c r="I493" s="59">
        <f t="shared" si="14"/>
        <v>0</v>
      </c>
    </row>
    <row r="494" spans="1:9" customFormat="1" x14ac:dyDescent="0.35">
      <c r="A494" s="63">
        <f t="shared" si="15"/>
        <v>493</v>
      </c>
      <c r="B494" s="54" t="s">
        <v>1806</v>
      </c>
      <c r="C494" s="55" t="s">
        <v>1807</v>
      </c>
      <c r="D494" s="54" t="s">
        <v>1785</v>
      </c>
      <c r="E494" s="56">
        <v>0</v>
      </c>
      <c r="F494" s="57" t="s">
        <v>792</v>
      </c>
      <c r="G494" s="58">
        <v>6800</v>
      </c>
      <c r="H494" s="59">
        <v>13260</v>
      </c>
      <c r="I494" s="59">
        <f t="shared" si="14"/>
        <v>0</v>
      </c>
    </row>
    <row r="495" spans="1:9" customFormat="1" x14ac:dyDescent="0.35">
      <c r="A495" s="63">
        <f t="shared" si="15"/>
        <v>494</v>
      </c>
      <c r="B495" s="54" t="s">
        <v>1808</v>
      </c>
      <c r="C495" s="55" t="s">
        <v>1809</v>
      </c>
      <c r="D495" s="54" t="s">
        <v>1785</v>
      </c>
      <c r="E495" s="56">
        <v>0</v>
      </c>
      <c r="F495" s="57" t="s">
        <v>792</v>
      </c>
      <c r="G495" s="58">
        <v>480</v>
      </c>
      <c r="H495" s="59">
        <v>986</v>
      </c>
      <c r="I495" s="59">
        <f t="shared" si="14"/>
        <v>0</v>
      </c>
    </row>
    <row r="496" spans="1:9" customFormat="1" x14ac:dyDescent="0.35">
      <c r="A496" s="63">
        <f t="shared" si="15"/>
        <v>495</v>
      </c>
      <c r="B496" s="54" t="s">
        <v>1810</v>
      </c>
      <c r="C496" s="55" t="s">
        <v>1811</v>
      </c>
      <c r="D496" s="54" t="s">
        <v>1785</v>
      </c>
      <c r="E496" s="56">
        <v>0</v>
      </c>
      <c r="F496" s="57" t="s">
        <v>792</v>
      </c>
      <c r="G496" s="58">
        <v>480</v>
      </c>
      <c r="H496" s="59">
        <v>1156</v>
      </c>
      <c r="I496" s="59">
        <f t="shared" si="14"/>
        <v>0</v>
      </c>
    </row>
    <row r="497" spans="1:9" customFormat="1" x14ac:dyDescent="0.35">
      <c r="A497" s="63">
        <f t="shared" si="15"/>
        <v>496</v>
      </c>
      <c r="B497" s="54" t="s">
        <v>1812</v>
      </c>
      <c r="C497" s="55" t="s">
        <v>1813</v>
      </c>
      <c r="D497" s="54" t="s">
        <v>1785</v>
      </c>
      <c r="E497" s="56">
        <v>0</v>
      </c>
      <c r="F497" s="57" t="s">
        <v>792</v>
      </c>
      <c r="G497" s="58">
        <v>500</v>
      </c>
      <c r="H497" s="59">
        <v>1105</v>
      </c>
      <c r="I497" s="59">
        <f t="shared" si="14"/>
        <v>0</v>
      </c>
    </row>
    <row r="498" spans="1:9" customFormat="1" x14ac:dyDescent="0.35">
      <c r="A498" s="63">
        <f t="shared" si="15"/>
        <v>497</v>
      </c>
      <c r="B498" s="54" t="s">
        <v>1814</v>
      </c>
      <c r="C498" s="55" t="s">
        <v>1815</v>
      </c>
      <c r="D498" s="54" t="s">
        <v>1785</v>
      </c>
      <c r="E498" s="56">
        <v>0</v>
      </c>
      <c r="F498" s="57" t="s">
        <v>792</v>
      </c>
      <c r="G498" s="58">
        <v>550</v>
      </c>
      <c r="H498" s="59">
        <v>1190</v>
      </c>
      <c r="I498" s="59">
        <f t="shared" si="14"/>
        <v>0</v>
      </c>
    </row>
    <row r="499" spans="1:9" customFormat="1" x14ac:dyDescent="0.35">
      <c r="A499" s="63">
        <f t="shared" si="15"/>
        <v>498</v>
      </c>
      <c r="B499" s="54" t="s">
        <v>1816</v>
      </c>
      <c r="C499" s="55" t="s">
        <v>1817</v>
      </c>
      <c r="D499" s="54" t="s">
        <v>1785</v>
      </c>
      <c r="E499" s="56">
        <v>0</v>
      </c>
      <c r="F499" s="57" t="s">
        <v>792</v>
      </c>
      <c r="G499" s="58">
        <v>600</v>
      </c>
      <c r="H499" s="59">
        <v>1352</v>
      </c>
      <c r="I499" s="59">
        <f t="shared" si="14"/>
        <v>0</v>
      </c>
    </row>
    <row r="500" spans="1:9" customFormat="1" x14ac:dyDescent="0.35">
      <c r="A500" s="63">
        <f t="shared" si="15"/>
        <v>499</v>
      </c>
      <c r="B500" s="54" t="s">
        <v>1818</v>
      </c>
      <c r="C500" s="55" t="s">
        <v>1819</v>
      </c>
      <c r="D500" s="54" t="s">
        <v>1785</v>
      </c>
      <c r="E500" s="56">
        <v>0</v>
      </c>
      <c r="F500" s="57" t="s">
        <v>792</v>
      </c>
      <c r="G500" s="58">
        <v>750</v>
      </c>
      <c r="H500" s="59">
        <v>1462</v>
      </c>
      <c r="I500" s="59">
        <f t="shared" si="14"/>
        <v>0</v>
      </c>
    </row>
    <row r="501" spans="1:9" customFormat="1" x14ac:dyDescent="0.35">
      <c r="A501" s="63">
        <f t="shared" si="15"/>
        <v>500</v>
      </c>
      <c r="B501" s="54" t="s">
        <v>1820</v>
      </c>
      <c r="C501" s="55" t="s">
        <v>1821</v>
      </c>
      <c r="D501" s="54" t="s">
        <v>1785</v>
      </c>
      <c r="E501" s="56">
        <v>0</v>
      </c>
      <c r="F501" s="57" t="s">
        <v>792</v>
      </c>
      <c r="G501" s="58">
        <v>900</v>
      </c>
      <c r="H501" s="59">
        <v>1785</v>
      </c>
      <c r="I501" s="59">
        <f t="shared" si="14"/>
        <v>0</v>
      </c>
    </row>
    <row r="502" spans="1:9" customFormat="1" x14ac:dyDescent="0.35">
      <c r="A502" s="63">
        <f t="shared" si="15"/>
        <v>501</v>
      </c>
      <c r="B502" s="54" t="s">
        <v>1822</v>
      </c>
      <c r="C502" s="55" t="s">
        <v>1823</v>
      </c>
      <c r="D502" s="54" t="s">
        <v>1785</v>
      </c>
      <c r="E502" s="56">
        <v>0</v>
      </c>
      <c r="F502" s="57" t="s">
        <v>792</v>
      </c>
      <c r="G502" s="58">
        <v>512</v>
      </c>
      <c r="H502" s="59">
        <v>1050</v>
      </c>
      <c r="I502" s="59">
        <f t="shared" si="14"/>
        <v>0</v>
      </c>
    </row>
    <row r="503" spans="1:9" customFormat="1" x14ac:dyDescent="0.35">
      <c r="A503" s="63">
        <f t="shared" si="15"/>
        <v>502</v>
      </c>
      <c r="B503" s="54" t="s">
        <v>1824</v>
      </c>
      <c r="C503" s="55" t="s">
        <v>1825</v>
      </c>
      <c r="D503" s="54" t="s">
        <v>1785</v>
      </c>
      <c r="E503" s="56">
        <v>0</v>
      </c>
      <c r="F503" s="57" t="s">
        <v>792</v>
      </c>
      <c r="G503" s="58">
        <v>406</v>
      </c>
      <c r="H503" s="59">
        <v>1070</v>
      </c>
      <c r="I503" s="59">
        <f t="shared" si="14"/>
        <v>0</v>
      </c>
    </row>
    <row r="504" spans="1:9" customFormat="1" x14ac:dyDescent="0.35">
      <c r="A504" s="63">
        <f t="shared" si="15"/>
        <v>503</v>
      </c>
      <c r="B504" s="54" t="s">
        <v>1826</v>
      </c>
      <c r="C504" s="55" t="s">
        <v>1827</v>
      </c>
      <c r="D504" s="54" t="s">
        <v>1785</v>
      </c>
      <c r="E504" s="56">
        <v>0</v>
      </c>
      <c r="F504" s="57" t="s">
        <v>792</v>
      </c>
      <c r="G504" s="58">
        <v>848</v>
      </c>
      <c r="H504" s="59">
        <v>1630</v>
      </c>
      <c r="I504" s="59">
        <f t="shared" si="14"/>
        <v>0</v>
      </c>
    </row>
    <row r="505" spans="1:9" customFormat="1" x14ac:dyDescent="0.35">
      <c r="A505" s="63">
        <f t="shared" si="15"/>
        <v>504</v>
      </c>
      <c r="B505" s="54" t="s">
        <v>1828</v>
      </c>
      <c r="C505" s="55" t="s">
        <v>1829</v>
      </c>
      <c r="D505" s="54" t="s">
        <v>1785</v>
      </c>
      <c r="E505" s="56">
        <v>0</v>
      </c>
      <c r="F505" s="57" t="s">
        <v>792</v>
      </c>
      <c r="G505" s="58">
        <v>1360</v>
      </c>
      <c r="H505" s="59">
        <v>2460</v>
      </c>
      <c r="I505" s="59">
        <f t="shared" si="14"/>
        <v>0</v>
      </c>
    </row>
    <row r="506" spans="1:9" customFormat="1" x14ac:dyDescent="0.35">
      <c r="A506" s="63">
        <f t="shared" si="15"/>
        <v>505</v>
      </c>
      <c r="B506" s="54" t="s">
        <v>1830</v>
      </c>
      <c r="C506" s="55" t="s">
        <v>1831</v>
      </c>
      <c r="D506" s="54" t="s">
        <v>1785</v>
      </c>
      <c r="E506" s="56">
        <v>0</v>
      </c>
      <c r="F506" s="57" t="s">
        <v>792</v>
      </c>
      <c r="G506" s="58">
        <v>1576</v>
      </c>
      <c r="H506" s="59">
        <v>2950</v>
      </c>
      <c r="I506" s="59">
        <f t="shared" si="14"/>
        <v>0</v>
      </c>
    </row>
    <row r="507" spans="1:9" customFormat="1" x14ac:dyDescent="0.35">
      <c r="A507" s="63">
        <f t="shared" si="15"/>
        <v>506</v>
      </c>
      <c r="B507" s="54" t="s">
        <v>1832</v>
      </c>
      <c r="C507" s="55" t="s">
        <v>1833</v>
      </c>
      <c r="D507" s="54" t="s">
        <v>1785</v>
      </c>
      <c r="E507" s="56">
        <v>0</v>
      </c>
      <c r="F507" s="57" t="s">
        <v>792</v>
      </c>
      <c r="G507" s="58">
        <v>4630</v>
      </c>
      <c r="H507" s="59">
        <v>7500</v>
      </c>
      <c r="I507" s="59">
        <f t="shared" si="14"/>
        <v>0</v>
      </c>
    </row>
    <row r="508" spans="1:9" customFormat="1" x14ac:dyDescent="0.35">
      <c r="A508" s="63">
        <f t="shared" si="15"/>
        <v>507</v>
      </c>
      <c r="B508" s="54" t="s">
        <v>1834</v>
      </c>
      <c r="C508" s="55" t="s">
        <v>1835</v>
      </c>
      <c r="D508" s="54" t="s">
        <v>1785</v>
      </c>
      <c r="E508" s="56">
        <v>0</v>
      </c>
      <c r="F508" s="57" t="s">
        <v>792</v>
      </c>
      <c r="G508" s="58">
        <v>6865</v>
      </c>
      <c r="H508" s="59">
        <v>11000</v>
      </c>
      <c r="I508" s="59">
        <f t="shared" si="14"/>
        <v>0</v>
      </c>
    </row>
    <row r="509" spans="1:9" customFormat="1" x14ac:dyDescent="0.35">
      <c r="A509" s="63">
        <f t="shared" si="15"/>
        <v>508</v>
      </c>
      <c r="B509" s="54" t="s">
        <v>1836</v>
      </c>
      <c r="C509" s="55" t="s">
        <v>1837</v>
      </c>
      <c r="D509" s="54" t="s">
        <v>1785</v>
      </c>
      <c r="E509" s="56">
        <v>0</v>
      </c>
      <c r="F509" s="57" t="s">
        <v>792</v>
      </c>
      <c r="G509" s="58">
        <v>56396</v>
      </c>
      <c r="H509" s="59">
        <v>56396</v>
      </c>
      <c r="I509" s="59">
        <f t="shared" si="14"/>
        <v>0</v>
      </c>
    </row>
    <row r="510" spans="1:9" customFormat="1" x14ac:dyDescent="0.35">
      <c r="A510" s="63">
        <f t="shared" si="15"/>
        <v>509</v>
      </c>
      <c r="B510" s="54" t="s">
        <v>1838</v>
      </c>
      <c r="C510" s="55" t="s">
        <v>1839</v>
      </c>
      <c r="D510" s="54" t="s">
        <v>1785</v>
      </c>
      <c r="E510" s="56">
        <v>0</v>
      </c>
      <c r="F510" s="57" t="s">
        <v>792</v>
      </c>
      <c r="G510" s="58">
        <v>22000</v>
      </c>
      <c r="H510" s="59">
        <v>47100</v>
      </c>
      <c r="I510" s="59">
        <f t="shared" si="14"/>
        <v>0</v>
      </c>
    </row>
    <row r="511" spans="1:9" customFormat="1" x14ac:dyDescent="0.35">
      <c r="A511" s="63">
        <f t="shared" si="15"/>
        <v>510</v>
      </c>
      <c r="B511" s="54" t="s">
        <v>1840</v>
      </c>
      <c r="C511" s="55" t="s">
        <v>1841</v>
      </c>
      <c r="D511" s="54" t="s">
        <v>1785</v>
      </c>
      <c r="E511" s="56">
        <v>0</v>
      </c>
      <c r="F511" s="57" t="s">
        <v>792</v>
      </c>
      <c r="G511" s="58">
        <v>25000</v>
      </c>
      <c r="H511" s="59">
        <v>41200</v>
      </c>
      <c r="I511" s="59">
        <f t="shared" si="14"/>
        <v>0</v>
      </c>
    </row>
    <row r="512" spans="1:9" customFormat="1" x14ac:dyDescent="0.35">
      <c r="A512" s="63">
        <f t="shared" si="15"/>
        <v>511</v>
      </c>
      <c r="B512" s="54" t="s">
        <v>1842</v>
      </c>
      <c r="C512" s="55" t="s">
        <v>1843</v>
      </c>
      <c r="D512" s="54" t="s">
        <v>1785</v>
      </c>
      <c r="E512" s="56">
        <v>0</v>
      </c>
      <c r="F512" s="57" t="s">
        <v>792</v>
      </c>
      <c r="G512" s="58">
        <v>39364</v>
      </c>
      <c r="H512" s="59">
        <v>67700</v>
      </c>
      <c r="I512" s="59">
        <f t="shared" si="14"/>
        <v>0</v>
      </c>
    </row>
    <row r="513" spans="1:9" customFormat="1" x14ac:dyDescent="0.35">
      <c r="A513" s="63">
        <f t="shared" si="15"/>
        <v>512</v>
      </c>
      <c r="B513" s="54" t="s">
        <v>1844</v>
      </c>
      <c r="C513" s="55" t="s">
        <v>1845</v>
      </c>
      <c r="D513" s="54" t="s">
        <v>1785</v>
      </c>
      <c r="E513" s="56">
        <v>0</v>
      </c>
      <c r="F513" s="57" t="s">
        <v>792</v>
      </c>
      <c r="G513" s="58">
        <v>241441.44</v>
      </c>
      <c r="H513" s="59">
        <v>396900</v>
      </c>
      <c r="I513" s="59">
        <f t="shared" si="14"/>
        <v>0</v>
      </c>
    </row>
    <row r="514" spans="1:9" customFormat="1" x14ac:dyDescent="0.35">
      <c r="A514" s="63">
        <f t="shared" si="15"/>
        <v>513</v>
      </c>
      <c r="B514" s="54" t="s">
        <v>1846</v>
      </c>
      <c r="C514" s="55" t="s">
        <v>1847</v>
      </c>
      <c r="D514" s="54" t="s">
        <v>1785</v>
      </c>
      <c r="E514" s="56">
        <v>0</v>
      </c>
      <c r="F514" s="57" t="s">
        <v>792</v>
      </c>
      <c r="G514" s="58">
        <v>60000</v>
      </c>
      <c r="H514" s="59">
        <v>88200</v>
      </c>
      <c r="I514" s="59">
        <f t="shared" si="14"/>
        <v>0</v>
      </c>
    </row>
    <row r="515" spans="1:9" customFormat="1" x14ac:dyDescent="0.35">
      <c r="A515" s="63">
        <f t="shared" si="15"/>
        <v>514</v>
      </c>
      <c r="B515" s="54" t="s">
        <v>1848</v>
      </c>
      <c r="C515" s="55" t="s">
        <v>1849</v>
      </c>
      <c r="D515" s="54" t="s">
        <v>1785</v>
      </c>
      <c r="E515" s="56">
        <v>0</v>
      </c>
      <c r="F515" s="57" t="s">
        <v>878</v>
      </c>
      <c r="G515" s="58">
        <v>97000</v>
      </c>
      <c r="H515" s="59">
        <v>98490</v>
      </c>
      <c r="I515" s="59">
        <f t="shared" ref="I515:I578" si="16">H515*E515</f>
        <v>0</v>
      </c>
    </row>
    <row r="516" spans="1:9" customFormat="1" x14ac:dyDescent="0.35">
      <c r="A516" s="63">
        <f t="shared" ref="A516:A579" si="17">A515+1</f>
        <v>515</v>
      </c>
      <c r="B516" s="54" t="s">
        <v>1850</v>
      </c>
      <c r="C516" s="55" t="s">
        <v>1851</v>
      </c>
      <c r="D516" s="54" t="s">
        <v>1785</v>
      </c>
      <c r="E516" s="56">
        <v>0</v>
      </c>
      <c r="F516" s="57" t="s">
        <v>878</v>
      </c>
      <c r="G516" s="58">
        <v>64000</v>
      </c>
      <c r="H516" s="59">
        <v>147000</v>
      </c>
      <c r="I516" s="59">
        <f t="shared" si="16"/>
        <v>0</v>
      </c>
    </row>
    <row r="517" spans="1:9" customFormat="1" x14ac:dyDescent="0.35">
      <c r="A517" s="63">
        <f t="shared" si="17"/>
        <v>516</v>
      </c>
      <c r="B517" s="54" t="s">
        <v>1852</v>
      </c>
      <c r="C517" s="55" t="s">
        <v>1853</v>
      </c>
      <c r="D517" s="54" t="s">
        <v>1785</v>
      </c>
      <c r="E517" s="56">
        <v>0</v>
      </c>
      <c r="F517" s="57" t="s">
        <v>792</v>
      </c>
      <c r="G517" s="58">
        <v>16000</v>
      </c>
      <c r="H517" s="59">
        <v>47100</v>
      </c>
      <c r="I517" s="59">
        <f t="shared" si="16"/>
        <v>0</v>
      </c>
    </row>
    <row r="518" spans="1:9" customFormat="1" x14ac:dyDescent="0.35">
      <c r="A518" s="63">
        <f t="shared" si="17"/>
        <v>517</v>
      </c>
      <c r="B518" s="54" t="s">
        <v>1854</v>
      </c>
      <c r="C518" s="55" t="s">
        <v>1855</v>
      </c>
      <c r="D518" s="54" t="s">
        <v>1785</v>
      </c>
      <c r="E518" s="56">
        <v>0</v>
      </c>
      <c r="F518" s="57" t="s">
        <v>977</v>
      </c>
      <c r="G518" s="58">
        <v>140000</v>
      </c>
      <c r="H518" s="59">
        <v>205800</v>
      </c>
      <c r="I518" s="59">
        <f t="shared" si="16"/>
        <v>0</v>
      </c>
    </row>
    <row r="519" spans="1:9" customFormat="1" x14ac:dyDescent="0.35">
      <c r="A519" s="63">
        <f t="shared" si="17"/>
        <v>518</v>
      </c>
      <c r="B519" s="54" t="s">
        <v>1856</v>
      </c>
      <c r="C519" s="55" t="s">
        <v>1857</v>
      </c>
      <c r="D519" s="54" t="s">
        <v>1785</v>
      </c>
      <c r="E519" s="56">
        <v>0</v>
      </c>
      <c r="F519" s="57" t="s">
        <v>977</v>
      </c>
      <c r="G519" s="58">
        <v>180000</v>
      </c>
      <c r="H519" s="59">
        <v>262000</v>
      </c>
      <c r="I519" s="59">
        <f t="shared" si="16"/>
        <v>0</v>
      </c>
    </row>
    <row r="520" spans="1:9" customFormat="1" x14ac:dyDescent="0.35">
      <c r="A520" s="63">
        <f t="shared" si="17"/>
        <v>519</v>
      </c>
      <c r="B520" s="54" t="s">
        <v>1858</v>
      </c>
      <c r="C520" s="55" t="s">
        <v>1859</v>
      </c>
      <c r="D520" s="54" t="s">
        <v>1785</v>
      </c>
      <c r="E520" s="56">
        <v>0</v>
      </c>
      <c r="F520" s="57" t="s">
        <v>815</v>
      </c>
      <c r="G520" s="58">
        <v>8000</v>
      </c>
      <c r="H520" s="59">
        <v>12000</v>
      </c>
      <c r="I520" s="59">
        <f t="shared" si="16"/>
        <v>0</v>
      </c>
    </row>
    <row r="521" spans="1:9" customFormat="1" x14ac:dyDescent="0.35">
      <c r="A521" s="63">
        <f t="shared" si="17"/>
        <v>520</v>
      </c>
      <c r="B521" s="54" t="s">
        <v>1860</v>
      </c>
      <c r="C521" s="55" t="s">
        <v>1861</v>
      </c>
      <c r="D521" s="54" t="s">
        <v>1785</v>
      </c>
      <c r="E521" s="56">
        <v>0</v>
      </c>
      <c r="F521" s="57" t="s">
        <v>815</v>
      </c>
      <c r="G521" s="58">
        <v>8000</v>
      </c>
      <c r="H521" s="59">
        <v>12000</v>
      </c>
      <c r="I521" s="59">
        <f t="shared" si="16"/>
        <v>0</v>
      </c>
    </row>
    <row r="522" spans="1:9" customFormat="1" x14ac:dyDescent="0.35">
      <c r="A522" s="63">
        <f t="shared" si="17"/>
        <v>521</v>
      </c>
      <c r="B522" s="54" t="s">
        <v>1862</v>
      </c>
      <c r="C522" s="55" t="s">
        <v>1863</v>
      </c>
      <c r="D522" s="54" t="s">
        <v>1785</v>
      </c>
      <c r="E522" s="56">
        <v>0</v>
      </c>
      <c r="F522" s="57" t="s">
        <v>815</v>
      </c>
      <c r="G522" s="58">
        <v>8000</v>
      </c>
      <c r="H522" s="59">
        <v>12000</v>
      </c>
      <c r="I522" s="59">
        <f t="shared" si="16"/>
        <v>0</v>
      </c>
    </row>
    <row r="523" spans="1:9" customFormat="1" x14ac:dyDescent="0.35">
      <c r="A523" s="63">
        <f t="shared" si="17"/>
        <v>522</v>
      </c>
      <c r="B523" s="54" t="s">
        <v>1864</v>
      </c>
      <c r="C523" s="55" t="s">
        <v>1865</v>
      </c>
      <c r="D523" s="54" t="s">
        <v>1785</v>
      </c>
      <c r="E523" s="56">
        <v>0</v>
      </c>
      <c r="F523" s="57" t="s">
        <v>792</v>
      </c>
      <c r="G523" s="58">
        <v>20000</v>
      </c>
      <c r="H523" s="59">
        <v>29500</v>
      </c>
      <c r="I523" s="59">
        <f t="shared" si="16"/>
        <v>0</v>
      </c>
    </row>
    <row r="524" spans="1:9" customFormat="1" ht="23" x14ac:dyDescent="0.35">
      <c r="A524" s="63">
        <f t="shared" si="17"/>
        <v>523</v>
      </c>
      <c r="B524" s="54" t="s">
        <v>1866</v>
      </c>
      <c r="C524" s="55" t="s">
        <v>1867</v>
      </c>
      <c r="D524" s="54" t="s">
        <v>1785</v>
      </c>
      <c r="E524" s="56">
        <v>0</v>
      </c>
      <c r="F524" s="57" t="s">
        <v>1065</v>
      </c>
      <c r="G524" s="58">
        <v>275000</v>
      </c>
      <c r="H524" s="59">
        <v>374400</v>
      </c>
      <c r="I524" s="59">
        <f t="shared" si="16"/>
        <v>0</v>
      </c>
    </row>
    <row r="525" spans="1:9" customFormat="1" ht="23" x14ac:dyDescent="0.35">
      <c r="A525" s="63">
        <f t="shared" si="17"/>
        <v>524</v>
      </c>
      <c r="B525" s="54" t="s">
        <v>1868</v>
      </c>
      <c r="C525" s="55" t="s">
        <v>1869</v>
      </c>
      <c r="D525" s="54" t="s">
        <v>1785</v>
      </c>
      <c r="E525" s="56">
        <v>0</v>
      </c>
      <c r="F525" s="57" t="s">
        <v>1065</v>
      </c>
      <c r="G525" s="58">
        <v>680000</v>
      </c>
      <c r="H525" s="59">
        <v>1100000</v>
      </c>
      <c r="I525" s="59">
        <f t="shared" si="16"/>
        <v>0</v>
      </c>
    </row>
    <row r="526" spans="1:9" customFormat="1" ht="23" x14ac:dyDescent="0.35">
      <c r="A526" s="63">
        <f t="shared" si="17"/>
        <v>525</v>
      </c>
      <c r="B526" s="54" t="s">
        <v>1870</v>
      </c>
      <c r="C526" s="55" t="s">
        <v>1871</v>
      </c>
      <c r="D526" s="54" t="s">
        <v>1785</v>
      </c>
      <c r="E526" s="56">
        <v>0</v>
      </c>
      <c r="F526" s="57" t="s">
        <v>1065</v>
      </c>
      <c r="G526" s="58">
        <v>680000</v>
      </c>
      <c r="H526" s="59">
        <v>680000</v>
      </c>
      <c r="I526" s="59">
        <f t="shared" si="16"/>
        <v>0</v>
      </c>
    </row>
    <row r="527" spans="1:9" customFormat="1" x14ac:dyDescent="0.35">
      <c r="A527" s="63">
        <f t="shared" si="17"/>
        <v>526</v>
      </c>
      <c r="B527" s="54" t="s">
        <v>1872</v>
      </c>
      <c r="C527" s="55" t="s">
        <v>1873</v>
      </c>
      <c r="D527" s="54" t="s">
        <v>1785</v>
      </c>
      <c r="E527" s="56">
        <v>0</v>
      </c>
      <c r="F527" s="57" t="s">
        <v>792</v>
      </c>
      <c r="G527" s="58">
        <v>400000</v>
      </c>
      <c r="H527" s="59">
        <v>696800</v>
      </c>
      <c r="I527" s="59">
        <f t="shared" si="16"/>
        <v>0</v>
      </c>
    </row>
    <row r="528" spans="1:9" customFormat="1" x14ac:dyDescent="0.35">
      <c r="A528" s="63">
        <f t="shared" si="17"/>
        <v>527</v>
      </c>
      <c r="B528" s="54" t="s">
        <v>1874</v>
      </c>
      <c r="C528" s="55" t="s">
        <v>1875</v>
      </c>
      <c r="D528" s="54" t="s">
        <v>1785</v>
      </c>
      <c r="E528" s="56">
        <v>0</v>
      </c>
      <c r="F528" s="57" t="s">
        <v>792</v>
      </c>
      <c r="G528" s="58">
        <v>18500</v>
      </c>
      <c r="H528" s="59">
        <v>26500</v>
      </c>
      <c r="I528" s="59">
        <f t="shared" si="16"/>
        <v>0</v>
      </c>
    </row>
    <row r="529" spans="1:9" customFormat="1" x14ac:dyDescent="0.35">
      <c r="A529" s="63">
        <f t="shared" si="17"/>
        <v>528</v>
      </c>
      <c r="B529" s="54" t="s">
        <v>1876</v>
      </c>
      <c r="C529" s="55" t="s">
        <v>1877</v>
      </c>
      <c r="D529" s="54" t="s">
        <v>1785</v>
      </c>
      <c r="E529" s="56">
        <v>0</v>
      </c>
      <c r="F529" s="57" t="s">
        <v>792</v>
      </c>
      <c r="G529" s="58">
        <v>18500</v>
      </c>
      <c r="H529" s="59">
        <v>26500</v>
      </c>
      <c r="I529" s="59">
        <f t="shared" si="16"/>
        <v>0</v>
      </c>
    </row>
    <row r="530" spans="1:9" customFormat="1" x14ac:dyDescent="0.35">
      <c r="A530" s="63">
        <f t="shared" si="17"/>
        <v>529</v>
      </c>
      <c r="B530" s="54" t="s">
        <v>1878</v>
      </c>
      <c r="C530" s="55" t="s">
        <v>1879</v>
      </c>
      <c r="D530" s="54" t="s">
        <v>1785</v>
      </c>
      <c r="E530" s="56">
        <v>0</v>
      </c>
      <c r="F530" s="57" t="s">
        <v>792</v>
      </c>
      <c r="G530" s="58">
        <v>931001</v>
      </c>
      <c r="H530" s="59">
        <v>1368500</v>
      </c>
      <c r="I530" s="59">
        <f t="shared" si="16"/>
        <v>0</v>
      </c>
    </row>
    <row r="531" spans="1:9" customFormat="1" x14ac:dyDescent="0.35">
      <c r="A531" s="63">
        <f t="shared" si="17"/>
        <v>530</v>
      </c>
      <c r="B531" s="54" t="s">
        <v>1880</v>
      </c>
      <c r="C531" s="55" t="s">
        <v>1881</v>
      </c>
      <c r="D531" s="54" t="s">
        <v>1785</v>
      </c>
      <c r="E531" s="56">
        <v>0</v>
      </c>
      <c r="F531" s="57" t="s">
        <v>792</v>
      </c>
      <c r="G531" s="58">
        <v>44980</v>
      </c>
      <c r="H531" s="59">
        <v>73500</v>
      </c>
      <c r="I531" s="59">
        <f t="shared" si="16"/>
        <v>0</v>
      </c>
    </row>
    <row r="532" spans="1:9" customFormat="1" x14ac:dyDescent="0.35">
      <c r="A532" s="63">
        <f t="shared" si="17"/>
        <v>531</v>
      </c>
      <c r="B532" s="54" t="s">
        <v>1882</v>
      </c>
      <c r="C532" s="55" t="s">
        <v>1883</v>
      </c>
      <c r="D532" s="54" t="s">
        <v>1785</v>
      </c>
      <c r="E532" s="56">
        <v>0</v>
      </c>
      <c r="F532" s="57" t="s">
        <v>792</v>
      </c>
      <c r="G532" s="58">
        <v>400000</v>
      </c>
      <c r="H532" s="59">
        <v>661500</v>
      </c>
      <c r="I532" s="59">
        <f t="shared" si="16"/>
        <v>0</v>
      </c>
    </row>
    <row r="533" spans="1:9" customFormat="1" x14ac:dyDescent="0.35">
      <c r="A533" s="63">
        <f t="shared" si="17"/>
        <v>532</v>
      </c>
      <c r="B533" s="54" t="s">
        <v>1884</v>
      </c>
      <c r="C533" s="55" t="s">
        <v>1885</v>
      </c>
      <c r="D533" s="54" t="s">
        <v>1785</v>
      </c>
      <c r="E533" s="56">
        <v>0</v>
      </c>
      <c r="F533" s="57" t="s">
        <v>792</v>
      </c>
      <c r="G533" s="58">
        <v>30000</v>
      </c>
      <c r="H533" s="59">
        <v>26460</v>
      </c>
      <c r="I533" s="59">
        <f t="shared" si="16"/>
        <v>0</v>
      </c>
    </row>
    <row r="534" spans="1:9" customFormat="1" x14ac:dyDescent="0.35">
      <c r="A534" s="63">
        <f t="shared" si="17"/>
        <v>533</v>
      </c>
      <c r="B534" s="54" t="s">
        <v>1886</v>
      </c>
      <c r="C534" s="55" t="s">
        <v>1887</v>
      </c>
      <c r="D534" s="54" t="s">
        <v>1785</v>
      </c>
      <c r="E534" s="56">
        <v>0</v>
      </c>
      <c r="F534" s="57" t="s">
        <v>792</v>
      </c>
      <c r="G534" s="58">
        <v>30000</v>
      </c>
      <c r="H534" s="59">
        <v>26460</v>
      </c>
      <c r="I534" s="59">
        <f t="shared" si="16"/>
        <v>0</v>
      </c>
    </row>
    <row r="535" spans="1:9" customFormat="1" x14ac:dyDescent="0.35">
      <c r="A535" s="63">
        <f t="shared" si="17"/>
        <v>534</v>
      </c>
      <c r="B535" s="54" t="s">
        <v>1888</v>
      </c>
      <c r="C535" s="55" t="s">
        <v>1889</v>
      </c>
      <c r="D535" s="54" t="s">
        <v>1785</v>
      </c>
      <c r="E535" s="56">
        <v>0</v>
      </c>
      <c r="F535" s="57" t="s">
        <v>1217</v>
      </c>
      <c r="G535" s="58">
        <v>24010</v>
      </c>
      <c r="H535" s="59">
        <v>38416</v>
      </c>
      <c r="I535" s="59">
        <f t="shared" si="16"/>
        <v>0</v>
      </c>
    </row>
    <row r="536" spans="1:9" customFormat="1" x14ac:dyDescent="0.35">
      <c r="A536" s="63">
        <f t="shared" si="17"/>
        <v>535</v>
      </c>
      <c r="B536" s="54" t="s">
        <v>1890</v>
      </c>
      <c r="C536" s="55" t="s">
        <v>1891</v>
      </c>
      <c r="D536" s="54" t="s">
        <v>1785</v>
      </c>
      <c r="E536" s="56">
        <v>0</v>
      </c>
      <c r="F536" s="57" t="s">
        <v>792</v>
      </c>
      <c r="G536" s="58">
        <v>4520</v>
      </c>
      <c r="H536" s="59">
        <v>7232</v>
      </c>
      <c r="I536" s="59">
        <f t="shared" si="16"/>
        <v>0</v>
      </c>
    </row>
    <row r="537" spans="1:9" customFormat="1" x14ac:dyDescent="0.35">
      <c r="A537" s="63">
        <f t="shared" si="17"/>
        <v>536</v>
      </c>
      <c r="B537" s="54" t="s">
        <v>1892</v>
      </c>
      <c r="C537" s="55" t="s">
        <v>1893</v>
      </c>
      <c r="D537" s="54" t="s">
        <v>1785</v>
      </c>
      <c r="E537" s="56">
        <v>0</v>
      </c>
      <c r="F537" s="57" t="s">
        <v>969</v>
      </c>
      <c r="G537" s="58">
        <v>65000</v>
      </c>
      <c r="H537" s="59">
        <v>97000</v>
      </c>
      <c r="I537" s="59">
        <f t="shared" si="16"/>
        <v>0</v>
      </c>
    </row>
    <row r="538" spans="1:9" customFormat="1" x14ac:dyDescent="0.35">
      <c r="A538" s="63">
        <f t="shared" si="17"/>
        <v>537</v>
      </c>
      <c r="B538" s="54" t="s">
        <v>1894</v>
      </c>
      <c r="C538" s="55" t="s">
        <v>1895</v>
      </c>
      <c r="D538" s="54" t="s">
        <v>1785</v>
      </c>
      <c r="E538" s="56">
        <v>0</v>
      </c>
      <c r="F538" s="57" t="s">
        <v>969</v>
      </c>
      <c r="G538" s="58">
        <v>65000</v>
      </c>
      <c r="H538" s="59">
        <v>65000</v>
      </c>
      <c r="I538" s="59">
        <f t="shared" si="16"/>
        <v>0</v>
      </c>
    </row>
    <row r="539" spans="1:9" customFormat="1" x14ac:dyDescent="0.35">
      <c r="A539" s="63">
        <f t="shared" si="17"/>
        <v>538</v>
      </c>
      <c r="B539" s="54" t="s">
        <v>1896</v>
      </c>
      <c r="C539" s="55" t="s">
        <v>1897</v>
      </c>
      <c r="D539" s="54" t="s">
        <v>1785</v>
      </c>
      <c r="E539" s="56">
        <v>0</v>
      </c>
      <c r="F539" s="57" t="s">
        <v>792</v>
      </c>
      <c r="G539" s="58">
        <v>67648.399999999994</v>
      </c>
      <c r="H539" s="59">
        <v>67648.399999999994</v>
      </c>
      <c r="I539" s="59">
        <f t="shared" si="16"/>
        <v>0</v>
      </c>
    </row>
    <row r="540" spans="1:9" customFormat="1" x14ac:dyDescent="0.35">
      <c r="A540" s="63">
        <f t="shared" si="17"/>
        <v>539</v>
      </c>
      <c r="B540" s="54" t="s">
        <v>1898</v>
      </c>
      <c r="C540" s="55" t="s">
        <v>1899</v>
      </c>
      <c r="D540" s="54" t="s">
        <v>1785</v>
      </c>
      <c r="E540" s="56">
        <v>0</v>
      </c>
      <c r="F540" s="57" t="s">
        <v>815</v>
      </c>
      <c r="G540" s="58">
        <v>0</v>
      </c>
      <c r="H540" s="59">
        <v>1403400</v>
      </c>
      <c r="I540" s="59">
        <f t="shared" si="16"/>
        <v>0</v>
      </c>
    </row>
    <row r="541" spans="1:9" customFormat="1" x14ac:dyDescent="0.35">
      <c r="A541" s="63">
        <f t="shared" si="17"/>
        <v>540</v>
      </c>
      <c r="B541" s="54" t="s">
        <v>1900</v>
      </c>
      <c r="C541" s="55" t="s">
        <v>1901</v>
      </c>
      <c r="D541" s="54" t="s">
        <v>1785</v>
      </c>
      <c r="E541" s="56">
        <v>0</v>
      </c>
      <c r="F541" s="57" t="s">
        <v>792</v>
      </c>
      <c r="G541" s="58">
        <v>84500</v>
      </c>
      <c r="H541" s="59">
        <v>123500</v>
      </c>
      <c r="I541" s="59">
        <f t="shared" si="16"/>
        <v>0</v>
      </c>
    </row>
    <row r="542" spans="1:9" customFormat="1" x14ac:dyDescent="0.35">
      <c r="A542" s="63">
        <f t="shared" si="17"/>
        <v>541</v>
      </c>
      <c r="B542" s="54" t="s">
        <v>1902</v>
      </c>
      <c r="C542" s="55" t="s">
        <v>1903</v>
      </c>
      <c r="D542" s="54" t="s">
        <v>1785</v>
      </c>
      <c r="E542" s="56">
        <v>0</v>
      </c>
      <c r="F542" s="57" t="s">
        <v>792</v>
      </c>
      <c r="G542" s="58">
        <v>39000</v>
      </c>
      <c r="H542" s="59">
        <v>57400</v>
      </c>
      <c r="I542" s="59">
        <f t="shared" si="16"/>
        <v>0</v>
      </c>
    </row>
    <row r="543" spans="1:9" customFormat="1" x14ac:dyDescent="0.35">
      <c r="A543" s="63">
        <f t="shared" si="17"/>
        <v>542</v>
      </c>
      <c r="B543" s="54" t="s">
        <v>1904</v>
      </c>
      <c r="C543" s="55" t="s">
        <v>1905</v>
      </c>
      <c r="D543" s="54" t="s">
        <v>1785</v>
      </c>
      <c r="E543" s="56">
        <v>0</v>
      </c>
      <c r="F543" s="57" t="s">
        <v>792</v>
      </c>
      <c r="G543" s="58">
        <v>39000</v>
      </c>
      <c r="H543" s="59">
        <v>57400</v>
      </c>
      <c r="I543" s="59">
        <f t="shared" si="16"/>
        <v>0</v>
      </c>
    </row>
    <row r="544" spans="1:9" customFormat="1" x14ac:dyDescent="0.35">
      <c r="A544" s="63">
        <f t="shared" si="17"/>
        <v>543</v>
      </c>
      <c r="B544" s="54" t="s">
        <v>1906</v>
      </c>
      <c r="C544" s="55" t="s">
        <v>1907</v>
      </c>
      <c r="D544" s="54" t="s">
        <v>1785</v>
      </c>
      <c r="E544" s="56">
        <v>0</v>
      </c>
      <c r="F544" s="57" t="s">
        <v>792</v>
      </c>
      <c r="G544" s="58">
        <v>44000</v>
      </c>
      <c r="H544" s="59">
        <v>75800</v>
      </c>
      <c r="I544" s="59">
        <f t="shared" si="16"/>
        <v>0</v>
      </c>
    </row>
    <row r="545" spans="1:9" customFormat="1" x14ac:dyDescent="0.35">
      <c r="A545" s="63">
        <f t="shared" si="17"/>
        <v>544</v>
      </c>
      <c r="B545" s="54" t="s">
        <v>1908</v>
      </c>
      <c r="C545" s="55" t="s">
        <v>1909</v>
      </c>
      <c r="D545" s="54" t="s">
        <v>1785</v>
      </c>
      <c r="E545" s="56">
        <v>0</v>
      </c>
      <c r="F545" s="57" t="s">
        <v>815</v>
      </c>
      <c r="G545" s="58">
        <v>100000</v>
      </c>
      <c r="H545" s="59">
        <v>147000</v>
      </c>
      <c r="I545" s="59">
        <f t="shared" si="16"/>
        <v>0</v>
      </c>
    </row>
    <row r="546" spans="1:9" customFormat="1" x14ac:dyDescent="0.35">
      <c r="A546" s="63">
        <f t="shared" si="17"/>
        <v>545</v>
      </c>
      <c r="B546" s="54" t="s">
        <v>1910</v>
      </c>
      <c r="C546" s="55" t="s">
        <v>1911</v>
      </c>
      <c r="D546" s="54" t="s">
        <v>1785</v>
      </c>
      <c r="E546" s="56">
        <v>0</v>
      </c>
      <c r="F546" s="57" t="s">
        <v>792</v>
      </c>
      <c r="G546" s="58">
        <v>200000</v>
      </c>
      <c r="H546" s="59">
        <v>294000</v>
      </c>
      <c r="I546" s="59">
        <f t="shared" si="16"/>
        <v>0</v>
      </c>
    </row>
    <row r="547" spans="1:9" customFormat="1" x14ac:dyDescent="0.35">
      <c r="A547" s="63">
        <f t="shared" si="17"/>
        <v>546</v>
      </c>
      <c r="B547" s="54" t="s">
        <v>1912</v>
      </c>
      <c r="C547" s="55" t="s">
        <v>1913</v>
      </c>
      <c r="D547" s="54" t="s">
        <v>1785</v>
      </c>
      <c r="E547" s="92">
        <v>9</v>
      </c>
      <c r="F547" s="57" t="s">
        <v>974</v>
      </c>
      <c r="G547" s="58">
        <v>15000</v>
      </c>
      <c r="H547" s="59">
        <v>18000</v>
      </c>
      <c r="I547" s="59">
        <f t="shared" si="16"/>
        <v>162000</v>
      </c>
    </row>
    <row r="548" spans="1:9" customFormat="1" ht="23" x14ac:dyDescent="0.35">
      <c r="A548" s="63">
        <f t="shared" si="17"/>
        <v>547</v>
      </c>
      <c r="B548" s="54" t="s">
        <v>1914</v>
      </c>
      <c r="C548" s="55" t="s">
        <v>1915</v>
      </c>
      <c r="D548" s="54" t="s">
        <v>1785</v>
      </c>
      <c r="E548" s="92">
        <v>2</v>
      </c>
      <c r="F548" s="57" t="s">
        <v>1065</v>
      </c>
      <c r="G548" s="58">
        <v>195000</v>
      </c>
      <c r="H548" s="59">
        <v>216500</v>
      </c>
      <c r="I548" s="59">
        <f t="shared" si="16"/>
        <v>433000</v>
      </c>
    </row>
    <row r="549" spans="1:9" customFormat="1" ht="23" x14ac:dyDescent="0.35">
      <c r="A549" s="63">
        <f t="shared" si="17"/>
        <v>548</v>
      </c>
      <c r="B549" s="54" t="s">
        <v>1916</v>
      </c>
      <c r="C549" s="55" t="s">
        <v>1917</v>
      </c>
      <c r="D549" s="54" t="s">
        <v>1785</v>
      </c>
      <c r="E549" s="92">
        <v>3</v>
      </c>
      <c r="F549" s="57" t="s">
        <v>1065</v>
      </c>
      <c r="G549" s="58">
        <v>195000</v>
      </c>
      <c r="H549" s="59">
        <v>216500</v>
      </c>
      <c r="I549" s="59">
        <f t="shared" si="16"/>
        <v>649500</v>
      </c>
    </row>
    <row r="550" spans="1:9" customFormat="1" x14ac:dyDescent="0.35">
      <c r="A550" s="63">
        <f t="shared" si="17"/>
        <v>549</v>
      </c>
      <c r="B550" s="54" t="s">
        <v>1918</v>
      </c>
      <c r="C550" s="55" t="s">
        <v>1919</v>
      </c>
      <c r="D550" s="54" t="s">
        <v>1785</v>
      </c>
      <c r="E550" s="92">
        <v>1000</v>
      </c>
      <c r="F550" s="57" t="s">
        <v>792</v>
      </c>
      <c r="G550" s="58">
        <v>1200</v>
      </c>
      <c r="H550" s="59">
        <v>1765</v>
      </c>
      <c r="I550" s="59">
        <f t="shared" si="16"/>
        <v>1765000</v>
      </c>
    </row>
    <row r="551" spans="1:9" customFormat="1" x14ac:dyDescent="0.35">
      <c r="A551" s="63">
        <f t="shared" si="17"/>
        <v>550</v>
      </c>
      <c r="B551" s="54" t="s">
        <v>1920</v>
      </c>
      <c r="C551" s="55" t="s">
        <v>1921</v>
      </c>
      <c r="D551" s="54" t="s">
        <v>1785</v>
      </c>
      <c r="E551" s="92">
        <v>4</v>
      </c>
      <c r="F551" s="57" t="s">
        <v>1322</v>
      </c>
      <c r="G551" s="58">
        <v>75000</v>
      </c>
      <c r="H551" s="59">
        <v>133650</v>
      </c>
      <c r="I551" s="59">
        <f t="shared" si="16"/>
        <v>534600</v>
      </c>
    </row>
    <row r="552" spans="1:9" customFormat="1" x14ac:dyDescent="0.35">
      <c r="A552" s="63">
        <f t="shared" si="17"/>
        <v>551</v>
      </c>
      <c r="B552" s="54" t="s">
        <v>1922</v>
      </c>
      <c r="C552" s="55" t="s">
        <v>1923</v>
      </c>
      <c r="D552" s="54" t="s">
        <v>1785</v>
      </c>
      <c r="E552" s="92">
        <v>10</v>
      </c>
      <c r="F552" s="57" t="s">
        <v>1924</v>
      </c>
      <c r="G552" s="58">
        <v>35000</v>
      </c>
      <c r="H552" s="59">
        <v>41100</v>
      </c>
      <c r="I552" s="59">
        <f t="shared" si="16"/>
        <v>411000</v>
      </c>
    </row>
    <row r="553" spans="1:9" customFormat="1" x14ac:dyDescent="0.35">
      <c r="A553" s="63">
        <f t="shared" si="17"/>
        <v>552</v>
      </c>
      <c r="B553" s="54" t="s">
        <v>1925</v>
      </c>
      <c r="C553" s="55" t="s">
        <v>1926</v>
      </c>
      <c r="D553" s="54" t="s">
        <v>1785</v>
      </c>
      <c r="E553" s="92">
        <v>7</v>
      </c>
      <c r="F553" s="57" t="s">
        <v>792</v>
      </c>
      <c r="G553" s="58">
        <v>0</v>
      </c>
      <c r="H553" s="59">
        <v>132900</v>
      </c>
      <c r="I553" s="59">
        <f t="shared" si="16"/>
        <v>930300</v>
      </c>
    </row>
    <row r="554" spans="1:9" customFormat="1" x14ac:dyDescent="0.35">
      <c r="A554" s="63">
        <f t="shared" si="17"/>
        <v>553</v>
      </c>
      <c r="B554" s="54" t="s">
        <v>1927</v>
      </c>
      <c r="C554" s="55" t="s">
        <v>1928</v>
      </c>
      <c r="D554" s="54" t="s">
        <v>1785</v>
      </c>
      <c r="E554" s="92">
        <v>33</v>
      </c>
      <c r="F554" s="57" t="s">
        <v>974</v>
      </c>
      <c r="G554" s="58">
        <v>34000</v>
      </c>
      <c r="H554" s="59">
        <v>53000</v>
      </c>
      <c r="I554" s="59">
        <f t="shared" si="16"/>
        <v>1749000</v>
      </c>
    </row>
    <row r="555" spans="1:9" customFormat="1" ht="34.5" x14ac:dyDescent="0.35">
      <c r="A555" s="63">
        <f t="shared" si="17"/>
        <v>554</v>
      </c>
      <c r="B555" s="54" t="s">
        <v>1929</v>
      </c>
      <c r="C555" s="55" t="s">
        <v>1930</v>
      </c>
      <c r="D555" s="54" t="s">
        <v>1931</v>
      </c>
      <c r="E555" s="56">
        <v>0</v>
      </c>
      <c r="F555" s="57" t="s">
        <v>792</v>
      </c>
      <c r="G555" s="58">
        <v>322</v>
      </c>
      <c r="H555" s="59">
        <v>322</v>
      </c>
      <c r="I555" s="59">
        <f t="shared" si="16"/>
        <v>0</v>
      </c>
    </row>
    <row r="556" spans="1:9" customFormat="1" x14ac:dyDescent="0.35">
      <c r="A556" s="63">
        <f t="shared" si="17"/>
        <v>555</v>
      </c>
      <c r="B556" s="54" t="s">
        <v>1932</v>
      </c>
      <c r="C556" s="55" t="s">
        <v>1933</v>
      </c>
      <c r="D556" s="54" t="s">
        <v>1931</v>
      </c>
      <c r="E556" s="56">
        <v>0</v>
      </c>
      <c r="F556" s="57" t="s">
        <v>1431</v>
      </c>
      <c r="G556" s="58">
        <v>45000</v>
      </c>
      <c r="H556" s="59">
        <v>0</v>
      </c>
      <c r="I556" s="59">
        <f t="shared" si="16"/>
        <v>0</v>
      </c>
    </row>
    <row r="557" spans="1:9" customFormat="1" x14ac:dyDescent="0.35">
      <c r="A557" s="63">
        <f t="shared" si="17"/>
        <v>556</v>
      </c>
      <c r="B557" s="54" t="s">
        <v>1934</v>
      </c>
      <c r="C557" s="55" t="s">
        <v>1935</v>
      </c>
      <c r="D557" s="54" t="s">
        <v>1931</v>
      </c>
      <c r="E557" s="56">
        <v>0</v>
      </c>
      <c r="F557" s="57" t="s">
        <v>974</v>
      </c>
      <c r="G557" s="58">
        <v>40000</v>
      </c>
      <c r="H557" s="59">
        <v>40000</v>
      </c>
      <c r="I557" s="59">
        <f t="shared" si="16"/>
        <v>0</v>
      </c>
    </row>
    <row r="558" spans="1:9" customFormat="1" x14ac:dyDescent="0.35">
      <c r="A558" s="63">
        <f t="shared" si="17"/>
        <v>557</v>
      </c>
      <c r="B558" s="54" t="s">
        <v>1936</v>
      </c>
      <c r="C558" s="55" t="s">
        <v>1937</v>
      </c>
      <c r="D558" s="54" t="s">
        <v>1931</v>
      </c>
      <c r="E558" s="56">
        <v>0</v>
      </c>
      <c r="F558" s="57" t="s">
        <v>792</v>
      </c>
      <c r="G558" s="58">
        <v>0</v>
      </c>
      <c r="H558" s="59">
        <v>24000</v>
      </c>
      <c r="I558" s="59">
        <f t="shared" si="16"/>
        <v>0</v>
      </c>
    </row>
    <row r="559" spans="1:9" customFormat="1" x14ac:dyDescent="0.35">
      <c r="A559" s="63">
        <f t="shared" si="17"/>
        <v>558</v>
      </c>
      <c r="B559" s="54" t="s">
        <v>1938</v>
      </c>
      <c r="C559" s="55" t="s">
        <v>1939</v>
      </c>
      <c r="D559" s="54" t="s">
        <v>1931</v>
      </c>
      <c r="E559" s="56">
        <v>0</v>
      </c>
      <c r="F559" s="57" t="s">
        <v>792</v>
      </c>
      <c r="G559" s="58">
        <v>0</v>
      </c>
      <c r="H559" s="59">
        <v>12000</v>
      </c>
      <c r="I559" s="59">
        <f t="shared" si="16"/>
        <v>0</v>
      </c>
    </row>
    <row r="560" spans="1:9" customFormat="1" x14ac:dyDescent="0.35">
      <c r="A560" s="63">
        <f t="shared" si="17"/>
        <v>559</v>
      </c>
      <c r="B560" s="54" t="s">
        <v>1940</v>
      </c>
      <c r="C560" s="55" t="s">
        <v>1941</v>
      </c>
      <c r="D560" s="54" t="s">
        <v>1931</v>
      </c>
      <c r="E560" s="56">
        <v>0</v>
      </c>
      <c r="F560" s="57" t="s">
        <v>792</v>
      </c>
      <c r="G560" s="58">
        <v>0</v>
      </c>
      <c r="H560" s="59">
        <v>10000</v>
      </c>
      <c r="I560" s="59">
        <f t="shared" si="16"/>
        <v>0</v>
      </c>
    </row>
    <row r="561" spans="1:9" customFormat="1" x14ac:dyDescent="0.35">
      <c r="A561" s="63">
        <f t="shared" si="17"/>
        <v>560</v>
      </c>
      <c r="B561" s="54" t="s">
        <v>1942</v>
      </c>
      <c r="C561" s="55" t="s">
        <v>1943</v>
      </c>
      <c r="D561" s="54" t="s">
        <v>1931</v>
      </c>
      <c r="E561" s="56">
        <v>0</v>
      </c>
      <c r="F561" s="57" t="s">
        <v>792</v>
      </c>
      <c r="G561" s="58">
        <v>0</v>
      </c>
      <c r="H561" s="59">
        <v>6000</v>
      </c>
      <c r="I561" s="59">
        <f t="shared" si="16"/>
        <v>0</v>
      </c>
    </row>
    <row r="562" spans="1:9" customFormat="1" x14ac:dyDescent="0.35">
      <c r="A562" s="63">
        <f t="shared" si="17"/>
        <v>561</v>
      </c>
      <c r="B562" s="54" t="s">
        <v>1944</v>
      </c>
      <c r="C562" s="55" t="s">
        <v>1945</v>
      </c>
      <c r="D562" s="54" t="s">
        <v>1931</v>
      </c>
      <c r="E562" s="56">
        <v>0</v>
      </c>
      <c r="F562" s="57" t="s">
        <v>792</v>
      </c>
      <c r="G562" s="58">
        <v>0</v>
      </c>
      <c r="H562" s="59">
        <v>14000</v>
      </c>
      <c r="I562" s="59">
        <f t="shared" si="16"/>
        <v>0</v>
      </c>
    </row>
    <row r="563" spans="1:9" customFormat="1" x14ac:dyDescent="0.35">
      <c r="A563" s="63">
        <f t="shared" si="17"/>
        <v>562</v>
      </c>
      <c r="B563" s="54" t="s">
        <v>1946</v>
      </c>
      <c r="C563" s="55" t="s">
        <v>1947</v>
      </c>
      <c r="D563" s="54" t="s">
        <v>1931</v>
      </c>
      <c r="E563" s="56">
        <v>0</v>
      </c>
      <c r="F563" s="57" t="s">
        <v>792</v>
      </c>
      <c r="G563" s="58">
        <v>0</v>
      </c>
      <c r="H563" s="59">
        <v>97500</v>
      </c>
      <c r="I563" s="59">
        <f t="shared" si="16"/>
        <v>0</v>
      </c>
    </row>
    <row r="564" spans="1:9" customFormat="1" x14ac:dyDescent="0.35">
      <c r="A564" s="63">
        <f t="shared" si="17"/>
        <v>563</v>
      </c>
      <c r="B564" s="54" t="s">
        <v>1948</v>
      </c>
      <c r="C564" s="55" t="s">
        <v>1949</v>
      </c>
      <c r="D564" s="54" t="s">
        <v>1931</v>
      </c>
      <c r="E564" s="56">
        <v>0</v>
      </c>
      <c r="F564" s="57" t="s">
        <v>969</v>
      </c>
      <c r="G564" s="58">
        <v>210000</v>
      </c>
      <c r="H564" s="59">
        <v>165000</v>
      </c>
      <c r="I564" s="59">
        <f t="shared" si="16"/>
        <v>0</v>
      </c>
    </row>
    <row r="565" spans="1:9" customFormat="1" x14ac:dyDescent="0.35">
      <c r="A565" s="63">
        <f t="shared" si="17"/>
        <v>564</v>
      </c>
      <c r="B565" s="54" t="s">
        <v>1950</v>
      </c>
      <c r="C565" s="55" t="s">
        <v>1951</v>
      </c>
      <c r="D565" s="54" t="s">
        <v>1931</v>
      </c>
      <c r="E565" s="56">
        <v>0</v>
      </c>
      <c r="F565" s="57" t="s">
        <v>969</v>
      </c>
      <c r="G565" s="58">
        <v>173000</v>
      </c>
      <c r="H565" s="59">
        <v>173000</v>
      </c>
      <c r="I565" s="59">
        <f t="shared" si="16"/>
        <v>0</v>
      </c>
    </row>
    <row r="566" spans="1:9" customFormat="1" x14ac:dyDescent="0.35">
      <c r="A566" s="63">
        <f t="shared" si="17"/>
        <v>565</v>
      </c>
      <c r="B566" s="54" t="s">
        <v>1952</v>
      </c>
      <c r="C566" s="55" t="s">
        <v>1953</v>
      </c>
      <c r="D566" s="54" t="s">
        <v>1931</v>
      </c>
      <c r="E566" s="56">
        <v>0</v>
      </c>
      <c r="F566" s="57" t="s">
        <v>969</v>
      </c>
      <c r="G566" s="58">
        <v>39000</v>
      </c>
      <c r="H566" s="59">
        <v>39000</v>
      </c>
      <c r="I566" s="59">
        <f t="shared" si="16"/>
        <v>0</v>
      </c>
    </row>
    <row r="567" spans="1:9" customFormat="1" x14ac:dyDescent="0.35">
      <c r="A567" s="63">
        <f t="shared" si="17"/>
        <v>566</v>
      </c>
      <c r="B567" s="54" t="s">
        <v>1954</v>
      </c>
      <c r="C567" s="55" t="s">
        <v>1955</v>
      </c>
      <c r="D567" s="54" t="s">
        <v>1931</v>
      </c>
      <c r="E567" s="92">
        <v>6306</v>
      </c>
      <c r="F567" s="57" t="s">
        <v>792</v>
      </c>
      <c r="G567" s="58">
        <v>555.55999999999995</v>
      </c>
      <c r="H567" s="59">
        <v>1100</v>
      </c>
      <c r="I567" s="59">
        <f t="shared" si="16"/>
        <v>6936600</v>
      </c>
    </row>
    <row r="568" spans="1:9" customFormat="1" x14ac:dyDescent="0.35">
      <c r="A568" s="63">
        <f t="shared" si="17"/>
        <v>567</v>
      </c>
      <c r="B568" s="54" t="s">
        <v>1956</v>
      </c>
      <c r="C568" s="55" t="s">
        <v>1957</v>
      </c>
      <c r="D568" s="54" t="s">
        <v>1931</v>
      </c>
      <c r="E568" s="92">
        <f>154*600-81000</f>
        <v>11400</v>
      </c>
      <c r="F568" s="57" t="s">
        <v>792</v>
      </c>
      <c r="G568" s="58">
        <v>570</v>
      </c>
      <c r="H568" s="59">
        <v>972</v>
      </c>
      <c r="I568" s="59">
        <f t="shared" si="16"/>
        <v>11080800</v>
      </c>
    </row>
    <row r="569" spans="1:9" customFormat="1" x14ac:dyDescent="0.35">
      <c r="A569" s="63">
        <f t="shared" si="17"/>
        <v>568</v>
      </c>
      <c r="B569" s="54" t="s">
        <v>1958</v>
      </c>
      <c r="C569" s="55" t="s">
        <v>1959</v>
      </c>
      <c r="D569" s="54" t="s">
        <v>1960</v>
      </c>
      <c r="E569" s="56">
        <v>0</v>
      </c>
      <c r="F569" s="57" t="s">
        <v>844</v>
      </c>
      <c r="G569" s="58">
        <v>300000</v>
      </c>
      <c r="H569" s="59">
        <v>515000</v>
      </c>
      <c r="I569" s="59">
        <f t="shared" si="16"/>
        <v>0</v>
      </c>
    </row>
    <row r="570" spans="1:9" customFormat="1" ht="23" x14ac:dyDescent="0.35">
      <c r="A570" s="63">
        <f t="shared" si="17"/>
        <v>569</v>
      </c>
      <c r="B570" s="54" t="s">
        <v>1961</v>
      </c>
      <c r="C570" s="55" t="s">
        <v>1962</v>
      </c>
      <c r="D570" s="54" t="s">
        <v>1963</v>
      </c>
      <c r="E570" s="56">
        <v>0</v>
      </c>
      <c r="F570" s="57" t="s">
        <v>792</v>
      </c>
      <c r="G570" s="58">
        <v>75000</v>
      </c>
      <c r="H570" s="59">
        <v>75000</v>
      </c>
      <c r="I570" s="59">
        <f t="shared" si="16"/>
        <v>0</v>
      </c>
    </row>
    <row r="571" spans="1:9" customFormat="1" x14ac:dyDescent="0.35">
      <c r="A571" s="63">
        <f t="shared" si="17"/>
        <v>570</v>
      </c>
      <c r="B571" s="54" t="s">
        <v>1964</v>
      </c>
      <c r="C571" s="55" t="s">
        <v>1965</v>
      </c>
      <c r="D571" s="54" t="s">
        <v>1963</v>
      </c>
      <c r="E571" s="56">
        <v>0</v>
      </c>
      <c r="F571" s="57" t="s">
        <v>1966</v>
      </c>
      <c r="G571" s="58">
        <v>460000</v>
      </c>
      <c r="H571" s="59">
        <v>546000</v>
      </c>
      <c r="I571" s="59">
        <f t="shared" si="16"/>
        <v>0</v>
      </c>
    </row>
    <row r="572" spans="1:9" customFormat="1" x14ac:dyDescent="0.35">
      <c r="A572" s="63">
        <f t="shared" si="17"/>
        <v>571</v>
      </c>
      <c r="B572" s="54" t="s">
        <v>1967</v>
      </c>
      <c r="C572" s="55" t="s">
        <v>1968</v>
      </c>
      <c r="D572" s="54" t="s">
        <v>1963</v>
      </c>
      <c r="E572" s="56">
        <v>0</v>
      </c>
      <c r="F572" s="57" t="s">
        <v>1552</v>
      </c>
      <c r="G572" s="58">
        <v>125000</v>
      </c>
      <c r="H572" s="59">
        <v>125000</v>
      </c>
      <c r="I572" s="59">
        <f t="shared" si="16"/>
        <v>0</v>
      </c>
    </row>
    <row r="573" spans="1:9" customFormat="1" ht="23" x14ac:dyDescent="0.35">
      <c r="A573" s="63">
        <f t="shared" si="17"/>
        <v>572</v>
      </c>
      <c r="B573" s="54" t="s">
        <v>1969</v>
      </c>
      <c r="C573" s="55" t="s">
        <v>1970</v>
      </c>
      <c r="D573" s="54" t="s">
        <v>1963</v>
      </c>
      <c r="E573" s="56">
        <v>0</v>
      </c>
      <c r="F573" s="57" t="s">
        <v>792</v>
      </c>
      <c r="G573" s="58">
        <v>97000</v>
      </c>
      <c r="H573" s="59">
        <v>97000</v>
      </c>
      <c r="I573" s="59">
        <f t="shared" si="16"/>
        <v>0</v>
      </c>
    </row>
    <row r="574" spans="1:9" customFormat="1" x14ac:dyDescent="0.35">
      <c r="A574" s="63">
        <f t="shared" si="17"/>
        <v>573</v>
      </c>
      <c r="B574" s="54" t="s">
        <v>1971</v>
      </c>
      <c r="C574" s="55" t="s">
        <v>1972</v>
      </c>
      <c r="D574" s="54" t="s">
        <v>1963</v>
      </c>
      <c r="E574" s="56">
        <v>0</v>
      </c>
      <c r="F574" s="57" t="s">
        <v>1966</v>
      </c>
      <c r="G574" s="58">
        <v>335000</v>
      </c>
      <c r="H574" s="59">
        <v>555000</v>
      </c>
      <c r="I574" s="59">
        <f t="shared" si="16"/>
        <v>0</v>
      </c>
    </row>
    <row r="575" spans="1:9" customFormat="1" x14ac:dyDescent="0.35">
      <c r="A575" s="63">
        <f t="shared" si="17"/>
        <v>574</v>
      </c>
      <c r="B575" s="54" t="s">
        <v>1973</v>
      </c>
      <c r="C575" s="55" t="s">
        <v>1974</v>
      </c>
      <c r="D575" s="54" t="s">
        <v>1963</v>
      </c>
      <c r="E575" s="56">
        <v>0</v>
      </c>
      <c r="F575" s="57" t="s">
        <v>815</v>
      </c>
      <c r="G575" s="58">
        <v>1000000</v>
      </c>
      <c r="H575" s="59">
        <v>1000000</v>
      </c>
      <c r="I575" s="59">
        <f t="shared" si="16"/>
        <v>0</v>
      </c>
    </row>
    <row r="576" spans="1:9" customFormat="1" x14ac:dyDescent="0.35">
      <c r="A576" s="63">
        <f t="shared" si="17"/>
        <v>575</v>
      </c>
      <c r="B576" s="54" t="s">
        <v>1975</v>
      </c>
      <c r="C576" s="55" t="s">
        <v>1976</v>
      </c>
      <c r="D576" s="54" t="s">
        <v>1963</v>
      </c>
      <c r="E576" s="56">
        <v>0</v>
      </c>
      <c r="F576" s="57" t="s">
        <v>815</v>
      </c>
      <c r="G576" s="58">
        <v>0</v>
      </c>
      <c r="H576" s="59">
        <v>292500</v>
      </c>
      <c r="I576" s="59">
        <f t="shared" si="16"/>
        <v>0</v>
      </c>
    </row>
    <row r="577" spans="1:9" customFormat="1" x14ac:dyDescent="0.35">
      <c r="A577" s="63">
        <f t="shared" si="17"/>
        <v>576</v>
      </c>
      <c r="B577" s="54" t="s">
        <v>1977</v>
      </c>
      <c r="C577" s="55" t="s">
        <v>1978</v>
      </c>
      <c r="D577" s="54" t="s">
        <v>1963</v>
      </c>
      <c r="E577" s="56">
        <v>0</v>
      </c>
      <c r="F577" s="57" t="s">
        <v>792</v>
      </c>
      <c r="G577" s="58">
        <v>4000</v>
      </c>
      <c r="H577" s="59">
        <v>7400</v>
      </c>
      <c r="I577" s="59">
        <f t="shared" si="16"/>
        <v>0</v>
      </c>
    </row>
    <row r="578" spans="1:9" customFormat="1" ht="23" x14ac:dyDescent="0.35">
      <c r="A578" s="63">
        <f t="shared" si="17"/>
        <v>577</v>
      </c>
      <c r="B578" s="54" t="s">
        <v>1979</v>
      </c>
      <c r="C578" s="55" t="s">
        <v>1980</v>
      </c>
      <c r="D578" s="54" t="s">
        <v>1963</v>
      </c>
      <c r="E578" s="56">
        <v>0</v>
      </c>
      <c r="F578" s="57" t="s">
        <v>792</v>
      </c>
      <c r="G578" s="58">
        <v>0</v>
      </c>
      <c r="H578" s="59">
        <v>1527</v>
      </c>
      <c r="I578" s="59">
        <f t="shared" si="16"/>
        <v>0</v>
      </c>
    </row>
    <row r="579" spans="1:9" customFormat="1" ht="23" x14ac:dyDescent="0.35">
      <c r="A579" s="63">
        <f t="shared" si="17"/>
        <v>578</v>
      </c>
      <c r="B579" s="54" t="s">
        <v>1981</v>
      </c>
      <c r="C579" s="55" t="s">
        <v>1982</v>
      </c>
      <c r="D579" s="54" t="s">
        <v>1963</v>
      </c>
      <c r="E579" s="56">
        <v>0</v>
      </c>
      <c r="F579" s="57" t="s">
        <v>792</v>
      </c>
      <c r="G579" s="58">
        <v>4277</v>
      </c>
      <c r="H579" s="59">
        <v>6650</v>
      </c>
      <c r="I579" s="59">
        <f t="shared" ref="I579:I642" si="18">H579*E579</f>
        <v>0</v>
      </c>
    </row>
    <row r="580" spans="1:9" customFormat="1" ht="23" x14ac:dyDescent="0.35">
      <c r="A580" s="63">
        <f t="shared" ref="A580:A643" si="19">A579+1</f>
        <v>579</v>
      </c>
      <c r="B580" s="54" t="s">
        <v>1983</v>
      </c>
      <c r="C580" s="55" t="s">
        <v>1984</v>
      </c>
      <c r="D580" s="54" t="s">
        <v>1963</v>
      </c>
      <c r="E580" s="56">
        <v>0</v>
      </c>
      <c r="F580" s="57" t="s">
        <v>792</v>
      </c>
      <c r="G580" s="58">
        <v>0</v>
      </c>
      <c r="H580" s="59">
        <v>7380</v>
      </c>
      <c r="I580" s="59">
        <f t="shared" si="18"/>
        <v>0</v>
      </c>
    </row>
    <row r="581" spans="1:9" customFormat="1" x14ac:dyDescent="0.35">
      <c r="A581" s="63">
        <f t="shared" si="19"/>
        <v>580</v>
      </c>
      <c r="B581" s="54" t="s">
        <v>1985</v>
      </c>
      <c r="C581" s="55" t="s">
        <v>1986</v>
      </c>
      <c r="D581" s="54" t="s">
        <v>1963</v>
      </c>
      <c r="E581" s="56">
        <v>0</v>
      </c>
      <c r="F581" s="57" t="s">
        <v>792</v>
      </c>
      <c r="G581" s="58">
        <v>4943</v>
      </c>
      <c r="H581" s="59">
        <v>8640</v>
      </c>
      <c r="I581" s="59">
        <f t="shared" si="18"/>
        <v>0</v>
      </c>
    </row>
    <row r="582" spans="1:9" customFormat="1" ht="23" x14ac:dyDescent="0.35">
      <c r="A582" s="63">
        <f t="shared" si="19"/>
        <v>581</v>
      </c>
      <c r="B582" s="54" t="s">
        <v>1987</v>
      </c>
      <c r="C582" s="55" t="s">
        <v>1988</v>
      </c>
      <c r="D582" s="54" t="s">
        <v>1963</v>
      </c>
      <c r="E582" s="56">
        <v>0</v>
      </c>
      <c r="F582" s="57" t="s">
        <v>977</v>
      </c>
      <c r="G582" s="58">
        <v>11000</v>
      </c>
      <c r="H582" s="59">
        <v>12500</v>
      </c>
      <c r="I582" s="59">
        <f t="shared" si="18"/>
        <v>0</v>
      </c>
    </row>
    <row r="583" spans="1:9" customFormat="1" ht="23" x14ac:dyDescent="0.35">
      <c r="A583" s="63">
        <f t="shared" si="19"/>
        <v>582</v>
      </c>
      <c r="B583" s="54" t="s">
        <v>1989</v>
      </c>
      <c r="C583" s="55" t="s">
        <v>1990</v>
      </c>
      <c r="D583" s="54" t="s">
        <v>1963</v>
      </c>
      <c r="E583" s="56">
        <v>0</v>
      </c>
      <c r="F583" s="57" t="s">
        <v>977</v>
      </c>
      <c r="G583" s="58">
        <v>20000</v>
      </c>
      <c r="H583" s="59">
        <v>24000</v>
      </c>
      <c r="I583" s="59">
        <f t="shared" si="18"/>
        <v>0</v>
      </c>
    </row>
    <row r="584" spans="1:9" customFormat="1" ht="23" x14ac:dyDescent="0.35">
      <c r="A584" s="63">
        <f t="shared" si="19"/>
        <v>583</v>
      </c>
      <c r="B584" s="54" t="s">
        <v>1991</v>
      </c>
      <c r="C584" s="55" t="s">
        <v>1992</v>
      </c>
      <c r="D584" s="54" t="s">
        <v>1963</v>
      </c>
      <c r="E584" s="56">
        <v>0</v>
      </c>
      <c r="F584" s="57" t="s">
        <v>977</v>
      </c>
      <c r="G584" s="58">
        <v>40000</v>
      </c>
      <c r="H584" s="59">
        <v>45000</v>
      </c>
      <c r="I584" s="59">
        <f t="shared" si="18"/>
        <v>0</v>
      </c>
    </row>
    <row r="585" spans="1:9" customFormat="1" ht="23" x14ac:dyDescent="0.35">
      <c r="A585" s="63">
        <f t="shared" si="19"/>
        <v>584</v>
      </c>
      <c r="B585" s="54" t="s">
        <v>1993</v>
      </c>
      <c r="C585" s="55" t="s">
        <v>1994</v>
      </c>
      <c r="D585" s="54" t="s">
        <v>1963</v>
      </c>
      <c r="E585" s="56">
        <v>0</v>
      </c>
      <c r="F585" s="57" t="s">
        <v>792</v>
      </c>
      <c r="G585" s="58">
        <v>14647</v>
      </c>
      <c r="H585" s="59">
        <v>14647</v>
      </c>
      <c r="I585" s="59">
        <f t="shared" si="18"/>
        <v>0</v>
      </c>
    </row>
    <row r="586" spans="1:9" customFormat="1" ht="23" x14ac:dyDescent="0.35">
      <c r="A586" s="63">
        <f t="shared" si="19"/>
        <v>585</v>
      </c>
      <c r="B586" s="54" t="s">
        <v>1995</v>
      </c>
      <c r="C586" s="55" t="s">
        <v>1996</v>
      </c>
      <c r="D586" s="54" t="s">
        <v>1963</v>
      </c>
      <c r="E586" s="56">
        <v>0</v>
      </c>
      <c r="F586" s="57" t="s">
        <v>792</v>
      </c>
      <c r="G586" s="58">
        <v>7774</v>
      </c>
      <c r="H586" s="59">
        <v>9975</v>
      </c>
      <c r="I586" s="59">
        <f t="shared" si="18"/>
        <v>0</v>
      </c>
    </row>
    <row r="587" spans="1:9" customFormat="1" ht="23" x14ac:dyDescent="0.35">
      <c r="A587" s="63">
        <f t="shared" si="19"/>
        <v>586</v>
      </c>
      <c r="B587" s="54" t="s">
        <v>1997</v>
      </c>
      <c r="C587" s="55" t="s">
        <v>1998</v>
      </c>
      <c r="D587" s="54" t="s">
        <v>1963</v>
      </c>
      <c r="E587" s="56">
        <v>0</v>
      </c>
      <c r="F587" s="57" t="s">
        <v>792</v>
      </c>
      <c r="G587" s="58">
        <v>6725</v>
      </c>
      <c r="H587" s="59">
        <v>9494</v>
      </c>
      <c r="I587" s="59">
        <f t="shared" si="18"/>
        <v>0</v>
      </c>
    </row>
    <row r="588" spans="1:9" customFormat="1" ht="23" x14ac:dyDescent="0.35">
      <c r="A588" s="63">
        <f t="shared" si="19"/>
        <v>587</v>
      </c>
      <c r="B588" s="54" t="s">
        <v>1999</v>
      </c>
      <c r="C588" s="55" t="s">
        <v>2000</v>
      </c>
      <c r="D588" s="54" t="s">
        <v>1963</v>
      </c>
      <c r="E588" s="56">
        <v>0</v>
      </c>
      <c r="F588" s="57" t="s">
        <v>792</v>
      </c>
      <c r="G588" s="58">
        <v>0</v>
      </c>
      <c r="H588" s="59">
        <v>5700</v>
      </c>
      <c r="I588" s="59">
        <f t="shared" si="18"/>
        <v>0</v>
      </c>
    </row>
    <row r="589" spans="1:9" customFormat="1" ht="23" x14ac:dyDescent="0.35">
      <c r="A589" s="63">
        <f t="shared" si="19"/>
        <v>588</v>
      </c>
      <c r="B589" s="54" t="s">
        <v>2001</v>
      </c>
      <c r="C589" s="55" t="s">
        <v>2002</v>
      </c>
      <c r="D589" s="54" t="s">
        <v>1963</v>
      </c>
      <c r="E589" s="56">
        <v>0</v>
      </c>
      <c r="F589" s="57" t="s">
        <v>792</v>
      </c>
      <c r="G589" s="58">
        <v>0</v>
      </c>
      <c r="H589" s="59">
        <v>6307</v>
      </c>
      <c r="I589" s="59">
        <f t="shared" si="18"/>
        <v>0</v>
      </c>
    </row>
    <row r="590" spans="1:9" customFormat="1" ht="23" x14ac:dyDescent="0.35">
      <c r="A590" s="63">
        <f t="shared" si="19"/>
        <v>589</v>
      </c>
      <c r="B590" s="54" t="s">
        <v>2003</v>
      </c>
      <c r="C590" s="55" t="s">
        <v>2004</v>
      </c>
      <c r="D590" s="54" t="s">
        <v>1963</v>
      </c>
      <c r="E590" s="56">
        <v>0</v>
      </c>
      <c r="F590" s="57" t="s">
        <v>792</v>
      </c>
      <c r="G590" s="58">
        <v>0</v>
      </c>
      <c r="H590" s="59">
        <v>4667</v>
      </c>
      <c r="I590" s="59">
        <f t="shared" si="18"/>
        <v>0</v>
      </c>
    </row>
    <row r="591" spans="1:9" customFormat="1" ht="23" x14ac:dyDescent="0.35">
      <c r="A591" s="63">
        <f t="shared" si="19"/>
        <v>590</v>
      </c>
      <c r="B591" s="54" t="s">
        <v>2005</v>
      </c>
      <c r="C591" s="55" t="s">
        <v>2006</v>
      </c>
      <c r="D591" s="54" t="s">
        <v>1963</v>
      </c>
      <c r="E591" s="56">
        <v>0</v>
      </c>
      <c r="F591" s="57" t="s">
        <v>792</v>
      </c>
      <c r="G591" s="58">
        <v>7000</v>
      </c>
      <c r="H591" s="59">
        <v>9025</v>
      </c>
      <c r="I591" s="59">
        <f t="shared" si="18"/>
        <v>0</v>
      </c>
    </row>
    <row r="592" spans="1:9" customFormat="1" ht="23" x14ac:dyDescent="0.35">
      <c r="A592" s="63">
        <f t="shared" si="19"/>
        <v>591</v>
      </c>
      <c r="B592" s="54" t="s">
        <v>2007</v>
      </c>
      <c r="C592" s="55" t="s">
        <v>2008</v>
      </c>
      <c r="D592" s="54" t="s">
        <v>1963</v>
      </c>
      <c r="E592" s="56">
        <v>0</v>
      </c>
      <c r="F592" s="57" t="s">
        <v>792</v>
      </c>
      <c r="G592" s="58">
        <v>0</v>
      </c>
      <c r="H592" s="59">
        <v>0</v>
      </c>
      <c r="I592" s="59">
        <f t="shared" si="18"/>
        <v>0</v>
      </c>
    </row>
    <row r="593" spans="1:9" customFormat="1" ht="23" x14ac:dyDescent="0.35">
      <c r="A593" s="63">
        <f t="shared" si="19"/>
        <v>592</v>
      </c>
      <c r="B593" s="54" t="s">
        <v>2009</v>
      </c>
      <c r="C593" s="55" t="s">
        <v>2010</v>
      </c>
      <c r="D593" s="54" t="s">
        <v>1963</v>
      </c>
      <c r="E593" s="56">
        <v>0</v>
      </c>
      <c r="F593" s="57" t="s">
        <v>792</v>
      </c>
      <c r="G593" s="58">
        <v>3624</v>
      </c>
      <c r="H593" s="59">
        <v>9120</v>
      </c>
      <c r="I593" s="59">
        <f t="shared" si="18"/>
        <v>0</v>
      </c>
    </row>
    <row r="594" spans="1:9" customFormat="1" ht="23" x14ac:dyDescent="0.35">
      <c r="A594" s="63">
        <f t="shared" si="19"/>
        <v>593</v>
      </c>
      <c r="B594" s="54" t="s">
        <v>2011</v>
      </c>
      <c r="C594" s="55" t="s">
        <v>2012</v>
      </c>
      <c r="D594" s="54" t="s">
        <v>1963</v>
      </c>
      <c r="E594" s="56">
        <v>0</v>
      </c>
      <c r="F594" s="57" t="s">
        <v>792</v>
      </c>
      <c r="G594" s="58">
        <v>250</v>
      </c>
      <c r="H594" s="59">
        <v>247</v>
      </c>
      <c r="I594" s="59">
        <f t="shared" si="18"/>
        <v>0</v>
      </c>
    </row>
    <row r="595" spans="1:9" customFormat="1" ht="23" x14ac:dyDescent="0.35">
      <c r="A595" s="63">
        <f t="shared" si="19"/>
        <v>594</v>
      </c>
      <c r="B595" s="54" t="s">
        <v>2013</v>
      </c>
      <c r="C595" s="55" t="s">
        <v>2014</v>
      </c>
      <c r="D595" s="54" t="s">
        <v>1963</v>
      </c>
      <c r="E595" s="56">
        <v>0</v>
      </c>
      <c r="F595" s="57" t="s">
        <v>792</v>
      </c>
      <c r="G595" s="58">
        <v>370</v>
      </c>
      <c r="H595" s="59">
        <v>475</v>
      </c>
      <c r="I595" s="59">
        <f t="shared" si="18"/>
        <v>0</v>
      </c>
    </row>
    <row r="596" spans="1:9" customFormat="1" ht="23" x14ac:dyDescent="0.35">
      <c r="A596" s="63">
        <f t="shared" si="19"/>
        <v>595</v>
      </c>
      <c r="B596" s="54" t="s">
        <v>2015</v>
      </c>
      <c r="C596" s="55" t="s">
        <v>2016</v>
      </c>
      <c r="D596" s="54" t="s">
        <v>1963</v>
      </c>
      <c r="E596" s="56">
        <v>0</v>
      </c>
      <c r="F596" s="57" t="s">
        <v>792</v>
      </c>
      <c r="G596" s="58">
        <v>0</v>
      </c>
      <c r="H596" s="59">
        <v>475</v>
      </c>
      <c r="I596" s="59">
        <f t="shared" si="18"/>
        <v>0</v>
      </c>
    </row>
    <row r="597" spans="1:9" customFormat="1" x14ac:dyDescent="0.35">
      <c r="A597" s="63">
        <f t="shared" si="19"/>
        <v>596</v>
      </c>
      <c r="B597" s="54" t="s">
        <v>2017</v>
      </c>
      <c r="C597" s="55" t="s">
        <v>2018</v>
      </c>
      <c r="D597" s="54" t="s">
        <v>1963</v>
      </c>
      <c r="E597" s="56">
        <v>0</v>
      </c>
      <c r="F597" s="57" t="s">
        <v>792</v>
      </c>
      <c r="G597" s="58">
        <v>0</v>
      </c>
      <c r="H597" s="59">
        <v>300</v>
      </c>
      <c r="I597" s="59">
        <f t="shared" si="18"/>
        <v>0</v>
      </c>
    </row>
    <row r="598" spans="1:9" customFormat="1" ht="23" x14ac:dyDescent="0.35">
      <c r="A598" s="63">
        <f t="shared" si="19"/>
        <v>597</v>
      </c>
      <c r="B598" s="54" t="s">
        <v>2019</v>
      </c>
      <c r="C598" s="55" t="s">
        <v>2020</v>
      </c>
      <c r="D598" s="54" t="s">
        <v>1963</v>
      </c>
      <c r="E598" s="56">
        <v>0</v>
      </c>
      <c r="F598" s="57" t="s">
        <v>792</v>
      </c>
      <c r="G598" s="58">
        <v>57</v>
      </c>
      <c r="H598" s="59">
        <v>144</v>
      </c>
      <c r="I598" s="59">
        <f t="shared" si="18"/>
        <v>0</v>
      </c>
    </row>
    <row r="599" spans="1:9" customFormat="1" x14ac:dyDescent="0.35">
      <c r="A599" s="63">
        <f t="shared" si="19"/>
        <v>598</v>
      </c>
      <c r="B599" s="54" t="s">
        <v>2021</v>
      </c>
      <c r="C599" s="55" t="s">
        <v>2022</v>
      </c>
      <c r="D599" s="54" t="s">
        <v>1963</v>
      </c>
      <c r="E599" s="56">
        <v>0</v>
      </c>
      <c r="F599" s="57" t="s">
        <v>792</v>
      </c>
      <c r="G599" s="58">
        <v>1040</v>
      </c>
      <c r="H599" s="59">
        <v>1581</v>
      </c>
      <c r="I599" s="59">
        <f t="shared" si="18"/>
        <v>0</v>
      </c>
    </row>
    <row r="600" spans="1:9" customFormat="1" ht="23" x14ac:dyDescent="0.35">
      <c r="A600" s="63">
        <f t="shared" si="19"/>
        <v>599</v>
      </c>
      <c r="B600" s="54" t="s">
        <v>2023</v>
      </c>
      <c r="C600" s="55" t="s">
        <v>2024</v>
      </c>
      <c r="D600" s="54" t="s">
        <v>1963</v>
      </c>
      <c r="E600" s="56">
        <v>0</v>
      </c>
      <c r="F600" s="57" t="s">
        <v>792</v>
      </c>
      <c r="G600" s="58">
        <v>400</v>
      </c>
      <c r="H600" s="59">
        <v>1487</v>
      </c>
      <c r="I600" s="59">
        <f t="shared" si="18"/>
        <v>0</v>
      </c>
    </row>
    <row r="601" spans="1:9" customFormat="1" ht="23" x14ac:dyDescent="0.35">
      <c r="A601" s="63">
        <f t="shared" si="19"/>
        <v>600</v>
      </c>
      <c r="B601" s="54" t="s">
        <v>2025</v>
      </c>
      <c r="C601" s="55" t="s">
        <v>2026</v>
      </c>
      <c r="D601" s="54" t="s">
        <v>1963</v>
      </c>
      <c r="E601" s="56">
        <v>0</v>
      </c>
      <c r="F601" s="57" t="s">
        <v>792</v>
      </c>
      <c r="G601" s="58">
        <v>2370</v>
      </c>
      <c r="H601" s="59">
        <v>3500</v>
      </c>
      <c r="I601" s="59">
        <f t="shared" si="18"/>
        <v>0</v>
      </c>
    </row>
    <row r="602" spans="1:9" customFormat="1" x14ac:dyDescent="0.35">
      <c r="A602" s="63">
        <f t="shared" si="19"/>
        <v>601</v>
      </c>
      <c r="B602" s="54" t="s">
        <v>2027</v>
      </c>
      <c r="C602" s="55" t="s">
        <v>2028</v>
      </c>
      <c r="D602" s="54" t="s">
        <v>1963</v>
      </c>
      <c r="E602" s="56">
        <v>0</v>
      </c>
      <c r="F602" s="57" t="s">
        <v>792</v>
      </c>
      <c r="G602" s="58">
        <v>0</v>
      </c>
      <c r="H602" s="59">
        <v>6045</v>
      </c>
      <c r="I602" s="59">
        <f t="shared" si="18"/>
        <v>0</v>
      </c>
    </row>
    <row r="603" spans="1:9" customFormat="1" ht="23" x14ac:dyDescent="0.35">
      <c r="A603" s="63">
        <f t="shared" si="19"/>
        <v>602</v>
      </c>
      <c r="B603" s="54" t="s">
        <v>2029</v>
      </c>
      <c r="C603" s="55" t="s">
        <v>2030</v>
      </c>
      <c r="D603" s="54" t="s">
        <v>1963</v>
      </c>
      <c r="E603" s="56">
        <v>0</v>
      </c>
      <c r="F603" s="57" t="s">
        <v>792</v>
      </c>
      <c r="G603" s="58">
        <v>9500</v>
      </c>
      <c r="H603" s="59">
        <v>6324</v>
      </c>
      <c r="I603" s="59">
        <f t="shared" si="18"/>
        <v>0</v>
      </c>
    </row>
    <row r="604" spans="1:9" customFormat="1" ht="23" x14ac:dyDescent="0.35">
      <c r="A604" s="63">
        <f t="shared" si="19"/>
        <v>603</v>
      </c>
      <c r="B604" s="54" t="s">
        <v>2031</v>
      </c>
      <c r="C604" s="55" t="s">
        <v>2032</v>
      </c>
      <c r="D604" s="54" t="s">
        <v>1963</v>
      </c>
      <c r="E604" s="56">
        <v>0</v>
      </c>
      <c r="F604" s="57" t="s">
        <v>792</v>
      </c>
      <c r="G604" s="58">
        <v>0</v>
      </c>
      <c r="H604" s="59">
        <v>2880</v>
      </c>
      <c r="I604" s="59">
        <f t="shared" si="18"/>
        <v>0</v>
      </c>
    </row>
    <row r="605" spans="1:9" customFormat="1" ht="23" x14ac:dyDescent="0.35">
      <c r="A605" s="63">
        <f t="shared" si="19"/>
        <v>604</v>
      </c>
      <c r="B605" s="54" t="s">
        <v>2033</v>
      </c>
      <c r="C605" s="55" t="s">
        <v>2034</v>
      </c>
      <c r="D605" s="54" t="s">
        <v>1963</v>
      </c>
      <c r="E605" s="56">
        <v>0</v>
      </c>
      <c r="F605" s="57" t="s">
        <v>792</v>
      </c>
      <c r="G605" s="58">
        <v>0</v>
      </c>
      <c r="H605" s="59">
        <v>0</v>
      </c>
      <c r="I605" s="59">
        <f t="shared" si="18"/>
        <v>0</v>
      </c>
    </row>
    <row r="606" spans="1:9" customFormat="1" x14ac:dyDescent="0.35">
      <c r="A606" s="63">
        <f t="shared" si="19"/>
        <v>605</v>
      </c>
      <c r="B606" s="54" t="s">
        <v>2035</v>
      </c>
      <c r="C606" s="55" t="s">
        <v>2036</v>
      </c>
      <c r="D606" s="54" t="s">
        <v>1963</v>
      </c>
      <c r="E606" s="56">
        <v>0</v>
      </c>
      <c r="F606" s="57" t="s">
        <v>792</v>
      </c>
      <c r="G606" s="58">
        <v>5320</v>
      </c>
      <c r="H606" s="59">
        <v>8928</v>
      </c>
      <c r="I606" s="59">
        <f t="shared" si="18"/>
        <v>0</v>
      </c>
    </row>
    <row r="607" spans="1:9" customFormat="1" x14ac:dyDescent="0.35">
      <c r="A607" s="63">
        <f t="shared" si="19"/>
        <v>606</v>
      </c>
      <c r="B607" s="54" t="s">
        <v>2037</v>
      </c>
      <c r="C607" s="55" t="s">
        <v>2038</v>
      </c>
      <c r="D607" s="54" t="s">
        <v>1963</v>
      </c>
      <c r="E607" s="56">
        <v>0</v>
      </c>
      <c r="F607" s="57" t="s">
        <v>792</v>
      </c>
      <c r="G607" s="58">
        <v>5330</v>
      </c>
      <c r="H607" s="59">
        <v>5330</v>
      </c>
      <c r="I607" s="59">
        <f t="shared" si="18"/>
        <v>0</v>
      </c>
    </row>
    <row r="608" spans="1:9" customFormat="1" ht="23" x14ac:dyDescent="0.35">
      <c r="A608" s="63">
        <f t="shared" si="19"/>
        <v>607</v>
      </c>
      <c r="B608" s="54" t="s">
        <v>2039</v>
      </c>
      <c r="C608" s="55" t="s">
        <v>2040</v>
      </c>
      <c r="D608" s="54" t="s">
        <v>1963</v>
      </c>
      <c r="E608" s="56">
        <v>0</v>
      </c>
      <c r="F608" s="57" t="s">
        <v>792</v>
      </c>
      <c r="G608" s="58">
        <v>7347</v>
      </c>
      <c r="H608" s="59">
        <v>7347</v>
      </c>
      <c r="I608" s="59">
        <f t="shared" si="18"/>
        <v>0</v>
      </c>
    </row>
    <row r="609" spans="1:9" customFormat="1" ht="23" x14ac:dyDescent="0.35">
      <c r="A609" s="63">
        <f t="shared" si="19"/>
        <v>608</v>
      </c>
      <c r="B609" s="54" t="s">
        <v>2041</v>
      </c>
      <c r="C609" s="55" t="s">
        <v>2042</v>
      </c>
      <c r="D609" s="54" t="s">
        <v>1963</v>
      </c>
      <c r="E609" s="56">
        <v>0</v>
      </c>
      <c r="F609" s="57" t="s">
        <v>792</v>
      </c>
      <c r="G609" s="58">
        <v>5880</v>
      </c>
      <c r="H609" s="59">
        <v>8256</v>
      </c>
      <c r="I609" s="59">
        <f t="shared" si="18"/>
        <v>0</v>
      </c>
    </row>
    <row r="610" spans="1:9" customFormat="1" ht="23" x14ac:dyDescent="0.35">
      <c r="A610" s="63">
        <f t="shared" si="19"/>
        <v>609</v>
      </c>
      <c r="B610" s="54" t="s">
        <v>2043</v>
      </c>
      <c r="C610" s="55" t="s">
        <v>2044</v>
      </c>
      <c r="D610" s="54" t="s">
        <v>1963</v>
      </c>
      <c r="E610" s="56">
        <v>0</v>
      </c>
      <c r="F610" s="57" t="s">
        <v>792</v>
      </c>
      <c r="G610" s="58">
        <v>509</v>
      </c>
      <c r="H610" s="59">
        <v>1113</v>
      </c>
      <c r="I610" s="59">
        <f t="shared" si="18"/>
        <v>0</v>
      </c>
    </row>
    <row r="611" spans="1:9" customFormat="1" ht="23" x14ac:dyDescent="0.35">
      <c r="A611" s="63">
        <f t="shared" si="19"/>
        <v>610</v>
      </c>
      <c r="B611" s="54" t="s">
        <v>2045</v>
      </c>
      <c r="C611" s="55" t="s">
        <v>2046</v>
      </c>
      <c r="D611" s="54" t="s">
        <v>1963</v>
      </c>
      <c r="E611" s="56">
        <v>0</v>
      </c>
      <c r="F611" s="57" t="s">
        <v>792</v>
      </c>
      <c r="G611" s="58">
        <v>6055</v>
      </c>
      <c r="H611" s="59">
        <v>9858</v>
      </c>
      <c r="I611" s="59">
        <f t="shared" si="18"/>
        <v>0</v>
      </c>
    </row>
    <row r="612" spans="1:9" customFormat="1" ht="23" x14ac:dyDescent="0.35">
      <c r="A612" s="63">
        <f t="shared" si="19"/>
        <v>611</v>
      </c>
      <c r="B612" s="54" t="s">
        <v>2047</v>
      </c>
      <c r="C612" s="55" t="s">
        <v>2048</v>
      </c>
      <c r="D612" s="54" t="s">
        <v>1963</v>
      </c>
      <c r="E612" s="56">
        <v>0</v>
      </c>
      <c r="F612" s="57" t="s">
        <v>792</v>
      </c>
      <c r="G612" s="58">
        <v>0</v>
      </c>
      <c r="H612" s="59">
        <v>1750</v>
      </c>
      <c r="I612" s="59">
        <f t="shared" si="18"/>
        <v>0</v>
      </c>
    </row>
    <row r="613" spans="1:9" customFormat="1" ht="23" x14ac:dyDescent="0.35">
      <c r="A613" s="63">
        <f t="shared" si="19"/>
        <v>612</v>
      </c>
      <c r="B613" s="54" t="s">
        <v>2049</v>
      </c>
      <c r="C613" s="55" t="s">
        <v>2050</v>
      </c>
      <c r="D613" s="54" t="s">
        <v>1963</v>
      </c>
      <c r="E613" s="56">
        <v>0</v>
      </c>
      <c r="F613" s="57" t="s">
        <v>792</v>
      </c>
      <c r="G613" s="58">
        <v>0</v>
      </c>
      <c r="H613" s="59">
        <v>960</v>
      </c>
      <c r="I613" s="59">
        <f t="shared" si="18"/>
        <v>0</v>
      </c>
    </row>
    <row r="614" spans="1:9" customFormat="1" ht="23" x14ac:dyDescent="0.35">
      <c r="A614" s="63">
        <f t="shared" si="19"/>
        <v>613</v>
      </c>
      <c r="B614" s="54" t="s">
        <v>2051</v>
      </c>
      <c r="C614" s="55" t="s">
        <v>2052</v>
      </c>
      <c r="D614" s="54" t="s">
        <v>1963</v>
      </c>
      <c r="E614" s="56">
        <v>0</v>
      </c>
      <c r="F614" s="57" t="s">
        <v>792</v>
      </c>
      <c r="G614" s="58">
        <v>1800</v>
      </c>
      <c r="H614" s="59">
        <v>2945</v>
      </c>
      <c r="I614" s="59">
        <f t="shared" si="18"/>
        <v>0</v>
      </c>
    </row>
    <row r="615" spans="1:9" customFormat="1" ht="23" x14ac:dyDescent="0.35">
      <c r="A615" s="63">
        <f t="shared" si="19"/>
        <v>614</v>
      </c>
      <c r="B615" s="54" t="s">
        <v>2053</v>
      </c>
      <c r="C615" s="55" t="s">
        <v>2054</v>
      </c>
      <c r="D615" s="54" t="s">
        <v>1963</v>
      </c>
      <c r="E615" s="56">
        <v>0</v>
      </c>
      <c r="F615" s="57" t="s">
        <v>792</v>
      </c>
      <c r="G615" s="58">
        <v>12500</v>
      </c>
      <c r="H615" s="59">
        <v>12500</v>
      </c>
      <c r="I615" s="59">
        <f t="shared" si="18"/>
        <v>0</v>
      </c>
    </row>
    <row r="616" spans="1:9" customFormat="1" x14ac:dyDescent="0.35">
      <c r="A616" s="63">
        <f t="shared" si="19"/>
        <v>615</v>
      </c>
      <c r="B616" s="54" t="s">
        <v>2055</v>
      </c>
      <c r="C616" s="55" t="s">
        <v>2056</v>
      </c>
      <c r="D616" s="54" t="s">
        <v>1963</v>
      </c>
      <c r="E616" s="56">
        <v>0</v>
      </c>
      <c r="F616" s="57" t="s">
        <v>792</v>
      </c>
      <c r="G616" s="58">
        <v>61750</v>
      </c>
      <c r="H616" s="59">
        <v>61750</v>
      </c>
      <c r="I616" s="59">
        <f t="shared" si="18"/>
        <v>0</v>
      </c>
    </row>
    <row r="617" spans="1:9" customFormat="1" ht="23" x14ac:dyDescent="0.35">
      <c r="A617" s="63">
        <f t="shared" si="19"/>
        <v>616</v>
      </c>
      <c r="B617" s="54" t="s">
        <v>2057</v>
      </c>
      <c r="C617" s="55" t="s">
        <v>2058</v>
      </c>
      <c r="D617" s="54" t="s">
        <v>1963</v>
      </c>
      <c r="E617" s="56">
        <v>0</v>
      </c>
      <c r="F617" s="57" t="s">
        <v>792</v>
      </c>
      <c r="G617" s="58">
        <v>0</v>
      </c>
      <c r="H617" s="59">
        <v>277200</v>
      </c>
      <c r="I617" s="59">
        <f t="shared" si="18"/>
        <v>0</v>
      </c>
    </row>
    <row r="618" spans="1:9" customFormat="1" x14ac:dyDescent="0.35">
      <c r="A618" s="63">
        <f t="shared" si="19"/>
        <v>617</v>
      </c>
      <c r="B618" s="54" t="s">
        <v>2059</v>
      </c>
      <c r="C618" s="55" t="s">
        <v>2060</v>
      </c>
      <c r="D618" s="54" t="s">
        <v>1963</v>
      </c>
      <c r="E618" s="56">
        <v>0</v>
      </c>
      <c r="F618" s="57" t="s">
        <v>792</v>
      </c>
      <c r="G618" s="58">
        <v>187320</v>
      </c>
      <c r="H618" s="59">
        <v>187320</v>
      </c>
      <c r="I618" s="59">
        <f t="shared" si="18"/>
        <v>0</v>
      </c>
    </row>
    <row r="619" spans="1:9" customFormat="1" ht="23" x14ac:dyDescent="0.35">
      <c r="A619" s="63">
        <f t="shared" si="19"/>
        <v>618</v>
      </c>
      <c r="B619" s="54" t="s">
        <v>2061</v>
      </c>
      <c r="C619" s="55" t="s">
        <v>2062</v>
      </c>
      <c r="D619" s="54" t="s">
        <v>1963</v>
      </c>
      <c r="E619" s="56">
        <v>0</v>
      </c>
      <c r="F619" s="57" t="s">
        <v>792</v>
      </c>
      <c r="G619" s="58">
        <v>380000</v>
      </c>
      <c r="H619" s="59">
        <v>450000</v>
      </c>
      <c r="I619" s="59">
        <f t="shared" si="18"/>
        <v>0</v>
      </c>
    </row>
    <row r="620" spans="1:9" customFormat="1" ht="23" x14ac:dyDescent="0.35">
      <c r="A620" s="63">
        <f t="shared" si="19"/>
        <v>619</v>
      </c>
      <c r="B620" s="54" t="s">
        <v>2063</v>
      </c>
      <c r="C620" s="55" t="s">
        <v>2064</v>
      </c>
      <c r="D620" s="54" t="s">
        <v>1963</v>
      </c>
      <c r="E620" s="56">
        <v>0</v>
      </c>
      <c r="F620" s="57" t="s">
        <v>792</v>
      </c>
      <c r="G620" s="58">
        <v>365000</v>
      </c>
      <c r="H620" s="59">
        <v>365000</v>
      </c>
      <c r="I620" s="59">
        <f t="shared" si="18"/>
        <v>0</v>
      </c>
    </row>
    <row r="621" spans="1:9" customFormat="1" ht="23" x14ac:dyDescent="0.35">
      <c r="A621" s="63">
        <f t="shared" si="19"/>
        <v>620</v>
      </c>
      <c r="B621" s="54" t="s">
        <v>2065</v>
      </c>
      <c r="C621" s="55" t="s">
        <v>2066</v>
      </c>
      <c r="D621" s="54" t="s">
        <v>1963</v>
      </c>
      <c r="E621" s="56">
        <v>0</v>
      </c>
      <c r="F621" s="57" t="s">
        <v>792</v>
      </c>
      <c r="G621" s="58">
        <v>365000</v>
      </c>
      <c r="H621" s="59">
        <v>428187</v>
      </c>
      <c r="I621" s="59">
        <f t="shared" si="18"/>
        <v>0</v>
      </c>
    </row>
    <row r="622" spans="1:9" customFormat="1" x14ac:dyDescent="0.35">
      <c r="A622" s="63">
        <f t="shared" si="19"/>
        <v>621</v>
      </c>
      <c r="B622" s="54" t="s">
        <v>2067</v>
      </c>
      <c r="C622" s="55" t="s">
        <v>2068</v>
      </c>
      <c r="D622" s="54" t="s">
        <v>1963</v>
      </c>
      <c r="E622" s="56">
        <v>0</v>
      </c>
      <c r="F622" s="57" t="s">
        <v>792</v>
      </c>
      <c r="G622" s="58">
        <v>422450</v>
      </c>
      <c r="H622" s="59">
        <v>610000</v>
      </c>
      <c r="I622" s="59">
        <f t="shared" si="18"/>
        <v>0</v>
      </c>
    </row>
    <row r="623" spans="1:9" customFormat="1" x14ac:dyDescent="0.35">
      <c r="A623" s="63">
        <f t="shared" si="19"/>
        <v>622</v>
      </c>
      <c r="B623" s="54" t="s">
        <v>2069</v>
      </c>
      <c r="C623" s="55" t="s">
        <v>2070</v>
      </c>
      <c r="D623" s="54" t="s">
        <v>1963</v>
      </c>
      <c r="E623" s="56">
        <v>0</v>
      </c>
      <c r="F623" s="57" t="s">
        <v>815</v>
      </c>
      <c r="G623" s="58">
        <v>95000</v>
      </c>
      <c r="H623" s="59">
        <v>156245</v>
      </c>
      <c r="I623" s="59">
        <f t="shared" si="18"/>
        <v>0</v>
      </c>
    </row>
    <row r="624" spans="1:9" customFormat="1" x14ac:dyDescent="0.35">
      <c r="A624" s="63">
        <f t="shared" si="19"/>
        <v>623</v>
      </c>
      <c r="B624" s="54" t="s">
        <v>2071</v>
      </c>
      <c r="C624" s="55" t="s">
        <v>2072</v>
      </c>
      <c r="D624" s="54" t="s">
        <v>1963</v>
      </c>
      <c r="E624" s="56">
        <v>0</v>
      </c>
      <c r="F624" s="57" t="s">
        <v>792</v>
      </c>
      <c r="G624" s="58">
        <v>18750</v>
      </c>
      <c r="H624" s="59">
        <v>18750</v>
      </c>
      <c r="I624" s="59">
        <f t="shared" si="18"/>
        <v>0</v>
      </c>
    </row>
    <row r="625" spans="1:9" customFormat="1" x14ac:dyDescent="0.35">
      <c r="A625" s="63">
        <f t="shared" si="19"/>
        <v>624</v>
      </c>
      <c r="B625" s="54" t="s">
        <v>2073</v>
      </c>
      <c r="C625" s="55" t="s">
        <v>2074</v>
      </c>
      <c r="D625" s="54" t="s">
        <v>1963</v>
      </c>
      <c r="E625" s="56">
        <v>0</v>
      </c>
      <c r="F625" s="57" t="s">
        <v>792</v>
      </c>
      <c r="G625" s="58">
        <v>1450</v>
      </c>
      <c r="H625" s="59">
        <v>3168</v>
      </c>
      <c r="I625" s="59">
        <f t="shared" si="18"/>
        <v>0</v>
      </c>
    </row>
    <row r="626" spans="1:9" customFormat="1" ht="23" x14ac:dyDescent="0.35">
      <c r="A626" s="63">
        <f t="shared" si="19"/>
        <v>625</v>
      </c>
      <c r="B626" s="54" t="s">
        <v>2075</v>
      </c>
      <c r="C626" s="55" t="s">
        <v>2076</v>
      </c>
      <c r="D626" s="54" t="s">
        <v>1963</v>
      </c>
      <c r="E626" s="56">
        <v>0</v>
      </c>
      <c r="F626" s="57" t="s">
        <v>870</v>
      </c>
      <c r="G626" s="58">
        <v>3059</v>
      </c>
      <c r="H626" s="59">
        <v>3146</v>
      </c>
      <c r="I626" s="59">
        <f t="shared" si="18"/>
        <v>0</v>
      </c>
    </row>
    <row r="627" spans="1:9" customFormat="1" x14ac:dyDescent="0.35">
      <c r="A627" s="63">
        <f t="shared" si="19"/>
        <v>626</v>
      </c>
      <c r="B627" s="54" t="s">
        <v>2077</v>
      </c>
      <c r="C627" s="55" t="s">
        <v>2078</v>
      </c>
      <c r="D627" s="54" t="s">
        <v>1963</v>
      </c>
      <c r="E627" s="56">
        <v>0</v>
      </c>
      <c r="F627" s="57" t="s">
        <v>870</v>
      </c>
      <c r="G627" s="58">
        <v>5107.2</v>
      </c>
      <c r="H627" s="59">
        <v>5107.2</v>
      </c>
      <c r="I627" s="59">
        <f t="shared" si="18"/>
        <v>0</v>
      </c>
    </row>
    <row r="628" spans="1:9" customFormat="1" ht="23" x14ac:dyDescent="0.35">
      <c r="A628" s="63">
        <f t="shared" si="19"/>
        <v>627</v>
      </c>
      <c r="B628" s="54" t="s">
        <v>2079</v>
      </c>
      <c r="C628" s="55" t="s">
        <v>2080</v>
      </c>
      <c r="D628" s="54" t="s">
        <v>1963</v>
      </c>
      <c r="E628" s="56">
        <v>0</v>
      </c>
      <c r="F628" s="57" t="s">
        <v>792</v>
      </c>
      <c r="G628" s="58">
        <v>120000</v>
      </c>
      <c r="H628" s="59">
        <v>191500</v>
      </c>
      <c r="I628" s="59">
        <f t="shared" si="18"/>
        <v>0</v>
      </c>
    </row>
    <row r="629" spans="1:9" customFormat="1" x14ac:dyDescent="0.35">
      <c r="A629" s="63">
        <f t="shared" si="19"/>
        <v>628</v>
      </c>
      <c r="B629" s="54" t="s">
        <v>2081</v>
      </c>
      <c r="C629" s="55" t="s">
        <v>2082</v>
      </c>
      <c r="D629" s="54" t="s">
        <v>1963</v>
      </c>
      <c r="E629" s="56">
        <v>0</v>
      </c>
      <c r="F629" s="57" t="s">
        <v>792</v>
      </c>
      <c r="G629" s="58">
        <v>0</v>
      </c>
      <c r="H629" s="59">
        <v>23465</v>
      </c>
      <c r="I629" s="59">
        <f t="shared" si="18"/>
        <v>0</v>
      </c>
    </row>
    <row r="630" spans="1:9" customFormat="1" ht="23" x14ac:dyDescent="0.35">
      <c r="A630" s="63">
        <f t="shared" si="19"/>
        <v>629</v>
      </c>
      <c r="B630" s="54" t="s">
        <v>2083</v>
      </c>
      <c r="C630" s="55" t="s">
        <v>2084</v>
      </c>
      <c r="D630" s="54" t="s">
        <v>1963</v>
      </c>
      <c r="E630" s="56">
        <v>0</v>
      </c>
      <c r="F630" s="57" t="s">
        <v>792</v>
      </c>
      <c r="G630" s="58">
        <v>1720000</v>
      </c>
      <c r="H630" s="59">
        <v>2277000</v>
      </c>
      <c r="I630" s="59">
        <f t="shared" si="18"/>
        <v>0</v>
      </c>
    </row>
    <row r="631" spans="1:9" customFormat="1" ht="23" x14ac:dyDescent="0.35">
      <c r="A631" s="63">
        <f t="shared" si="19"/>
        <v>630</v>
      </c>
      <c r="B631" s="54" t="s">
        <v>2085</v>
      </c>
      <c r="C631" s="55" t="s">
        <v>2086</v>
      </c>
      <c r="D631" s="54" t="s">
        <v>1963</v>
      </c>
      <c r="E631" s="56">
        <v>0</v>
      </c>
      <c r="F631" s="57" t="s">
        <v>792</v>
      </c>
      <c r="G631" s="58">
        <v>9000</v>
      </c>
      <c r="H631" s="59">
        <v>15000</v>
      </c>
      <c r="I631" s="59">
        <f t="shared" si="18"/>
        <v>0</v>
      </c>
    </row>
    <row r="632" spans="1:9" customFormat="1" ht="23" x14ac:dyDescent="0.35">
      <c r="A632" s="63">
        <f t="shared" si="19"/>
        <v>631</v>
      </c>
      <c r="B632" s="54" t="s">
        <v>2087</v>
      </c>
      <c r="C632" s="55" t="s">
        <v>2088</v>
      </c>
      <c r="D632" s="54" t="s">
        <v>1963</v>
      </c>
      <c r="E632" s="56">
        <v>0</v>
      </c>
      <c r="F632" s="57" t="s">
        <v>792</v>
      </c>
      <c r="G632" s="58">
        <v>9500</v>
      </c>
      <c r="H632" s="59">
        <v>12000</v>
      </c>
      <c r="I632" s="59">
        <f t="shared" si="18"/>
        <v>0</v>
      </c>
    </row>
    <row r="633" spans="1:9" customFormat="1" ht="34.5" x14ac:dyDescent="0.35">
      <c r="A633" s="63">
        <f t="shared" si="19"/>
        <v>632</v>
      </c>
      <c r="B633" s="54" t="s">
        <v>2089</v>
      </c>
      <c r="C633" s="55" t="s">
        <v>2090</v>
      </c>
      <c r="D633" s="54" t="s">
        <v>1963</v>
      </c>
      <c r="E633" s="56">
        <v>0</v>
      </c>
      <c r="F633" s="57" t="s">
        <v>792</v>
      </c>
      <c r="G633" s="58">
        <v>0</v>
      </c>
      <c r="H633" s="59">
        <v>6500</v>
      </c>
      <c r="I633" s="59">
        <f t="shared" si="18"/>
        <v>0</v>
      </c>
    </row>
    <row r="634" spans="1:9" customFormat="1" ht="34.5" x14ac:dyDescent="0.35">
      <c r="A634" s="63">
        <f t="shared" si="19"/>
        <v>633</v>
      </c>
      <c r="B634" s="54" t="s">
        <v>2091</v>
      </c>
      <c r="C634" s="55" t="s">
        <v>2092</v>
      </c>
      <c r="D634" s="54" t="s">
        <v>1963</v>
      </c>
      <c r="E634" s="56">
        <v>0</v>
      </c>
      <c r="F634" s="57" t="s">
        <v>792</v>
      </c>
      <c r="G634" s="58">
        <v>0</v>
      </c>
      <c r="H634" s="59">
        <v>9216</v>
      </c>
      <c r="I634" s="59">
        <f t="shared" si="18"/>
        <v>0</v>
      </c>
    </row>
    <row r="635" spans="1:9" customFormat="1" ht="23" x14ac:dyDescent="0.35">
      <c r="A635" s="63">
        <f t="shared" si="19"/>
        <v>634</v>
      </c>
      <c r="B635" s="54" t="s">
        <v>2093</v>
      </c>
      <c r="C635" s="55" t="s">
        <v>2094</v>
      </c>
      <c r="D635" s="54" t="s">
        <v>1963</v>
      </c>
      <c r="E635" s="56">
        <v>0</v>
      </c>
      <c r="F635" s="57" t="s">
        <v>792</v>
      </c>
      <c r="G635" s="58">
        <v>0</v>
      </c>
      <c r="H635" s="59">
        <v>6412</v>
      </c>
      <c r="I635" s="59">
        <f t="shared" si="18"/>
        <v>0</v>
      </c>
    </row>
    <row r="636" spans="1:9" customFormat="1" ht="23" x14ac:dyDescent="0.35">
      <c r="A636" s="63">
        <f t="shared" si="19"/>
        <v>635</v>
      </c>
      <c r="B636" s="54" t="s">
        <v>2095</v>
      </c>
      <c r="C636" s="55" t="s">
        <v>2096</v>
      </c>
      <c r="D636" s="54" t="s">
        <v>1963</v>
      </c>
      <c r="E636" s="56">
        <v>0</v>
      </c>
      <c r="F636" s="57" t="s">
        <v>792</v>
      </c>
      <c r="G636" s="58">
        <v>27000</v>
      </c>
      <c r="H636" s="59">
        <v>39000</v>
      </c>
      <c r="I636" s="59">
        <f t="shared" si="18"/>
        <v>0</v>
      </c>
    </row>
    <row r="637" spans="1:9" customFormat="1" x14ac:dyDescent="0.35">
      <c r="A637" s="63">
        <f t="shared" si="19"/>
        <v>636</v>
      </c>
      <c r="B637" s="54" t="s">
        <v>2097</v>
      </c>
      <c r="C637" s="55" t="s">
        <v>2098</v>
      </c>
      <c r="D637" s="54" t="s">
        <v>1963</v>
      </c>
      <c r="E637" s="56">
        <v>0</v>
      </c>
      <c r="F637" s="57" t="s">
        <v>792</v>
      </c>
      <c r="G637" s="58">
        <v>27000</v>
      </c>
      <c r="H637" s="59">
        <v>39000</v>
      </c>
      <c r="I637" s="59">
        <f t="shared" si="18"/>
        <v>0</v>
      </c>
    </row>
    <row r="638" spans="1:9" customFormat="1" ht="23" x14ac:dyDescent="0.35">
      <c r="A638" s="63">
        <f t="shared" si="19"/>
        <v>637</v>
      </c>
      <c r="B638" s="54" t="s">
        <v>2099</v>
      </c>
      <c r="C638" s="55" t="s">
        <v>2100</v>
      </c>
      <c r="D638" s="54" t="s">
        <v>1963</v>
      </c>
      <c r="E638" s="56">
        <v>0</v>
      </c>
      <c r="F638" s="57" t="s">
        <v>792</v>
      </c>
      <c r="G638" s="58">
        <v>24960</v>
      </c>
      <c r="H638" s="59">
        <v>24960</v>
      </c>
      <c r="I638" s="59">
        <f t="shared" si="18"/>
        <v>0</v>
      </c>
    </row>
    <row r="639" spans="1:9" customFormat="1" x14ac:dyDescent="0.35">
      <c r="A639" s="63">
        <f t="shared" si="19"/>
        <v>638</v>
      </c>
      <c r="B639" s="54" t="s">
        <v>2101</v>
      </c>
      <c r="C639" s="55" t="s">
        <v>2102</v>
      </c>
      <c r="D639" s="54" t="s">
        <v>1963</v>
      </c>
      <c r="E639" s="56">
        <v>0</v>
      </c>
      <c r="F639" s="57" t="s">
        <v>792</v>
      </c>
      <c r="G639" s="58">
        <v>1200</v>
      </c>
      <c r="H639" s="59">
        <v>1200</v>
      </c>
      <c r="I639" s="59">
        <f t="shared" si="18"/>
        <v>0</v>
      </c>
    </row>
    <row r="640" spans="1:9" customFormat="1" ht="23" x14ac:dyDescent="0.35">
      <c r="A640" s="63">
        <f t="shared" si="19"/>
        <v>639</v>
      </c>
      <c r="B640" s="54" t="s">
        <v>2103</v>
      </c>
      <c r="C640" s="55" t="s">
        <v>2104</v>
      </c>
      <c r="D640" s="54" t="s">
        <v>1963</v>
      </c>
      <c r="E640" s="56">
        <v>0</v>
      </c>
      <c r="F640" s="57" t="s">
        <v>792</v>
      </c>
      <c r="G640" s="58">
        <v>9750</v>
      </c>
      <c r="H640" s="59">
        <v>19750</v>
      </c>
      <c r="I640" s="59">
        <f t="shared" si="18"/>
        <v>0</v>
      </c>
    </row>
    <row r="641" spans="1:26" customFormat="1" ht="23" x14ac:dyDescent="0.35">
      <c r="A641" s="63">
        <f t="shared" si="19"/>
        <v>640</v>
      </c>
      <c r="B641" s="54" t="s">
        <v>2105</v>
      </c>
      <c r="C641" s="55" t="s">
        <v>2106</v>
      </c>
      <c r="D641" s="54" t="s">
        <v>1963</v>
      </c>
      <c r="E641" s="56">
        <v>0</v>
      </c>
      <c r="F641" s="57" t="s">
        <v>1087</v>
      </c>
      <c r="G641" s="58">
        <v>798.8</v>
      </c>
      <c r="H641" s="59">
        <v>798.8</v>
      </c>
      <c r="I641" s="59">
        <f t="shared" si="18"/>
        <v>0</v>
      </c>
    </row>
    <row r="642" spans="1:26" customFormat="1" ht="23" x14ac:dyDescent="0.35">
      <c r="A642" s="63">
        <f t="shared" si="19"/>
        <v>641</v>
      </c>
      <c r="B642" s="54" t="s">
        <v>2107</v>
      </c>
      <c r="C642" s="55" t="s">
        <v>2108</v>
      </c>
      <c r="D642" s="54" t="s">
        <v>1963</v>
      </c>
      <c r="E642" s="56">
        <v>0</v>
      </c>
      <c r="F642" s="57" t="s">
        <v>792</v>
      </c>
      <c r="G642" s="58">
        <v>50000</v>
      </c>
      <c r="H642" s="59">
        <v>97500</v>
      </c>
      <c r="I642" s="59">
        <f t="shared" si="18"/>
        <v>0</v>
      </c>
    </row>
    <row r="643" spans="1:26" customFormat="1" ht="23" x14ac:dyDescent="0.35">
      <c r="A643" s="63">
        <f t="shared" si="19"/>
        <v>642</v>
      </c>
      <c r="B643" s="54" t="s">
        <v>2109</v>
      </c>
      <c r="C643" s="55" t="s">
        <v>2110</v>
      </c>
      <c r="D643" s="54" t="s">
        <v>1963</v>
      </c>
      <c r="E643" s="56">
        <v>0</v>
      </c>
      <c r="F643" s="57" t="s">
        <v>870</v>
      </c>
      <c r="G643" s="58">
        <v>1200</v>
      </c>
      <c r="H643" s="59">
        <v>1700</v>
      </c>
      <c r="I643" s="59">
        <f t="shared" ref="I643:I706" si="20">H643*E643</f>
        <v>0</v>
      </c>
    </row>
    <row r="644" spans="1:26" customFormat="1" ht="23" x14ac:dyDescent="0.35">
      <c r="A644" s="63">
        <f t="shared" ref="A644:A707" si="21">A643+1</f>
        <v>643</v>
      </c>
      <c r="B644" s="54" t="s">
        <v>2111</v>
      </c>
      <c r="C644" s="55" t="s">
        <v>2112</v>
      </c>
      <c r="D644" s="54" t="s">
        <v>1963</v>
      </c>
      <c r="E644" s="56">
        <v>0</v>
      </c>
      <c r="F644" s="57" t="s">
        <v>1563</v>
      </c>
      <c r="G644" s="58">
        <v>147500</v>
      </c>
      <c r="H644" s="59">
        <v>220875</v>
      </c>
      <c r="I644" s="59">
        <f t="shared" si="20"/>
        <v>0</v>
      </c>
    </row>
    <row r="645" spans="1:26" customFormat="1" x14ac:dyDescent="0.35">
      <c r="A645" s="63">
        <f t="shared" si="21"/>
        <v>644</v>
      </c>
      <c r="B645" s="54" t="s">
        <v>2113</v>
      </c>
      <c r="C645" s="55" t="s">
        <v>2114</v>
      </c>
      <c r="D645" s="54" t="s">
        <v>1963</v>
      </c>
      <c r="E645" s="56">
        <v>0</v>
      </c>
      <c r="F645" s="57" t="s">
        <v>792</v>
      </c>
      <c r="G645" s="58">
        <v>46000</v>
      </c>
      <c r="H645" s="59">
        <v>60300</v>
      </c>
      <c r="I645" s="59">
        <f t="shared" si="20"/>
        <v>0</v>
      </c>
      <c r="Z645">
        <f>9250000/250</f>
        <v>37000</v>
      </c>
    </row>
    <row r="646" spans="1:26" customFormat="1" ht="23" x14ac:dyDescent="0.35">
      <c r="A646" s="63">
        <f t="shared" si="21"/>
        <v>645</v>
      </c>
      <c r="B646" s="54" t="s">
        <v>2115</v>
      </c>
      <c r="C646" s="55" t="s">
        <v>2116</v>
      </c>
      <c r="D646" s="54" t="s">
        <v>1963</v>
      </c>
      <c r="E646" s="56">
        <v>0</v>
      </c>
      <c r="F646" s="57" t="s">
        <v>844</v>
      </c>
      <c r="G646" s="58">
        <v>700000</v>
      </c>
      <c r="H646" s="59">
        <v>910000</v>
      </c>
      <c r="I646" s="59">
        <f t="shared" si="20"/>
        <v>0</v>
      </c>
    </row>
    <row r="647" spans="1:26" customFormat="1" x14ac:dyDescent="0.35">
      <c r="A647" s="63">
        <f t="shared" si="21"/>
        <v>646</v>
      </c>
      <c r="B647" s="54" t="s">
        <v>2117</v>
      </c>
      <c r="C647" s="55" t="s">
        <v>2118</v>
      </c>
      <c r="D647" s="54" t="s">
        <v>1963</v>
      </c>
      <c r="E647" s="56">
        <v>0</v>
      </c>
      <c r="F647" s="57" t="s">
        <v>792</v>
      </c>
      <c r="G647" s="58">
        <v>152500</v>
      </c>
      <c r="H647" s="59">
        <v>148000</v>
      </c>
      <c r="I647" s="59">
        <f t="shared" si="20"/>
        <v>0</v>
      </c>
    </row>
    <row r="648" spans="1:26" customFormat="1" ht="23" x14ac:dyDescent="0.35">
      <c r="A648" s="63">
        <f t="shared" si="21"/>
        <v>647</v>
      </c>
      <c r="B648" s="54" t="s">
        <v>2119</v>
      </c>
      <c r="C648" s="55" t="s">
        <v>2120</v>
      </c>
      <c r="D648" s="54" t="s">
        <v>1963</v>
      </c>
      <c r="E648" s="56">
        <v>0</v>
      </c>
      <c r="F648" s="57" t="s">
        <v>792</v>
      </c>
      <c r="G648" s="58">
        <v>42750</v>
      </c>
      <c r="H648" s="59">
        <v>42750</v>
      </c>
      <c r="I648" s="59">
        <f t="shared" si="20"/>
        <v>0</v>
      </c>
    </row>
    <row r="649" spans="1:26" customFormat="1" x14ac:dyDescent="0.35">
      <c r="A649" s="63">
        <f t="shared" si="21"/>
        <v>648</v>
      </c>
      <c r="B649" s="54" t="s">
        <v>2121</v>
      </c>
      <c r="C649" s="55" t="s">
        <v>2122</v>
      </c>
      <c r="D649" s="54" t="s">
        <v>1963</v>
      </c>
      <c r="E649" s="56">
        <v>0</v>
      </c>
      <c r="F649" s="57" t="s">
        <v>792</v>
      </c>
      <c r="G649" s="58">
        <v>30000</v>
      </c>
      <c r="H649" s="59">
        <v>30000</v>
      </c>
      <c r="I649" s="59">
        <f t="shared" si="20"/>
        <v>0</v>
      </c>
    </row>
    <row r="650" spans="1:26" customFormat="1" ht="23" x14ac:dyDescent="0.35">
      <c r="A650" s="63">
        <f t="shared" si="21"/>
        <v>649</v>
      </c>
      <c r="B650" s="54" t="s">
        <v>2123</v>
      </c>
      <c r="C650" s="55" t="s">
        <v>2124</v>
      </c>
      <c r="D650" s="54" t="s">
        <v>1963</v>
      </c>
      <c r="E650" s="56">
        <v>0</v>
      </c>
      <c r="F650" s="57" t="s">
        <v>792</v>
      </c>
      <c r="G650" s="58">
        <v>350</v>
      </c>
      <c r="H650" s="59">
        <v>1056</v>
      </c>
      <c r="I650" s="59">
        <f t="shared" si="20"/>
        <v>0</v>
      </c>
    </row>
    <row r="651" spans="1:26" customFormat="1" ht="23" x14ac:dyDescent="0.35">
      <c r="A651" s="63">
        <f t="shared" si="21"/>
        <v>650</v>
      </c>
      <c r="B651" s="54" t="s">
        <v>2125</v>
      </c>
      <c r="C651" s="55" t="s">
        <v>2126</v>
      </c>
      <c r="D651" s="54" t="s">
        <v>1963</v>
      </c>
      <c r="E651" s="56">
        <v>0</v>
      </c>
      <c r="F651" s="57" t="s">
        <v>792</v>
      </c>
      <c r="G651" s="58">
        <v>55</v>
      </c>
      <c r="H651" s="59">
        <v>69</v>
      </c>
      <c r="I651" s="59">
        <f t="shared" si="20"/>
        <v>0</v>
      </c>
    </row>
    <row r="652" spans="1:26" customFormat="1" ht="23" x14ac:dyDescent="0.35">
      <c r="A652" s="63">
        <f t="shared" si="21"/>
        <v>651</v>
      </c>
      <c r="B652" s="54" t="s">
        <v>2127</v>
      </c>
      <c r="C652" s="55" t="s">
        <v>2128</v>
      </c>
      <c r="D652" s="54" t="s">
        <v>1963</v>
      </c>
      <c r="E652" s="56">
        <v>0</v>
      </c>
      <c r="F652" s="57" t="s">
        <v>792</v>
      </c>
      <c r="G652" s="58">
        <v>800</v>
      </c>
      <c r="H652" s="59">
        <v>940</v>
      </c>
      <c r="I652" s="59">
        <f t="shared" si="20"/>
        <v>0</v>
      </c>
    </row>
    <row r="653" spans="1:26" customFormat="1" ht="23" x14ac:dyDescent="0.35">
      <c r="A653" s="63">
        <f t="shared" si="21"/>
        <v>652</v>
      </c>
      <c r="B653" s="54" t="s">
        <v>2129</v>
      </c>
      <c r="C653" s="55" t="s">
        <v>2130</v>
      </c>
      <c r="D653" s="54" t="s">
        <v>1963</v>
      </c>
      <c r="E653" s="56">
        <v>0</v>
      </c>
      <c r="F653" s="57" t="s">
        <v>792</v>
      </c>
      <c r="G653" s="58">
        <v>0</v>
      </c>
      <c r="H653" s="59">
        <v>0</v>
      </c>
      <c r="I653" s="59">
        <f t="shared" si="20"/>
        <v>0</v>
      </c>
    </row>
    <row r="654" spans="1:26" customFormat="1" ht="23" x14ac:dyDescent="0.35">
      <c r="A654" s="63">
        <f t="shared" si="21"/>
        <v>653</v>
      </c>
      <c r="B654" s="54" t="s">
        <v>2131</v>
      </c>
      <c r="C654" s="55" t="s">
        <v>2132</v>
      </c>
      <c r="D654" s="54" t="s">
        <v>1963</v>
      </c>
      <c r="E654" s="56">
        <v>0</v>
      </c>
      <c r="F654" s="57" t="s">
        <v>792</v>
      </c>
      <c r="G654" s="58">
        <v>578</v>
      </c>
      <c r="H654" s="59">
        <v>600</v>
      </c>
      <c r="I654" s="59">
        <f t="shared" si="20"/>
        <v>0</v>
      </c>
    </row>
    <row r="655" spans="1:26" customFormat="1" ht="23" x14ac:dyDescent="0.35">
      <c r="A655" s="63">
        <f t="shared" si="21"/>
        <v>654</v>
      </c>
      <c r="B655" s="54" t="s">
        <v>2133</v>
      </c>
      <c r="C655" s="55" t="s">
        <v>2134</v>
      </c>
      <c r="D655" s="54" t="s">
        <v>1963</v>
      </c>
      <c r="E655" s="56">
        <v>0</v>
      </c>
      <c r="F655" s="57" t="s">
        <v>792</v>
      </c>
      <c r="G655" s="58">
        <v>375</v>
      </c>
      <c r="H655" s="59">
        <v>375</v>
      </c>
      <c r="I655" s="59">
        <f t="shared" si="20"/>
        <v>0</v>
      </c>
    </row>
    <row r="656" spans="1:26" customFormat="1" ht="23" x14ac:dyDescent="0.35">
      <c r="A656" s="63">
        <f t="shared" si="21"/>
        <v>655</v>
      </c>
      <c r="B656" s="54" t="s">
        <v>2135</v>
      </c>
      <c r="C656" s="55" t="s">
        <v>2136</v>
      </c>
      <c r="D656" s="54" t="s">
        <v>1963</v>
      </c>
      <c r="E656" s="56">
        <v>0</v>
      </c>
      <c r="F656" s="57" t="s">
        <v>792</v>
      </c>
      <c r="G656" s="58">
        <v>55</v>
      </c>
      <c r="H656" s="59">
        <v>55</v>
      </c>
      <c r="I656" s="59">
        <f t="shared" si="20"/>
        <v>0</v>
      </c>
    </row>
    <row r="657" spans="1:9" customFormat="1" ht="23" x14ac:dyDescent="0.35">
      <c r="A657" s="63">
        <f t="shared" si="21"/>
        <v>656</v>
      </c>
      <c r="B657" s="54" t="s">
        <v>2137</v>
      </c>
      <c r="C657" s="55" t="s">
        <v>2138</v>
      </c>
      <c r="D657" s="54" t="s">
        <v>1963</v>
      </c>
      <c r="E657" s="56">
        <v>0</v>
      </c>
      <c r="F657" s="57" t="s">
        <v>870</v>
      </c>
      <c r="G657" s="58">
        <v>7400</v>
      </c>
      <c r="H657" s="59">
        <v>10880</v>
      </c>
      <c r="I657" s="59">
        <f t="shared" si="20"/>
        <v>0</v>
      </c>
    </row>
    <row r="658" spans="1:9" customFormat="1" ht="23" x14ac:dyDescent="0.35">
      <c r="A658" s="63">
        <f t="shared" si="21"/>
        <v>657</v>
      </c>
      <c r="B658" s="54" t="s">
        <v>2139</v>
      </c>
      <c r="C658" s="55" t="s">
        <v>2140</v>
      </c>
      <c r="D658" s="54" t="s">
        <v>1963</v>
      </c>
      <c r="E658" s="56">
        <v>0</v>
      </c>
      <c r="F658" s="57" t="s">
        <v>870</v>
      </c>
      <c r="G658" s="58">
        <v>0</v>
      </c>
      <c r="H658" s="59">
        <v>18600</v>
      </c>
      <c r="I658" s="59">
        <f t="shared" si="20"/>
        <v>0</v>
      </c>
    </row>
    <row r="659" spans="1:9" customFormat="1" ht="23" x14ac:dyDescent="0.35">
      <c r="A659" s="63">
        <f t="shared" si="21"/>
        <v>658</v>
      </c>
      <c r="B659" s="54" t="s">
        <v>2141</v>
      </c>
      <c r="C659" s="55" t="s">
        <v>2142</v>
      </c>
      <c r="D659" s="54" t="s">
        <v>1963</v>
      </c>
      <c r="E659" s="56">
        <v>0</v>
      </c>
      <c r="F659" s="57" t="s">
        <v>792</v>
      </c>
      <c r="G659" s="58">
        <v>58000</v>
      </c>
      <c r="H659" s="59">
        <v>75000</v>
      </c>
      <c r="I659" s="59">
        <f t="shared" si="20"/>
        <v>0</v>
      </c>
    </row>
    <row r="660" spans="1:9" customFormat="1" x14ac:dyDescent="0.35">
      <c r="A660" s="63">
        <f t="shared" si="21"/>
        <v>659</v>
      </c>
      <c r="B660" s="54" t="s">
        <v>2143</v>
      </c>
      <c r="C660" s="55" t="s">
        <v>2144</v>
      </c>
      <c r="D660" s="54" t="s">
        <v>1963</v>
      </c>
      <c r="E660" s="56">
        <v>0</v>
      </c>
      <c r="F660" s="57" t="s">
        <v>792</v>
      </c>
      <c r="G660" s="58">
        <v>0</v>
      </c>
      <c r="H660" s="59">
        <v>75000</v>
      </c>
      <c r="I660" s="59">
        <f t="shared" si="20"/>
        <v>0</v>
      </c>
    </row>
    <row r="661" spans="1:9" customFormat="1" ht="23" x14ac:dyDescent="0.35">
      <c r="A661" s="63">
        <f t="shared" si="21"/>
        <v>660</v>
      </c>
      <c r="B661" s="54" t="s">
        <v>2145</v>
      </c>
      <c r="C661" s="55" t="s">
        <v>2146</v>
      </c>
      <c r="D661" s="54" t="s">
        <v>1963</v>
      </c>
      <c r="E661" s="56">
        <v>0</v>
      </c>
      <c r="F661" s="57" t="s">
        <v>792</v>
      </c>
      <c r="G661" s="58">
        <v>500000</v>
      </c>
      <c r="H661" s="59">
        <v>500000</v>
      </c>
      <c r="I661" s="59">
        <f t="shared" si="20"/>
        <v>0</v>
      </c>
    </row>
    <row r="662" spans="1:9" customFormat="1" ht="23" x14ac:dyDescent="0.35">
      <c r="A662" s="63">
        <f t="shared" si="21"/>
        <v>661</v>
      </c>
      <c r="B662" s="54" t="s">
        <v>2147</v>
      </c>
      <c r="C662" s="55" t="s">
        <v>2148</v>
      </c>
      <c r="D662" s="54" t="s">
        <v>1963</v>
      </c>
      <c r="E662" s="56">
        <v>0</v>
      </c>
      <c r="F662" s="57" t="s">
        <v>792</v>
      </c>
      <c r="G662" s="58">
        <v>0</v>
      </c>
      <c r="H662" s="59">
        <v>698000</v>
      </c>
      <c r="I662" s="59">
        <f t="shared" si="20"/>
        <v>0</v>
      </c>
    </row>
    <row r="663" spans="1:9" customFormat="1" x14ac:dyDescent="0.35">
      <c r="A663" s="63">
        <f t="shared" si="21"/>
        <v>662</v>
      </c>
      <c r="B663" s="54" t="s">
        <v>2149</v>
      </c>
      <c r="C663" s="55" t="s">
        <v>2150</v>
      </c>
      <c r="D663" s="54" t="s">
        <v>1963</v>
      </c>
      <c r="E663" s="56">
        <v>0</v>
      </c>
      <c r="F663" s="57" t="s">
        <v>792</v>
      </c>
      <c r="G663" s="58">
        <v>500</v>
      </c>
      <c r="H663" s="59">
        <v>720</v>
      </c>
      <c r="I663" s="59">
        <f t="shared" si="20"/>
        <v>0</v>
      </c>
    </row>
    <row r="664" spans="1:9" customFormat="1" x14ac:dyDescent="0.35">
      <c r="A664" s="63">
        <f t="shared" si="21"/>
        <v>663</v>
      </c>
      <c r="B664" s="54" t="s">
        <v>2151</v>
      </c>
      <c r="C664" s="55" t="s">
        <v>2152</v>
      </c>
      <c r="D664" s="54" t="s">
        <v>1963</v>
      </c>
      <c r="E664" s="56">
        <v>0</v>
      </c>
      <c r="F664" s="57" t="s">
        <v>792</v>
      </c>
      <c r="G664" s="58">
        <v>174100</v>
      </c>
      <c r="H664" s="59">
        <v>240000</v>
      </c>
      <c r="I664" s="59">
        <f t="shared" si="20"/>
        <v>0</v>
      </c>
    </row>
    <row r="665" spans="1:9" customFormat="1" ht="23" x14ac:dyDescent="0.35">
      <c r="A665" s="63">
        <f t="shared" si="21"/>
        <v>664</v>
      </c>
      <c r="B665" s="54" t="s">
        <v>2153</v>
      </c>
      <c r="C665" s="55" t="s">
        <v>2154</v>
      </c>
      <c r="D665" s="54" t="s">
        <v>1963</v>
      </c>
      <c r="E665" s="56">
        <v>0</v>
      </c>
      <c r="F665" s="57" t="s">
        <v>792</v>
      </c>
      <c r="G665" s="58">
        <v>3500</v>
      </c>
      <c r="H665" s="59">
        <v>3500</v>
      </c>
      <c r="I665" s="59">
        <f t="shared" si="20"/>
        <v>0</v>
      </c>
    </row>
    <row r="666" spans="1:9" customFormat="1" x14ac:dyDescent="0.35">
      <c r="A666" s="63">
        <f t="shared" si="21"/>
        <v>665</v>
      </c>
      <c r="B666" s="54" t="s">
        <v>2155</v>
      </c>
      <c r="C666" s="55" t="s">
        <v>2156</v>
      </c>
      <c r="D666" s="54" t="s">
        <v>1963</v>
      </c>
      <c r="E666" s="56">
        <v>0</v>
      </c>
      <c r="F666" s="57" t="s">
        <v>792</v>
      </c>
      <c r="G666" s="58">
        <v>4650</v>
      </c>
      <c r="H666" s="59">
        <v>5544</v>
      </c>
      <c r="I666" s="59">
        <f t="shared" si="20"/>
        <v>0</v>
      </c>
    </row>
    <row r="667" spans="1:9" customFormat="1" x14ac:dyDescent="0.35">
      <c r="A667" s="63">
        <f t="shared" si="21"/>
        <v>666</v>
      </c>
      <c r="B667" s="54" t="s">
        <v>2157</v>
      </c>
      <c r="C667" s="55" t="s">
        <v>2158</v>
      </c>
      <c r="D667" s="54" t="s">
        <v>1963</v>
      </c>
      <c r="E667" s="56">
        <v>0</v>
      </c>
      <c r="F667" s="57" t="s">
        <v>792</v>
      </c>
      <c r="G667" s="58">
        <v>4500</v>
      </c>
      <c r="H667" s="59">
        <v>5544</v>
      </c>
      <c r="I667" s="59">
        <f t="shared" si="20"/>
        <v>0</v>
      </c>
    </row>
    <row r="668" spans="1:9" customFormat="1" x14ac:dyDescent="0.35">
      <c r="A668" s="63">
        <f t="shared" si="21"/>
        <v>667</v>
      </c>
      <c r="B668" s="54" t="s">
        <v>2159</v>
      </c>
      <c r="C668" s="55" t="s">
        <v>2160</v>
      </c>
      <c r="D668" s="54" t="s">
        <v>1963</v>
      </c>
      <c r="E668" s="56">
        <v>0</v>
      </c>
      <c r="F668" s="57" t="s">
        <v>792</v>
      </c>
      <c r="G668" s="58">
        <v>29000</v>
      </c>
      <c r="H668" s="59">
        <v>33000</v>
      </c>
      <c r="I668" s="59">
        <f t="shared" si="20"/>
        <v>0</v>
      </c>
    </row>
    <row r="669" spans="1:9" customFormat="1" ht="23" x14ac:dyDescent="0.35">
      <c r="A669" s="63">
        <f t="shared" si="21"/>
        <v>668</v>
      </c>
      <c r="B669" s="54" t="s">
        <v>2161</v>
      </c>
      <c r="C669" s="55" t="s">
        <v>2162</v>
      </c>
      <c r="D669" s="54" t="s">
        <v>1963</v>
      </c>
      <c r="E669" s="56">
        <v>0</v>
      </c>
      <c r="F669" s="57" t="s">
        <v>792</v>
      </c>
      <c r="G669" s="58">
        <v>0</v>
      </c>
      <c r="H669" s="59">
        <v>0</v>
      </c>
      <c r="I669" s="59">
        <f t="shared" si="20"/>
        <v>0</v>
      </c>
    </row>
    <row r="670" spans="1:9" customFormat="1" x14ac:dyDescent="0.35">
      <c r="A670" s="63">
        <f t="shared" si="21"/>
        <v>669</v>
      </c>
      <c r="B670" s="54" t="s">
        <v>2163</v>
      </c>
      <c r="C670" s="55" t="s">
        <v>2164</v>
      </c>
      <c r="D670" s="54" t="s">
        <v>1963</v>
      </c>
      <c r="E670" s="56">
        <v>0</v>
      </c>
      <c r="F670" s="57" t="s">
        <v>792</v>
      </c>
      <c r="G670" s="58">
        <v>0</v>
      </c>
      <c r="H670" s="59">
        <v>1235</v>
      </c>
      <c r="I670" s="59">
        <f t="shared" si="20"/>
        <v>0</v>
      </c>
    </row>
    <row r="671" spans="1:9" customFormat="1" ht="23" x14ac:dyDescent="0.35">
      <c r="A671" s="63">
        <f t="shared" si="21"/>
        <v>670</v>
      </c>
      <c r="B671" s="54" t="s">
        <v>2165</v>
      </c>
      <c r="C671" s="55" t="s">
        <v>2166</v>
      </c>
      <c r="D671" s="54" t="s">
        <v>1963</v>
      </c>
      <c r="E671" s="56">
        <v>0</v>
      </c>
      <c r="F671" s="57" t="s">
        <v>792</v>
      </c>
      <c r="G671" s="58">
        <v>850</v>
      </c>
      <c r="H671" s="59">
        <v>850</v>
      </c>
      <c r="I671" s="59">
        <f t="shared" si="20"/>
        <v>0</v>
      </c>
    </row>
    <row r="672" spans="1:9" customFormat="1" ht="23" x14ac:dyDescent="0.35">
      <c r="A672" s="63">
        <f t="shared" si="21"/>
        <v>671</v>
      </c>
      <c r="B672" s="54" t="s">
        <v>2167</v>
      </c>
      <c r="C672" s="55" t="s">
        <v>2168</v>
      </c>
      <c r="D672" s="54" t="s">
        <v>1963</v>
      </c>
      <c r="E672" s="56">
        <v>0</v>
      </c>
      <c r="F672" s="57" t="s">
        <v>792</v>
      </c>
      <c r="G672" s="58">
        <v>1098</v>
      </c>
      <c r="H672" s="59">
        <v>1920</v>
      </c>
      <c r="I672" s="59">
        <f t="shared" si="20"/>
        <v>0</v>
      </c>
    </row>
    <row r="673" spans="1:9" customFormat="1" x14ac:dyDescent="0.35">
      <c r="A673" s="63">
        <f t="shared" si="21"/>
        <v>672</v>
      </c>
      <c r="B673" s="54" t="s">
        <v>2169</v>
      </c>
      <c r="C673" s="55" t="s">
        <v>2170</v>
      </c>
      <c r="D673" s="54" t="s">
        <v>1963</v>
      </c>
      <c r="E673" s="56">
        <v>0</v>
      </c>
      <c r="F673" s="57" t="s">
        <v>792</v>
      </c>
      <c r="G673" s="58">
        <v>3391</v>
      </c>
      <c r="H673" s="59">
        <v>3391</v>
      </c>
      <c r="I673" s="59">
        <f t="shared" si="20"/>
        <v>0</v>
      </c>
    </row>
    <row r="674" spans="1:9" customFormat="1" ht="23" x14ac:dyDescent="0.35">
      <c r="A674" s="63">
        <f t="shared" si="21"/>
        <v>673</v>
      </c>
      <c r="B674" s="54" t="s">
        <v>2171</v>
      </c>
      <c r="C674" s="55" t="s">
        <v>2172</v>
      </c>
      <c r="D674" s="54" t="s">
        <v>1963</v>
      </c>
      <c r="E674" s="56">
        <v>0</v>
      </c>
      <c r="F674" s="57" t="s">
        <v>792</v>
      </c>
      <c r="G674" s="58">
        <v>145</v>
      </c>
      <c r="H674" s="59">
        <v>99</v>
      </c>
      <c r="I674" s="59">
        <f t="shared" si="20"/>
        <v>0</v>
      </c>
    </row>
    <row r="675" spans="1:9" customFormat="1" x14ac:dyDescent="0.35">
      <c r="A675" s="63">
        <f t="shared" si="21"/>
        <v>674</v>
      </c>
      <c r="B675" s="54" t="s">
        <v>2173</v>
      </c>
      <c r="C675" s="55" t="s">
        <v>2174</v>
      </c>
      <c r="D675" s="54" t="s">
        <v>1963</v>
      </c>
      <c r="E675" s="56">
        <v>0</v>
      </c>
      <c r="F675" s="57" t="s">
        <v>792</v>
      </c>
      <c r="G675" s="58">
        <v>865</v>
      </c>
      <c r="H675" s="59">
        <v>1920</v>
      </c>
      <c r="I675" s="59">
        <f t="shared" si="20"/>
        <v>0</v>
      </c>
    </row>
    <row r="676" spans="1:9" customFormat="1" ht="23" x14ac:dyDescent="0.35">
      <c r="A676" s="63">
        <f t="shared" si="21"/>
        <v>675</v>
      </c>
      <c r="B676" s="54" t="s">
        <v>2175</v>
      </c>
      <c r="C676" s="55" t="s">
        <v>2176</v>
      </c>
      <c r="D676" s="54" t="s">
        <v>1963</v>
      </c>
      <c r="E676" s="56">
        <v>0</v>
      </c>
      <c r="F676" s="57" t="s">
        <v>792</v>
      </c>
      <c r="G676" s="58">
        <v>0</v>
      </c>
      <c r="H676" s="59">
        <v>0</v>
      </c>
      <c r="I676" s="59">
        <f t="shared" si="20"/>
        <v>0</v>
      </c>
    </row>
    <row r="677" spans="1:9" customFormat="1" x14ac:dyDescent="0.35">
      <c r="A677" s="63">
        <f t="shared" si="21"/>
        <v>676</v>
      </c>
      <c r="B677" s="54" t="s">
        <v>2177</v>
      </c>
      <c r="C677" s="55" t="s">
        <v>2178</v>
      </c>
      <c r="D677" s="54" t="s">
        <v>1963</v>
      </c>
      <c r="E677" s="56">
        <v>0</v>
      </c>
      <c r="F677" s="57" t="s">
        <v>792</v>
      </c>
      <c r="G677" s="58">
        <v>174100</v>
      </c>
      <c r="H677" s="59">
        <v>240000</v>
      </c>
      <c r="I677" s="59">
        <f t="shared" si="20"/>
        <v>0</v>
      </c>
    </row>
    <row r="678" spans="1:9" customFormat="1" x14ac:dyDescent="0.35">
      <c r="A678" s="63">
        <f t="shared" si="21"/>
        <v>677</v>
      </c>
      <c r="B678" s="54" t="s">
        <v>2179</v>
      </c>
      <c r="C678" s="55" t="s">
        <v>2180</v>
      </c>
      <c r="D678" s="54" t="s">
        <v>1963</v>
      </c>
      <c r="E678" s="56">
        <v>0</v>
      </c>
      <c r="F678" s="57" t="s">
        <v>792</v>
      </c>
      <c r="G678" s="58">
        <v>0</v>
      </c>
      <c r="H678" s="59">
        <v>61750</v>
      </c>
      <c r="I678" s="59">
        <f t="shared" si="20"/>
        <v>0</v>
      </c>
    </row>
    <row r="679" spans="1:9" customFormat="1" ht="23" x14ac:dyDescent="0.35">
      <c r="A679" s="63">
        <f t="shared" si="21"/>
        <v>678</v>
      </c>
      <c r="B679" s="54" t="s">
        <v>2181</v>
      </c>
      <c r="C679" s="55" t="s">
        <v>2182</v>
      </c>
      <c r="D679" s="54" t="s">
        <v>1963</v>
      </c>
      <c r="E679" s="56">
        <v>0</v>
      </c>
      <c r="F679" s="57" t="s">
        <v>977</v>
      </c>
      <c r="G679" s="58">
        <v>0</v>
      </c>
      <c r="H679" s="59">
        <v>0</v>
      </c>
      <c r="I679" s="59">
        <f t="shared" si="20"/>
        <v>0</v>
      </c>
    </row>
    <row r="680" spans="1:9" customFormat="1" ht="23" x14ac:dyDescent="0.35">
      <c r="A680" s="63">
        <f t="shared" si="21"/>
        <v>679</v>
      </c>
      <c r="B680" s="54" t="s">
        <v>2183</v>
      </c>
      <c r="C680" s="55" t="s">
        <v>2184</v>
      </c>
      <c r="D680" s="54" t="s">
        <v>1963</v>
      </c>
      <c r="E680" s="56">
        <v>0</v>
      </c>
      <c r="F680" s="57" t="s">
        <v>977</v>
      </c>
      <c r="G680" s="58">
        <v>0</v>
      </c>
      <c r="H680" s="59">
        <v>23000</v>
      </c>
      <c r="I680" s="59">
        <f t="shared" si="20"/>
        <v>0</v>
      </c>
    </row>
    <row r="681" spans="1:9" customFormat="1" ht="23" x14ac:dyDescent="0.35">
      <c r="A681" s="63">
        <f t="shared" si="21"/>
        <v>680</v>
      </c>
      <c r="B681" s="54" t="s">
        <v>2185</v>
      </c>
      <c r="C681" s="55" t="s">
        <v>2186</v>
      </c>
      <c r="D681" s="54" t="s">
        <v>1963</v>
      </c>
      <c r="E681" s="56">
        <v>0</v>
      </c>
      <c r="F681" s="57" t="s">
        <v>977</v>
      </c>
      <c r="G681" s="58">
        <v>0</v>
      </c>
      <c r="H681" s="59">
        <v>0</v>
      </c>
      <c r="I681" s="59">
        <f t="shared" si="20"/>
        <v>0</v>
      </c>
    </row>
    <row r="682" spans="1:9" customFormat="1" ht="23" x14ac:dyDescent="0.35">
      <c r="A682" s="63">
        <f t="shared" si="21"/>
        <v>681</v>
      </c>
      <c r="B682" s="54" t="s">
        <v>2187</v>
      </c>
      <c r="C682" s="55" t="s">
        <v>2188</v>
      </c>
      <c r="D682" s="54" t="s">
        <v>1963</v>
      </c>
      <c r="E682" s="56">
        <v>0</v>
      </c>
      <c r="F682" s="57" t="s">
        <v>977</v>
      </c>
      <c r="G682" s="58">
        <v>14500</v>
      </c>
      <c r="H682" s="59">
        <v>0</v>
      </c>
      <c r="I682" s="59">
        <f t="shared" si="20"/>
        <v>0</v>
      </c>
    </row>
    <row r="683" spans="1:9" customFormat="1" ht="23" x14ac:dyDescent="0.35">
      <c r="A683" s="63">
        <f t="shared" si="21"/>
        <v>682</v>
      </c>
      <c r="B683" s="54" t="s">
        <v>2189</v>
      </c>
      <c r="C683" s="55" t="s">
        <v>2190</v>
      </c>
      <c r="D683" s="54" t="s">
        <v>1963</v>
      </c>
      <c r="E683" s="56">
        <v>0</v>
      </c>
      <c r="F683" s="57" t="s">
        <v>977</v>
      </c>
      <c r="G683" s="58">
        <v>0</v>
      </c>
      <c r="H683" s="59">
        <v>0</v>
      </c>
      <c r="I683" s="59">
        <f t="shared" si="20"/>
        <v>0</v>
      </c>
    </row>
    <row r="684" spans="1:9" customFormat="1" ht="23" x14ac:dyDescent="0.35">
      <c r="A684" s="63">
        <f t="shared" si="21"/>
        <v>683</v>
      </c>
      <c r="B684" s="54" t="s">
        <v>2191</v>
      </c>
      <c r="C684" s="55" t="s">
        <v>2192</v>
      </c>
      <c r="D684" s="54" t="s">
        <v>1963</v>
      </c>
      <c r="E684" s="56">
        <v>0</v>
      </c>
      <c r="F684" s="57" t="s">
        <v>977</v>
      </c>
      <c r="G684" s="58">
        <v>0</v>
      </c>
      <c r="H684" s="59">
        <v>22500</v>
      </c>
      <c r="I684" s="59">
        <f t="shared" si="20"/>
        <v>0</v>
      </c>
    </row>
    <row r="685" spans="1:9" customFormat="1" ht="23" x14ac:dyDescent="0.35">
      <c r="A685" s="63">
        <f t="shared" si="21"/>
        <v>684</v>
      </c>
      <c r="B685" s="54" t="s">
        <v>2193</v>
      </c>
      <c r="C685" s="55" t="s">
        <v>2194</v>
      </c>
      <c r="D685" s="54" t="s">
        <v>1963</v>
      </c>
      <c r="E685" s="56">
        <v>0</v>
      </c>
      <c r="F685" s="57" t="s">
        <v>977</v>
      </c>
      <c r="G685" s="58">
        <v>0</v>
      </c>
      <c r="H685" s="59">
        <v>37800</v>
      </c>
      <c r="I685" s="59">
        <f t="shared" si="20"/>
        <v>0</v>
      </c>
    </row>
    <row r="686" spans="1:9" customFormat="1" ht="23" x14ac:dyDescent="0.35">
      <c r="A686" s="63">
        <f t="shared" si="21"/>
        <v>685</v>
      </c>
      <c r="B686" s="54" t="s">
        <v>2195</v>
      </c>
      <c r="C686" s="55" t="s">
        <v>2196</v>
      </c>
      <c r="D686" s="54" t="s">
        <v>1963</v>
      </c>
      <c r="E686" s="56">
        <v>0</v>
      </c>
      <c r="F686" s="57" t="s">
        <v>977</v>
      </c>
      <c r="G686" s="58">
        <v>0</v>
      </c>
      <c r="H686" s="59">
        <v>17000</v>
      </c>
      <c r="I686" s="59">
        <f t="shared" si="20"/>
        <v>0</v>
      </c>
    </row>
    <row r="687" spans="1:9" customFormat="1" ht="23" x14ac:dyDescent="0.35">
      <c r="A687" s="63">
        <f t="shared" si="21"/>
        <v>686</v>
      </c>
      <c r="B687" s="54" t="s">
        <v>2197</v>
      </c>
      <c r="C687" s="55" t="s">
        <v>2198</v>
      </c>
      <c r="D687" s="54" t="s">
        <v>1963</v>
      </c>
      <c r="E687" s="56">
        <v>0</v>
      </c>
      <c r="F687" s="57" t="s">
        <v>977</v>
      </c>
      <c r="G687" s="58">
        <v>16200</v>
      </c>
      <c r="H687" s="59">
        <v>16200</v>
      </c>
      <c r="I687" s="59">
        <f t="shared" si="20"/>
        <v>0</v>
      </c>
    </row>
    <row r="688" spans="1:9" customFormat="1" ht="34.5" x14ac:dyDescent="0.35">
      <c r="A688" s="63">
        <f t="shared" si="21"/>
        <v>687</v>
      </c>
      <c r="B688" s="54" t="s">
        <v>2199</v>
      </c>
      <c r="C688" s="55" t="s">
        <v>2200</v>
      </c>
      <c r="D688" s="54" t="s">
        <v>1963</v>
      </c>
      <c r="E688" s="56">
        <v>0</v>
      </c>
      <c r="F688" s="57" t="s">
        <v>977</v>
      </c>
      <c r="G688" s="58">
        <v>22000</v>
      </c>
      <c r="H688" s="59">
        <v>22000</v>
      </c>
      <c r="I688" s="59">
        <f t="shared" si="20"/>
        <v>0</v>
      </c>
    </row>
    <row r="689" spans="1:9" customFormat="1" ht="23" x14ac:dyDescent="0.35">
      <c r="A689" s="63">
        <f t="shared" si="21"/>
        <v>688</v>
      </c>
      <c r="B689" s="54" t="s">
        <v>2201</v>
      </c>
      <c r="C689" s="55" t="s">
        <v>2202</v>
      </c>
      <c r="D689" s="54" t="s">
        <v>1963</v>
      </c>
      <c r="E689" s="56">
        <v>0</v>
      </c>
      <c r="F689" s="57" t="s">
        <v>792</v>
      </c>
      <c r="G689" s="58">
        <v>0</v>
      </c>
      <c r="H689" s="59">
        <v>144000</v>
      </c>
      <c r="I689" s="59">
        <f t="shared" si="20"/>
        <v>0</v>
      </c>
    </row>
    <row r="690" spans="1:9" customFormat="1" x14ac:dyDescent="0.35">
      <c r="A690" s="63">
        <f t="shared" si="21"/>
        <v>689</v>
      </c>
      <c r="B690" s="54" t="s">
        <v>2203</v>
      </c>
      <c r="C690" s="55" t="s">
        <v>2204</v>
      </c>
      <c r="D690" s="54" t="s">
        <v>1963</v>
      </c>
      <c r="E690" s="56">
        <v>0</v>
      </c>
      <c r="F690" s="57" t="s">
        <v>792</v>
      </c>
      <c r="G690" s="58">
        <v>10000</v>
      </c>
      <c r="H690" s="59">
        <v>10000</v>
      </c>
      <c r="I690" s="59">
        <f t="shared" si="20"/>
        <v>0</v>
      </c>
    </row>
    <row r="691" spans="1:9" customFormat="1" x14ac:dyDescent="0.35">
      <c r="A691" s="63">
        <f t="shared" si="21"/>
        <v>690</v>
      </c>
      <c r="B691" s="54" t="s">
        <v>2205</v>
      </c>
      <c r="C691" s="55" t="s">
        <v>2206</v>
      </c>
      <c r="D691" s="54" t="s">
        <v>1963</v>
      </c>
      <c r="E691" s="56">
        <v>0</v>
      </c>
      <c r="F691" s="57" t="s">
        <v>792</v>
      </c>
      <c r="G691" s="58">
        <v>15000</v>
      </c>
      <c r="H691" s="59">
        <v>22100</v>
      </c>
      <c r="I691" s="59">
        <f t="shared" si="20"/>
        <v>0</v>
      </c>
    </row>
    <row r="692" spans="1:9" customFormat="1" x14ac:dyDescent="0.35">
      <c r="A692" s="63">
        <f t="shared" si="21"/>
        <v>691</v>
      </c>
      <c r="B692" s="54" t="s">
        <v>2207</v>
      </c>
      <c r="C692" s="55" t="s">
        <v>2208</v>
      </c>
      <c r="D692" s="54" t="s">
        <v>1963</v>
      </c>
      <c r="E692" s="56">
        <v>0</v>
      </c>
      <c r="F692" s="57" t="s">
        <v>994</v>
      </c>
      <c r="G692" s="58">
        <v>9250</v>
      </c>
      <c r="H692" s="59">
        <v>9250</v>
      </c>
      <c r="I692" s="59">
        <f t="shared" si="20"/>
        <v>0</v>
      </c>
    </row>
    <row r="693" spans="1:9" customFormat="1" ht="23" x14ac:dyDescent="0.35">
      <c r="A693" s="63">
        <f t="shared" si="21"/>
        <v>692</v>
      </c>
      <c r="B693" s="54" t="s">
        <v>2209</v>
      </c>
      <c r="C693" s="55" t="s">
        <v>2210</v>
      </c>
      <c r="D693" s="54" t="s">
        <v>1963</v>
      </c>
      <c r="E693" s="56">
        <v>0</v>
      </c>
      <c r="F693" s="57" t="s">
        <v>792</v>
      </c>
      <c r="G693" s="58">
        <v>0</v>
      </c>
      <c r="H693" s="59">
        <v>48925</v>
      </c>
      <c r="I693" s="59">
        <f t="shared" si="20"/>
        <v>0</v>
      </c>
    </row>
    <row r="694" spans="1:9" customFormat="1" x14ac:dyDescent="0.35">
      <c r="A694" s="63">
        <f t="shared" si="21"/>
        <v>693</v>
      </c>
      <c r="B694" s="54" t="s">
        <v>2211</v>
      </c>
      <c r="C694" s="55" t="s">
        <v>2212</v>
      </c>
      <c r="D694" s="54" t="s">
        <v>1963</v>
      </c>
      <c r="E694" s="56">
        <v>0</v>
      </c>
      <c r="F694" s="57" t="s">
        <v>974</v>
      </c>
      <c r="G694" s="58">
        <v>17000</v>
      </c>
      <c r="H694" s="59">
        <v>19000</v>
      </c>
      <c r="I694" s="59">
        <f t="shared" si="20"/>
        <v>0</v>
      </c>
    </row>
    <row r="695" spans="1:9" customFormat="1" ht="23" x14ac:dyDescent="0.35">
      <c r="A695" s="63">
        <f t="shared" si="21"/>
        <v>694</v>
      </c>
      <c r="B695" s="54" t="s">
        <v>2213</v>
      </c>
      <c r="C695" s="55" t="s">
        <v>2214</v>
      </c>
      <c r="D695" s="54" t="s">
        <v>1963</v>
      </c>
      <c r="E695" s="56">
        <v>0</v>
      </c>
      <c r="F695" s="57" t="s">
        <v>792</v>
      </c>
      <c r="G695" s="58">
        <v>0</v>
      </c>
      <c r="H695" s="59">
        <v>6000</v>
      </c>
      <c r="I695" s="59">
        <f t="shared" si="20"/>
        <v>0</v>
      </c>
    </row>
    <row r="696" spans="1:9" customFormat="1" ht="23" x14ac:dyDescent="0.35">
      <c r="A696" s="63">
        <f t="shared" si="21"/>
        <v>695</v>
      </c>
      <c r="B696" s="54" t="s">
        <v>2215</v>
      </c>
      <c r="C696" s="55" t="s">
        <v>2216</v>
      </c>
      <c r="D696" s="54" t="s">
        <v>1963</v>
      </c>
      <c r="E696" s="56">
        <v>0</v>
      </c>
      <c r="F696" s="57" t="s">
        <v>974</v>
      </c>
      <c r="G696" s="58">
        <v>0</v>
      </c>
      <c r="H696" s="59">
        <v>149625</v>
      </c>
      <c r="I696" s="59">
        <f t="shared" si="20"/>
        <v>0</v>
      </c>
    </row>
    <row r="697" spans="1:9" customFormat="1" ht="23" x14ac:dyDescent="0.35">
      <c r="A697" s="63">
        <f t="shared" si="21"/>
        <v>696</v>
      </c>
      <c r="B697" s="54" t="s">
        <v>2217</v>
      </c>
      <c r="C697" s="55" t="s">
        <v>2218</v>
      </c>
      <c r="D697" s="54" t="s">
        <v>1963</v>
      </c>
      <c r="E697" s="56">
        <v>0</v>
      </c>
      <c r="F697" s="57" t="s">
        <v>1087</v>
      </c>
      <c r="G697" s="58">
        <v>0</v>
      </c>
      <c r="H697" s="59">
        <v>228000</v>
      </c>
      <c r="I697" s="59">
        <f t="shared" si="20"/>
        <v>0</v>
      </c>
    </row>
    <row r="698" spans="1:9" customFormat="1" ht="23" x14ac:dyDescent="0.35">
      <c r="A698" s="63">
        <f t="shared" si="21"/>
        <v>697</v>
      </c>
      <c r="B698" s="54" t="s">
        <v>2219</v>
      </c>
      <c r="C698" s="55" t="s">
        <v>2220</v>
      </c>
      <c r="D698" s="54" t="s">
        <v>1963</v>
      </c>
      <c r="E698" s="56">
        <v>0</v>
      </c>
      <c r="F698" s="57" t="s">
        <v>994</v>
      </c>
      <c r="G698" s="58">
        <v>228000</v>
      </c>
      <c r="H698" s="59">
        <v>228000</v>
      </c>
      <c r="I698" s="59">
        <f t="shared" si="20"/>
        <v>0</v>
      </c>
    </row>
    <row r="699" spans="1:9" customFormat="1" x14ac:dyDescent="0.35">
      <c r="A699" s="63">
        <f t="shared" si="21"/>
        <v>698</v>
      </c>
      <c r="B699" s="54" t="s">
        <v>2221</v>
      </c>
      <c r="C699" s="55" t="s">
        <v>2222</v>
      </c>
      <c r="D699" s="54" t="s">
        <v>1963</v>
      </c>
      <c r="E699" s="56">
        <v>0</v>
      </c>
      <c r="F699" s="57" t="s">
        <v>792</v>
      </c>
      <c r="G699" s="58">
        <v>8333.34</v>
      </c>
      <c r="H699" s="59">
        <v>13700</v>
      </c>
      <c r="I699" s="59">
        <f t="shared" si="20"/>
        <v>0</v>
      </c>
    </row>
    <row r="700" spans="1:9" customFormat="1" x14ac:dyDescent="0.35">
      <c r="A700" s="63">
        <f t="shared" si="21"/>
        <v>699</v>
      </c>
      <c r="B700" s="54" t="s">
        <v>2223</v>
      </c>
      <c r="C700" s="55" t="s">
        <v>2224</v>
      </c>
      <c r="D700" s="54" t="s">
        <v>1963</v>
      </c>
      <c r="E700" s="56">
        <v>0</v>
      </c>
      <c r="F700" s="57" t="s">
        <v>792</v>
      </c>
      <c r="G700" s="58">
        <v>0</v>
      </c>
      <c r="H700" s="59">
        <v>12500</v>
      </c>
      <c r="I700" s="59">
        <f t="shared" si="20"/>
        <v>0</v>
      </c>
    </row>
    <row r="701" spans="1:9" customFormat="1" x14ac:dyDescent="0.35">
      <c r="A701" s="63">
        <f t="shared" si="21"/>
        <v>700</v>
      </c>
      <c r="B701" s="54" t="s">
        <v>2225</v>
      </c>
      <c r="C701" s="55" t="s">
        <v>2226</v>
      </c>
      <c r="D701" s="54" t="s">
        <v>1963</v>
      </c>
      <c r="E701" s="56">
        <v>0</v>
      </c>
      <c r="F701" s="57" t="s">
        <v>792</v>
      </c>
      <c r="G701" s="58">
        <v>0</v>
      </c>
      <c r="H701" s="59">
        <v>19345</v>
      </c>
      <c r="I701" s="59">
        <f t="shared" si="20"/>
        <v>0</v>
      </c>
    </row>
    <row r="702" spans="1:9" customFormat="1" x14ac:dyDescent="0.35">
      <c r="A702" s="63">
        <f t="shared" si="21"/>
        <v>701</v>
      </c>
      <c r="B702" s="54" t="s">
        <v>2227</v>
      </c>
      <c r="C702" s="55" t="s">
        <v>2228</v>
      </c>
      <c r="D702" s="54" t="s">
        <v>1963</v>
      </c>
      <c r="E702" s="56">
        <v>0</v>
      </c>
      <c r="F702" s="57" t="s">
        <v>792</v>
      </c>
      <c r="G702" s="58">
        <v>15000</v>
      </c>
      <c r="H702" s="59">
        <v>20727</v>
      </c>
      <c r="I702" s="59">
        <f t="shared" si="20"/>
        <v>0</v>
      </c>
    </row>
    <row r="703" spans="1:9" customFormat="1" x14ac:dyDescent="0.35">
      <c r="A703" s="63">
        <f t="shared" si="21"/>
        <v>702</v>
      </c>
      <c r="B703" s="54" t="s">
        <v>2229</v>
      </c>
      <c r="C703" s="55" t="s">
        <v>2230</v>
      </c>
      <c r="D703" s="54" t="s">
        <v>1963</v>
      </c>
      <c r="E703" s="56">
        <v>0</v>
      </c>
      <c r="F703" s="57" t="s">
        <v>792</v>
      </c>
      <c r="G703" s="58">
        <v>19345</v>
      </c>
      <c r="H703" s="59">
        <v>19345</v>
      </c>
      <c r="I703" s="59">
        <f t="shared" si="20"/>
        <v>0</v>
      </c>
    </row>
    <row r="704" spans="1:9" customFormat="1" x14ac:dyDescent="0.35">
      <c r="A704" s="63">
        <f t="shared" si="21"/>
        <v>703</v>
      </c>
      <c r="B704" s="54" t="s">
        <v>2231</v>
      </c>
      <c r="C704" s="55" t="s">
        <v>2232</v>
      </c>
      <c r="D704" s="54" t="s">
        <v>1963</v>
      </c>
      <c r="E704" s="56">
        <v>0</v>
      </c>
      <c r="F704" s="57" t="s">
        <v>792</v>
      </c>
      <c r="G704" s="58">
        <v>0</v>
      </c>
      <c r="H704" s="59">
        <v>79610</v>
      </c>
      <c r="I704" s="59">
        <f t="shared" si="20"/>
        <v>0</v>
      </c>
    </row>
    <row r="705" spans="1:9" customFormat="1" x14ac:dyDescent="0.35">
      <c r="A705" s="63">
        <f t="shared" si="21"/>
        <v>704</v>
      </c>
      <c r="B705" s="54" t="s">
        <v>2233</v>
      </c>
      <c r="C705" s="55" t="s">
        <v>2234</v>
      </c>
      <c r="D705" s="54" t="s">
        <v>1963</v>
      </c>
      <c r="E705" s="56">
        <v>0</v>
      </c>
      <c r="F705" s="57" t="s">
        <v>815</v>
      </c>
      <c r="G705" s="58">
        <v>0</v>
      </c>
      <c r="H705" s="59">
        <v>79610</v>
      </c>
      <c r="I705" s="59">
        <f t="shared" si="20"/>
        <v>0</v>
      </c>
    </row>
    <row r="706" spans="1:9" customFormat="1" x14ac:dyDescent="0.35">
      <c r="A706" s="63">
        <f t="shared" si="21"/>
        <v>705</v>
      </c>
      <c r="B706" s="54" t="s">
        <v>2235</v>
      </c>
      <c r="C706" s="55" t="s">
        <v>2236</v>
      </c>
      <c r="D706" s="54" t="s">
        <v>1963</v>
      </c>
      <c r="E706" s="56">
        <v>0</v>
      </c>
      <c r="F706" s="57" t="s">
        <v>792</v>
      </c>
      <c r="G706" s="58">
        <v>6000</v>
      </c>
      <c r="H706" s="59">
        <v>6000</v>
      </c>
      <c r="I706" s="59">
        <f t="shared" si="20"/>
        <v>0</v>
      </c>
    </row>
    <row r="707" spans="1:9" customFormat="1" x14ac:dyDescent="0.35">
      <c r="A707" s="63">
        <f t="shared" si="21"/>
        <v>706</v>
      </c>
      <c r="B707" s="54" t="s">
        <v>2237</v>
      </c>
      <c r="C707" s="55" t="s">
        <v>2238</v>
      </c>
      <c r="D707" s="54" t="s">
        <v>1963</v>
      </c>
      <c r="E707" s="56">
        <v>0</v>
      </c>
      <c r="F707" s="57" t="s">
        <v>1563</v>
      </c>
      <c r="G707" s="58">
        <v>245000</v>
      </c>
      <c r="H707" s="59">
        <v>265000</v>
      </c>
      <c r="I707" s="59">
        <f t="shared" ref="I707:I770" si="22">H707*E707</f>
        <v>0</v>
      </c>
    </row>
    <row r="708" spans="1:9" customFormat="1" x14ac:dyDescent="0.35">
      <c r="A708" s="63">
        <f t="shared" ref="A708:A771" si="23">A707+1</f>
        <v>707</v>
      </c>
      <c r="B708" s="54" t="s">
        <v>2239</v>
      </c>
      <c r="C708" s="55" t="s">
        <v>2240</v>
      </c>
      <c r="D708" s="54" t="s">
        <v>1963</v>
      </c>
      <c r="E708" s="56">
        <v>0</v>
      </c>
      <c r="F708" s="57" t="s">
        <v>2241</v>
      </c>
      <c r="G708" s="58">
        <v>120000</v>
      </c>
      <c r="H708" s="59">
        <v>171000</v>
      </c>
      <c r="I708" s="59">
        <f t="shared" si="22"/>
        <v>0</v>
      </c>
    </row>
    <row r="709" spans="1:9" customFormat="1" ht="23" x14ac:dyDescent="0.35">
      <c r="A709" s="63">
        <f t="shared" si="23"/>
        <v>708</v>
      </c>
      <c r="B709" s="54" t="s">
        <v>2242</v>
      </c>
      <c r="C709" s="55" t="s">
        <v>2243</v>
      </c>
      <c r="D709" s="54" t="s">
        <v>1963</v>
      </c>
      <c r="E709" s="56">
        <v>0</v>
      </c>
      <c r="F709" s="57" t="s">
        <v>792</v>
      </c>
      <c r="G709" s="58">
        <v>350000</v>
      </c>
      <c r="H709" s="59">
        <v>481000</v>
      </c>
      <c r="I709" s="59">
        <f t="shared" si="22"/>
        <v>0</v>
      </c>
    </row>
    <row r="710" spans="1:9" customFormat="1" x14ac:dyDescent="0.35">
      <c r="A710" s="63">
        <f t="shared" si="23"/>
        <v>709</v>
      </c>
      <c r="B710" s="54" t="s">
        <v>2244</v>
      </c>
      <c r="C710" s="55" t="s">
        <v>2245</v>
      </c>
      <c r="D710" s="54" t="s">
        <v>1963</v>
      </c>
      <c r="E710" s="56">
        <v>0</v>
      </c>
      <c r="F710" s="57" t="s">
        <v>792</v>
      </c>
      <c r="G710" s="58">
        <v>0</v>
      </c>
      <c r="H710" s="59">
        <v>0</v>
      </c>
      <c r="I710" s="59">
        <f t="shared" si="22"/>
        <v>0</v>
      </c>
    </row>
    <row r="711" spans="1:9" customFormat="1" ht="23" x14ac:dyDescent="0.35">
      <c r="A711" s="63">
        <f t="shared" si="23"/>
        <v>710</v>
      </c>
      <c r="B711" s="54" t="s">
        <v>2246</v>
      </c>
      <c r="C711" s="55" t="s">
        <v>2247</v>
      </c>
      <c r="D711" s="54" t="s">
        <v>1963</v>
      </c>
      <c r="E711" s="56">
        <v>0</v>
      </c>
      <c r="F711" s="57" t="s">
        <v>792</v>
      </c>
      <c r="G711" s="58">
        <v>60000</v>
      </c>
      <c r="H711" s="59">
        <v>209475</v>
      </c>
      <c r="I711" s="59">
        <f t="shared" si="22"/>
        <v>0</v>
      </c>
    </row>
    <row r="712" spans="1:9" customFormat="1" ht="23" x14ac:dyDescent="0.35">
      <c r="A712" s="63">
        <f t="shared" si="23"/>
        <v>711</v>
      </c>
      <c r="B712" s="54" t="s">
        <v>2248</v>
      </c>
      <c r="C712" s="55" t="s">
        <v>2249</v>
      </c>
      <c r="D712" s="54" t="s">
        <v>1963</v>
      </c>
      <c r="E712" s="56">
        <v>0</v>
      </c>
      <c r="F712" s="57" t="s">
        <v>792</v>
      </c>
      <c r="G712" s="58">
        <v>0</v>
      </c>
      <c r="H712" s="59">
        <v>0</v>
      </c>
      <c r="I712" s="59">
        <f t="shared" si="22"/>
        <v>0</v>
      </c>
    </row>
    <row r="713" spans="1:9" customFormat="1" x14ac:dyDescent="0.35">
      <c r="A713" s="63">
        <f t="shared" si="23"/>
        <v>712</v>
      </c>
      <c r="B713" s="54" t="s">
        <v>2250</v>
      </c>
      <c r="C713" s="55" t="s">
        <v>2251</v>
      </c>
      <c r="D713" s="54" t="s">
        <v>1963</v>
      </c>
      <c r="E713" s="56">
        <v>0</v>
      </c>
      <c r="F713" s="57" t="s">
        <v>792</v>
      </c>
      <c r="G713" s="58">
        <v>0</v>
      </c>
      <c r="H713" s="59">
        <v>0</v>
      </c>
      <c r="I713" s="59">
        <f t="shared" si="22"/>
        <v>0</v>
      </c>
    </row>
    <row r="714" spans="1:9" customFormat="1" ht="23" x14ac:dyDescent="0.35">
      <c r="A714" s="63">
        <f t="shared" si="23"/>
        <v>713</v>
      </c>
      <c r="B714" s="54" t="s">
        <v>2252</v>
      </c>
      <c r="C714" s="55" t="s">
        <v>2253</v>
      </c>
      <c r="D714" s="54" t="s">
        <v>1963</v>
      </c>
      <c r="E714" s="56">
        <v>0</v>
      </c>
      <c r="F714" s="57" t="s">
        <v>870</v>
      </c>
      <c r="G714" s="58">
        <v>4059</v>
      </c>
      <c r="H714" s="59">
        <v>3078</v>
      </c>
      <c r="I714" s="59">
        <f t="shared" si="22"/>
        <v>0</v>
      </c>
    </row>
    <row r="715" spans="1:9" customFormat="1" x14ac:dyDescent="0.35">
      <c r="A715" s="63">
        <f t="shared" si="23"/>
        <v>714</v>
      </c>
      <c r="B715" s="54" t="s">
        <v>2254</v>
      </c>
      <c r="C715" s="55" t="s">
        <v>2255</v>
      </c>
      <c r="D715" s="54" t="s">
        <v>1963</v>
      </c>
      <c r="E715" s="56">
        <v>0</v>
      </c>
      <c r="F715" s="57" t="s">
        <v>792</v>
      </c>
      <c r="G715" s="58">
        <v>171171</v>
      </c>
      <c r="H715" s="59">
        <v>158000</v>
      </c>
      <c r="I715" s="59">
        <f t="shared" si="22"/>
        <v>0</v>
      </c>
    </row>
    <row r="716" spans="1:9" customFormat="1" ht="23" x14ac:dyDescent="0.35">
      <c r="A716" s="63">
        <f t="shared" si="23"/>
        <v>715</v>
      </c>
      <c r="B716" s="54" t="s">
        <v>2256</v>
      </c>
      <c r="C716" s="55" t="s">
        <v>2257</v>
      </c>
      <c r="D716" s="54" t="s">
        <v>1963</v>
      </c>
      <c r="E716" s="56">
        <v>0</v>
      </c>
      <c r="F716" s="57" t="s">
        <v>1087</v>
      </c>
      <c r="G716" s="58">
        <v>189605.16</v>
      </c>
      <c r="H716" s="59">
        <v>183000</v>
      </c>
      <c r="I716" s="59">
        <f t="shared" si="22"/>
        <v>0</v>
      </c>
    </row>
    <row r="717" spans="1:9" customFormat="1" ht="23" x14ac:dyDescent="0.35">
      <c r="A717" s="63">
        <f t="shared" si="23"/>
        <v>716</v>
      </c>
      <c r="B717" s="54" t="s">
        <v>2258</v>
      </c>
      <c r="C717" s="55" t="s">
        <v>2259</v>
      </c>
      <c r="D717" s="54" t="s">
        <v>1963</v>
      </c>
      <c r="E717" s="56">
        <v>0</v>
      </c>
      <c r="F717" s="57" t="s">
        <v>1087</v>
      </c>
      <c r="G717" s="58">
        <v>188292</v>
      </c>
      <c r="H717" s="59">
        <v>192000</v>
      </c>
      <c r="I717" s="59">
        <f t="shared" si="22"/>
        <v>0</v>
      </c>
    </row>
    <row r="718" spans="1:9" customFormat="1" ht="23" x14ac:dyDescent="0.35">
      <c r="A718" s="63">
        <f t="shared" si="23"/>
        <v>717</v>
      </c>
      <c r="B718" s="54" t="s">
        <v>2260</v>
      </c>
      <c r="C718" s="55" t="s">
        <v>2261</v>
      </c>
      <c r="D718" s="54" t="s">
        <v>1963</v>
      </c>
      <c r="E718" s="56">
        <v>0</v>
      </c>
      <c r="F718" s="57" t="s">
        <v>878</v>
      </c>
      <c r="G718" s="58">
        <v>90000</v>
      </c>
      <c r="H718" s="59">
        <v>136000</v>
      </c>
      <c r="I718" s="59">
        <f t="shared" si="22"/>
        <v>0</v>
      </c>
    </row>
    <row r="719" spans="1:9" customFormat="1" ht="23" x14ac:dyDescent="0.35">
      <c r="A719" s="63">
        <f t="shared" si="23"/>
        <v>718</v>
      </c>
      <c r="B719" s="54" t="s">
        <v>2262</v>
      </c>
      <c r="C719" s="55" t="s">
        <v>2263</v>
      </c>
      <c r="D719" s="54" t="s">
        <v>1963</v>
      </c>
      <c r="E719" s="56">
        <v>0</v>
      </c>
      <c r="F719" s="57" t="s">
        <v>792</v>
      </c>
      <c r="G719" s="58">
        <v>0</v>
      </c>
      <c r="H719" s="59">
        <v>18770</v>
      </c>
      <c r="I719" s="59">
        <f t="shared" si="22"/>
        <v>0</v>
      </c>
    </row>
    <row r="720" spans="1:9" customFormat="1" ht="23" x14ac:dyDescent="0.35">
      <c r="A720" s="63">
        <f t="shared" si="23"/>
        <v>719</v>
      </c>
      <c r="B720" s="54" t="s">
        <v>2264</v>
      </c>
      <c r="C720" s="55" t="s">
        <v>2265</v>
      </c>
      <c r="D720" s="54" t="s">
        <v>1963</v>
      </c>
      <c r="E720" s="56">
        <v>0</v>
      </c>
      <c r="F720" s="57" t="s">
        <v>792</v>
      </c>
      <c r="G720" s="58">
        <v>0</v>
      </c>
      <c r="H720" s="59">
        <v>21400</v>
      </c>
      <c r="I720" s="59">
        <f t="shared" si="22"/>
        <v>0</v>
      </c>
    </row>
    <row r="721" spans="1:9" customFormat="1" ht="23" x14ac:dyDescent="0.35">
      <c r="A721" s="63">
        <f t="shared" si="23"/>
        <v>720</v>
      </c>
      <c r="B721" s="54" t="s">
        <v>2266</v>
      </c>
      <c r="C721" s="55" t="s">
        <v>2267</v>
      </c>
      <c r="D721" s="54" t="s">
        <v>1963</v>
      </c>
      <c r="E721" s="56">
        <v>0</v>
      </c>
      <c r="F721" s="57" t="s">
        <v>792</v>
      </c>
      <c r="G721" s="58">
        <v>149000</v>
      </c>
      <c r="H721" s="59">
        <v>287170</v>
      </c>
      <c r="I721" s="59">
        <f t="shared" si="22"/>
        <v>0</v>
      </c>
    </row>
    <row r="722" spans="1:9" customFormat="1" ht="23" x14ac:dyDescent="0.35">
      <c r="A722" s="63">
        <f t="shared" si="23"/>
        <v>721</v>
      </c>
      <c r="B722" s="54" t="s">
        <v>2268</v>
      </c>
      <c r="C722" s="55" t="s">
        <v>2269</v>
      </c>
      <c r="D722" s="54" t="s">
        <v>1963</v>
      </c>
      <c r="E722" s="56">
        <v>0</v>
      </c>
      <c r="F722" s="57" t="s">
        <v>792</v>
      </c>
      <c r="G722" s="58">
        <v>278462</v>
      </c>
      <c r="H722" s="59">
        <v>390450</v>
      </c>
      <c r="I722" s="59">
        <f t="shared" si="22"/>
        <v>0</v>
      </c>
    </row>
    <row r="723" spans="1:9" customFormat="1" ht="23" x14ac:dyDescent="0.35">
      <c r="A723" s="63">
        <f t="shared" si="23"/>
        <v>722</v>
      </c>
      <c r="B723" s="54" t="s">
        <v>2270</v>
      </c>
      <c r="C723" s="55" t="s">
        <v>2271</v>
      </c>
      <c r="D723" s="54" t="s">
        <v>1963</v>
      </c>
      <c r="E723" s="56">
        <v>0</v>
      </c>
      <c r="F723" s="57" t="s">
        <v>792</v>
      </c>
      <c r="G723" s="58">
        <v>113700</v>
      </c>
      <c r="H723" s="59">
        <v>258262</v>
      </c>
      <c r="I723" s="59">
        <f t="shared" si="22"/>
        <v>0</v>
      </c>
    </row>
    <row r="724" spans="1:9" customFormat="1" ht="23" x14ac:dyDescent="0.35">
      <c r="A724" s="63">
        <f t="shared" si="23"/>
        <v>723</v>
      </c>
      <c r="B724" s="54" t="s">
        <v>2272</v>
      </c>
      <c r="C724" s="55" t="s">
        <v>2273</v>
      </c>
      <c r="D724" s="54" t="s">
        <v>1963</v>
      </c>
      <c r="E724" s="56">
        <v>0</v>
      </c>
      <c r="F724" s="57" t="s">
        <v>792</v>
      </c>
      <c r="G724" s="58">
        <v>136612</v>
      </c>
      <c r="H724" s="59">
        <v>136612</v>
      </c>
      <c r="I724" s="59">
        <f t="shared" si="22"/>
        <v>0</v>
      </c>
    </row>
    <row r="725" spans="1:9" customFormat="1" ht="34.5" x14ac:dyDescent="0.35">
      <c r="A725" s="63">
        <f t="shared" si="23"/>
        <v>724</v>
      </c>
      <c r="B725" s="54" t="s">
        <v>2274</v>
      </c>
      <c r="C725" s="55" t="s">
        <v>2275</v>
      </c>
      <c r="D725" s="54" t="s">
        <v>1963</v>
      </c>
      <c r="E725" s="56">
        <v>0</v>
      </c>
      <c r="F725" s="57" t="s">
        <v>792</v>
      </c>
      <c r="G725" s="58">
        <v>90000</v>
      </c>
      <c r="H725" s="59">
        <v>136000</v>
      </c>
      <c r="I725" s="59">
        <f t="shared" si="22"/>
        <v>0</v>
      </c>
    </row>
    <row r="726" spans="1:9" customFormat="1" ht="23" x14ac:dyDescent="0.35">
      <c r="A726" s="63">
        <f t="shared" si="23"/>
        <v>725</v>
      </c>
      <c r="B726" s="54" t="s">
        <v>2276</v>
      </c>
      <c r="C726" s="55" t="s">
        <v>2277</v>
      </c>
      <c r="D726" s="54" t="s">
        <v>1963</v>
      </c>
      <c r="E726" s="56">
        <v>0</v>
      </c>
      <c r="F726" s="57" t="s">
        <v>792</v>
      </c>
      <c r="G726" s="58">
        <v>173328</v>
      </c>
      <c r="H726" s="59">
        <v>243200</v>
      </c>
      <c r="I726" s="59">
        <f t="shared" si="22"/>
        <v>0</v>
      </c>
    </row>
    <row r="727" spans="1:9" customFormat="1" ht="23" x14ac:dyDescent="0.35">
      <c r="A727" s="63">
        <f t="shared" si="23"/>
        <v>726</v>
      </c>
      <c r="B727" s="54" t="s">
        <v>2278</v>
      </c>
      <c r="C727" s="55" t="s">
        <v>2279</v>
      </c>
      <c r="D727" s="54" t="s">
        <v>1963</v>
      </c>
      <c r="E727" s="56">
        <v>0</v>
      </c>
      <c r="F727" s="57" t="s">
        <v>792</v>
      </c>
      <c r="G727" s="58">
        <v>0</v>
      </c>
      <c r="H727" s="59">
        <v>0</v>
      </c>
      <c r="I727" s="59">
        <f t="shared" si="22"/>
        <v>0</v>
      </c>
    </row>
    <row r="728" spans="1:9" customFormat="1" ht="34.5" x14ac:dyDescent="0.35">
      <c r="A728" s="63">
        <f t="shared" si="23"/>
        <v>727</v>
      </c>
      <c r="B728" s="54" t="s">
        <v>2280</v>
      </c>
      <c r="C728" s="55" t="s">
        <v>2281</v>
      </c>
      <c r="D728" s="54" t="s">
        <v>1963</v>
      </c>
      <c r="E728" s="56">
        <v>0</v>
      </c>
      <c r="F728" s="57" t="s">
        <v>878</v>
      </c>
      <c r="G728" s="58">
        <v>95000</v>
      </c>
      <c r="H728" s="59">
        <v>95000</v>
      </c>
      <c r="I728" s="59">
        <f t="shared" si="22"/>
        <v>0</v>
      </c>
    </row>
    <row r="729" spans="1:9" customFormat="1" ht="34.5" x14ac:dyDescent="0.35">
      <c r="A729" s="63">
        <f t="shared" si="23"/>
        <v>728</v>
      </c>
      <c r="B729" s="54" t="s">
        <v>2282</v>
      </c>
      <c r="C729" s="55" t="s">
        <v>2283</v>
      </c>
      <c r="D729" s="54" t="s">
        <v>1963</v>
      </c>
      <c r="E729" s="56">
        <v>0</v>
      </c>
      <c r="F729" s="57" t="s">
        <v>792</v>
      </c>
      <c r="G729" s="58">
        <v>95000</v>
      </c>
      <c r="H729" s="59">
        <v>95000</v>
      </c>
      <c r="I729" s="59">
        <f t="shared" si="22"/>
        <v>0</v>
      </c>
    </row>
    <row r="730" spans="1:9" customFormat="1" ht="34.5" x14ac:dyDescent="0.35">
      <c r="A730" s="63">
        <f t="shared" si="23"/>
        <v>729</v>
      </c>
      <c r="B730" s="54" t="s">
        <v>2284</v>
      </c>
      <c r="C730" s="55" t="s">
        <v>2285</v>
      </c>
      <c r="D730" s="54" t="s">
        <v>1963</v>
      </c>
      <c r="E730" s="56">
        <v>0</v>
      </c>
      <c r="F730" s="57" t="s">
        <v>792</v>
      </c>
      <c r="G730" s="58">
        <v>90000</v>
      </c>
      <c r="H730" s="59">
        <v>133000</v>
      </c>
      <c r="I730" s="59">
        <f t="shared" si="22"/>
        <v>0</v>
      </c>
    </row>
    <row r="731" spans="1:9" customFormat="1" ht="23" x14ac:dyDescent="0.35">
      <c r="A731" s="63">
        <f t="shared" si="23"/>
        <v>730</v>
      </c>
      <c r="B731" s="54" t="s">
        <v>2286</v>
      </c>
      <c r="C731" s="55" t="s">
        <v>2287</v>
      </c>
      <c r="D731" s="54" t="s">
        <v>1963</v>
      </c>
      <c r="E731" s="56">
        <v>0</v>
      </c>
      <c r="F731" s="57" t="s">
        <v>792</v>
      </c>
      <c r="G731" s="58">
        <v>72000</v>
      </c>
      <c r="H731" s="59">
        <v>133950</v>
      </c>
      <c r="I731" s="59">
        <f t="shared" si="22"/>
        <v>0</v>
      </c>
    </row>
    <row r="732" spans="1:9" customFormat="1" x14ac:dyDescent="0.35">
      <c r="A732" s="63">
        <f t="shared" si="23"/>
        <v>731</v>
      </c>
      <c r="B732" s="54" t="s">
        <v>2288</v>
      </c>
      <c r="C732" s="55" t="s">
        <v>2289</v>
      </c>
      <c r="D732" s="54" t="s">
        <v>1963</v>
      </c>
      <c r="E732" s="56">
        <v>0</v>
      </c>
      <c r="F732" s="57" t="s">
        <v>792</v>
      </c>
      <c r="G732" s="58">
        <v>40000</v>
      </c>
      <c r="H732" s="59">
        <v>55000</v>
      </c>
      <c r="I732" s="59">
        <f t="shared" si="22"/>
        <v>0</v>
      </c>
    </row>
    <row r="733" spans="1:9" customFormat="1" x14ac:dyDescent="0.35">
      <c r="A733" s="63">
        <f t="shared" si="23"/>
        <v>732</v>
      </c>
      <c r="B733" s="54" t="s">
        <v>2290</v>
      </c>
      <c r="C733" s="55" t="s">
        <v>2291</v>
      </c>
      <c r="D733" s="54" t="s">
        <v>1963</v>
      </c>
      <c r="E733" s="56">
        <v>0</v>
      </c>
      <c r="F733" s="57" t="s">
        <v>792</v>
      </c>
      <c r="G733" s="58">
        <v>32500</v>
      </c>
      <c r="H733" s="59">
        <v>32500</v>
      </c>
      <c r="I733" s="59">
        <f t="shared" si="22"/>
        <v>0</v>
      </c>
    </row>
    <row r="734" spans="1:9" customFormat="1" ht="23" x14ac:dyDescent="0.35">
      <c r="A734" s="63">
        <f t="shared" si="23"/>
        <v>733</v>
      </c>
      <c r="B734" s="54" t="s">
        <v>2292</v>
      </c>
      <c r="C734" s="55" t="s">
        <v>2293</v>
      </c>
      <c r="D734" s="54" t="s">
        <v>1963</v>
      </c>
      <c r="E734" s="56">
        <v>0</v>
      </c>
      <c r="F734" s="57" t="s">
        <v>792</v>
      </c>
      <c r="G734" s="58">
        <v>4100</v>
      </c>
      <c r="H734" s="59">
        <v>5280</v>
      </c>
      <c r="I734" s="59">
        <f t="shared" si="22"/>
        <v>0</v>
      </c>
    </row>
    <row r="735" spans="1:9" customFormat="1" x14ac:dyDescent="0.35">
      <c r="A735" s="63">
        <f t="shared" si="23"/>
        <v>734</v>
      </c>
      <c r="B735" s="54" t="s">
        <v>2294</v>
      </c>
      <c r="C735" s="55" t="s">
        <v>2295</v>
      </c>
      <c r="D735" s="54" t="s">
        <v>1963</v>
      </c>
      <c r="E735" s="56">
        <v>0</v>
      </c>
      <c r="F735" s="57" t="s">
        <v>792</v>
      </c>
      <c r="G735" s="58">
        <v>0</v>
      </c>
      <c r="H735" s="59">
        <v>26190</v>
      </c>
      <c r="I735" s="59">
        <f t="shared" si="22"/>
        <v>0</v>
      </c>
    </row>
    <row r="736" spans="1:9" customFormat="1" x14ac:dyDescent="0.35">
      <c r="A736" s="63">
        <f t="shared" si="23"/>
        <v>735</v>
      </c>
      <c r="B736" s="54" t="s">
        <v>2296</v>
      </c>
      <c r="C736" s="55" t="s">
        <v>2297</v>
      </c>
      <c r="D736" s="54" t="s">
        <v>1963</v>
      </c>
      <c r="E736" s="56">
        <v>0</v>
      </c>
      <c r="F736" s="57" t="s">
        <v>792</v>
      </c>
      <c r="G736" s="58">
        <v>0</v>
      </c>
      <c r="H736" s="59">
        <v>29100</v>
      </c>
      <c r="I736" s="59">
        <f t="shared" si="22"/>
        <v>0</v>
      </c>
    </row>
    <row r="737" spans="1:9" customFormat="1" x14ac:dyDescent="0.35">
      <c r="A737" s="63">
        <f t="shared" si="23"/>
        <v>736</v>
      </c>
      <c r="B737" s="54" t="s">
        <v>2298</v>
      </c>
      <c r="C737" s="55" t="s">
        <v>2299</v>
      </c>
      <c r="D737" s="54" t="s">
        <v>1963</v>
      </c>
      <c r="E737" s="56">
        <v>0</v>
      </c>
      <c r="F737" s="57" t="s">
        <v>792</v>
      </c>
      <c r="G737" s="58">
        <v>0</v>
      </c>
      <c r="H737" s="59">
        <v>43650</v>
      </c>
      <c r="I737" s="59">
        <f t="shared" si="22"/>
        <v>0</v>
      </c>
    </row>
    <row r="738" spans="1:9" customFormat="1" x14ac:dyDescent="0.35">
      <c r="A738" s="63">
        <f t="shared" si="23"/>
        <v>737</v>
      </c>
      <c r="B738" s="54" t="s">
        <v>2300</v>
      </c>
      <c r="C738" s="55" t="s">
        <v>2301</v>
      </c>
      <c r="D738" s="54" t="s">
        <v>1963</v>
      </c>
      <c r="E738" s="56">
        <v>0</v>
      </c>
      <c r="F738" s="57" t="s">
        <v>792</v>
      </c>
      <c r="G738" s="58">
        <v>30000</v>
      </c>
      <c r="H738" s="59">
        <v>30000</v>
      </c>
      <c r="I738" s="59">
        <f t="shared" si="22"/>
        <v>0</v>
      </c>
    </row>
    <row r="739" spans="1:9" customFormat="1" x14ac:dyDescent="0.35">
      <c r="A739" s="63">
        <f t="shared" si="23"/>
        <v>738</v>
      </c>
      <c r="B739" s="54" t="s">
        <v>2302</v>
      </c>
      <c r="C739" s="55" t="s">
        <v>2303</v>
      </c>
      <c r="D739" s="54" t="s">
        <v>1963</v>
      </c>
      <c r="E739" s="56">
        <v>0</v>
      </c>
      <c r="F739" s="57" t="s">
        <v>792</v>
      </c>
      <c r="G739" s="58">
        <v>0</v>
      </c>
      <c r="H739" s="59">
        <v>494400</v>
      </c>
      <c r="I739" s="59">
        <f t="shared" si="22"/>
        <v>0</v>
      </c>
    </row>
    <row r="740" spans="1:9" customFormat="1" ht="23" x14ac:dyDescent="0.35">
      <c r="A740" s="63">
        <f t="shared" si="23"/>
        <v>739</v>
      </c>
      <c r="B740" s="54" t="s">
        <v>2304</v>
      </c>
      <c r="C740" s="55" t="s">
        <v>2305</v>
      </c>
      <c r="D740" s="54" t="s">
        <v>1963</v>
      </c>
      <c r="E740" s="56">
        <v>0</v>
      </c>
      <c r="F740" s="57" t="s">
        <v>1924</v>
      </c>
      <c r="G740" s="58">
        <v>350000</v>
      </c>
      <c r="H740" s="59">
        <v>494400</v>
      </c>
      <c r="I740" s="59">
        <f t="shared" si="22"/>
        <v>0</v>
      </c>
    </row>
    <row r="741" spans="1:9" customFormat="1" x14ac:dyDescent="0.35">
      <c r="A741" s="63">
        <f t="shared" si="23"/>
        <v>740</v>
      </c>
      <c r="B741" s="54" t="s">
        <v>2306</v>
      </c>
      <c r="C741" s="55" t="s">
        <v>2307</v>
      </c>
      <c r="D741" s="54" t="s">
        <v>1963</v>
      </c>
      <c r="E741" s="56">
        <v>0</v>
      </c>
      <c r="F741" s="57" t="s">
        <v>792</v>
      </c>
      <c r="G741" s="58">
        <v>453500</v>
      </c>
      <c r="H741" s="59">
        <v>570761</v>
      </c>
      <c r="I741" s="59">
        <f t="shared" si="22"/>
        <v>0</v>
      </c>
    </row>
    <row r="742" spans="1:9" customFormat="1" x14ac:dyDescent="0.35">
      <c r="A742" s="63">
        <f t="shared" si="23"/>
        <v>741</v>
      </c>
      <c r="B742" s="54" t="s">
        <v>2308</v>
      </c>
      <c r="C742" s="55" t="s">
        <v>2309</v>
      </c>
      <c r="D742" s="54" t="s">
        <v>1963</v>
      </c>
      <c r="E742" s="56">
        <v>0</v>
      </c>
      <c r="F742" s="57" t="s">
        <v>974</v>
      </c>
      <c r="G742" s="58">
        <v>30000</v>
      </c>
      <c r="H742" s="59">
        <v>42750</v>
      </c>
      <c r="I742" s="59">
        <f t="shared" si="22"/>
        <v>0</v>
      </c>
    </row>
    <row r="743" spans="1:9" customFormat="1" ht="23" x14ac:dyDescent="0.35">
      <c r="A743" s="63">
        <f t="shared" si="23"/>
        <v>742</v>
      </c>
      <c r="B743" s="54" t="s">
        <v>2310</v>
      </c>
      <c r="C743" s="55" t="s">
        <v>2311</v>
      </c>
      <c r="D743" s="54" t="s">
        <v>1963</v>
      </c>
      <c r="E743" s="56">
        <v>0</v>
      </c>
      <c r="F743" s="57" t="s">
        <v>792</v>
      </c>
      <c r="G743" s="58">
        <v>138000</v>
      </c>
      <c r="H743" s="59">
        <v>138000</v>
      </c>
      <c r="I743" s="59">
        <f t="shared" si="22"/>
        <v>0</v>
      </c>
    </row>
    <row r="744" spans="1:9" customFormat="1" x14ac:dyDescent="0.35">
      <c r="A744" s="63">
        <f t="shared" si="23"/>
        <v>743</v>
      </c>
      <c r="B744" s="54" t="s">
        <v>2312</v>
      </c>
      <c r="C744" s="55" t="s">
        <v>2313</v>
      </c>
      <c r="D744" s="54" t="s">
        <v>1963</v>
      </c>
      <c r="E744" s="56">
        <v>0</v>
      </c>
      <c r="F744" s="57" t="s">
        <v>969</v>
      </c>
      <c r="G744" s="58">
        <v>51000</v>
      </c>
      <c r="H744" s="59">
        <v>51000</v>
      </c>
      <c r="I744" s="59">
        <f t="shared" si="22"/>
        <v>0</v>
      </c>
    </row>
    <row r="745" spans="1:9" customFormat="1" x14ac:dyDescent="0.35">
      <c r="A745" s="63">
        <f t="shared" si="23"/>
        <v>744</v>
      </c>
      <c r="B745" s="54" t="s">
        <v>2314</v>
      </c>
      <c r="C745" s="55" t="s">
        <v>2315</v>
      </c>
      <c r="D745" s="54" t="s">
        <v>1963</v>
      </c>
      <c r="E745" s="56">
        <v>0</v>
      </c>
      <c r="F745" s="57" t="s">
        <v>792</v>
      </c>
      <c r="G745" s="58">
        <v>128716</v>
      </c>
      <c r="H745" s="59">
        <v>195765</v>
      </c>
      <c r="I745" s="59">
        <f t="shared" si="22"/>
        <v>0</v>
      </c>
    </row>
    <row r="746" spans="1:9" customFormat="1" ht="23" x14ac:dyDescent="0.35">
      <c r="A746" s="63">
        <f t="shared" si="23"/>
        <v>745</v>
      </c>
      <c r="B746" s="54" t="s">
        <v>2316</v>
      </c>
      <c r="C746" s="55" t="s">
        <v>2317</v>
      </c>
      <c r="D746" s="54" t="s">
        <v>1963</v>
      </c>
      <c r="E746" s="56">
        <v>0</v>
      </c>
      <c r="F746" s="57" t="s">
        <v>792</v>
      </c>
      <c r="G746" s="58">
        <v>6825</v>
      </c>
      <c r="H746" s="59">
        <v>6525</v>
      </c>
      <c r="I746" s="59">
        <f t="shared" si="22"/>
        <v>0</v>
      </c>
    </row>
    <row r="747" spans="1:9" customFormat="1" ht="23" x14ac:dyDescent="0.35">
      <c r="A747" s="63">
        <f t="shared" si="23"/>
        <v>746</v>
      </c>
      <c r="B747" s="54" t="s">
        <v>2318</v>
      </c>
      <c r="C747" s="55" t="s">
        <v>2319</v>
      </c>
      <c r="D747" s="54" t="s">
        <v>1963</v>
      </c>
      <c r="E747" s="56">
        <v>0</v>
      </c>
      <c r="F747" s="57" t="s">
        <v>792</v>
      </c>
      <c r="G747" s="58">
        <v>62500</v>
      </c>
      <c r="H747" s="59">
        <v>87400</v>
      </c>
      <c r="I747" s="59">
        <f t="shared" si="22"/>
        <v>0</v>
      </c>
    </row>
    <row r="748" spans="1:9" customFormat="1" x14ac:dyDescent="0.35">
      <c r="A748" s="63">
        <f t="shared" si="23"/>
        <v>747</v>
      </c>
      <c r="B748" s="54" t="s">
        <v>2320</v>
      </c>
      <c r="C748" s="55" t="s">
        <v>2321</v>
      </c>
      <c r="D748" s="54" t="s">
        <v>1963</v>
      </c>
      <c r="E748" s="56">
        <v>0</v>
      </c>
      <c r="F748" s="57" t="s">
        <v>792</v>
      </c>
      <c r="G748" s="58">
        <v>60000</v>
      </c>
      <c r="H748" s="59">
        <v>76046</v>
      </c>
      <c r="I748" s="59">
        <f t="shared" si="22"/>
        <v>0</v>
      </c>
    </row>
    <row r="749" spans="1:9" customFormat="1" x14ac:dyDescent="0.35">
      <c r="A749" s="63">
        <f t="shared" si="23"/>
        <v>748</v>
      </c>
      <c r="B749" s="54" t="s">
        <v>2322</v>
      </c>
      <c r="C749" s="55" t="s">
        <v>2323</v>
      </c>
      <c r="D749" s="54" t="s">
        <v>1963</v>
      </c>
      <c r="E749" s="56">
        <v>0</v>
      </c>
      <c r="F749" s="57" t="s">
        <v>792</v>
      </c>
      <c r="G749" s="58">
        <v>80000</v>
      </c>
      <c r="H749" s="59">
        <v>76046</v>
      </c>
      <c r="I749" s="59">
        <f t="shared" si="22"/>
        <v>0</v>
      </c>
    </row>
    <row r="750" spans="1:9" customFormat="1" x14ac:dyDescent="0.35">
      <c r="A750" s="63">
        <f t="shared" si="23"/>
        <v>749</v>
      </c>
      <c r="B750" s="54" t="s">
        <v>2324</v>
      </c>
      <c r="C750" s="55" t="s">
        <v>2325</v>
      </c>
      <c r="D750" s="54" t="s">
        <v>1963</v>
      </c>
      <c r="E750" s="56">
        <v>0</v>
      </c>
      <c r="F750" s="57" t="s">
        <v>815</v>
      </c>
      <c r="G750" s="58">
        <v>380000</v>
      </c>
      <c r="H750" s="59">
        <v>643500</v>
      </c>
      <c r="I750" s="59">
        <f t="shared" si="22"/>
        <v>0</v>
      </c>
    </row>
    <row r="751" spans="1:9" customFormat="1" x14ac:dyDescent="0.35">
      <c r="A751" s="63">
        <f t="shared" si="23"/>
        <v>750</v>
      </c>
      <c r="B751" s="54" t="s">
        <v>2326</v>
      </c>
      <c r="C751" s="55" t="s">
        <v>2327</v>
      </c>
      <c r="D751" s="54" t="s">
        <v>1963</v>
      </c>
      <c r="E751" s="56">
        <v>0</v>
      </c>
      <c r="F751" s="57" t="s">
        <v>1087</v>
      </c>
      <c r="G751" s="58">
        <v>14000</v>
      </c>
      <c r="H751" s="59">
        <v>15000</v>
      </c>
      <c r="I751" s="59">
        <f t="shared" si="22"/>
        <v>0</v>
      </c>
    </row>
    <row r="752" spans="1:9" customFormat="1" x14ac:dyDescent="0.35">
      <c r="A752" s="63">
        <f t="shared" si="23"/>
        <v>751</v>
      </c>
      <c r="B752" s="54" t="s">
        <v>2328</v>
      </c>
      <c r="C752" s="55" t="s">
        <v>2329</v>
      </c>
      <c r="D752" s="54" t="s">
        <v>1963</v>
      </c>
      <c r="E752" s="56">
        <v>0</v>
      </c>
      <c r="F752" s="57" t="s">
        <v>815</v>
      </c>
      <c r="G752" s="58">
        <v>600000</v>
      </c>
      <c r="H752" s="59">
        <v>855000</v>
      </c>
      <c r="I752" s="59">
        <f t="shared" si="22"/>
        <v>0</v>
      </c>
    </row>
    <row r="753" spans="1:9" customFormat="1" x14ac:dyDescent="0.35">
      <c r="A753" s="63">
        <f t="shared" si="23"/>
        <v>752</v>
      </c>
      <c r="B753" s="54" t="s">
        <v>2330</v>
      </c>
      <c r="C753" s="55" t="s">
        <v>2331</v>
      </c>
      <c r="D753" s="54" t="s">
        <v>1963</v>
      </c>
      <c r="E753" s="56">
        <v>0</v>
      </c>
      <c r="F753" s="57" t="s">
        <v>815</v>
      </c>
      <c r="G753" s="58">
        <v>53000</v>
      </c>
      <c r="H753" s="59">
        <v>66500</v>
      </c>
      <c r="I753" s="59">
        <f t="shared" si="22"/>
        <v>0</v>
      </c>
    </row>
    <row r="754" spans="1:9" customFormat="1" ht="23" x14ac:dyDescent="0.35">
      <c r="A754" s="63">
        <f t="shared" si="23"/>
        <v>753</v>
      </c>
      <c r="B754" s="54" t="s">
        <v>2332</v>
      </c>
      <c r="C754" s="55" t="s">
        <v>2333</v>
      </c>
      <c r="D754" s="54" t="s">
        <v>1963</v>
      </c>
      <c r="E754" s="56">
        <v>0</v>
      </c>
      <c r="F754" s="57" t="s">
        <v>969</v>
      </c>
      <c r="G754" s="58">
        <v>86000</v>
      </c>
      <c r="H754" s="59">
        <v>113850</v>
      </c>
      <c r="I754" s="59">
        <f t="shared" si="22"/>
        <v>0</v>
      </c>
    </row>
    <row r="755" spans="1:9" customFormat="1" x14ac:dyDescent="0.35">
      <c r="A755" s="63">
        <f t="shared" si="23"/>
        <v>754</v>
      </c>
      <c r="B755" s="54" t="s">
        <v>2334</v>
      </c>
      <c r="C755" s="55" t="s">
        <v>2335</v>
      </c>
      <c r="D755" s="54" t="s">
        <v>1963</v>
      </c>
      <c r="E755" s="56">
        <v>0</v>
      </c>
      <c r="F755" s="57" t="s">
        <v>792</v>
      </c>
      <c r="G755" s="58">
        <v>620000</v>
      </c>
      <c r="H755" s="59">
        <v>908200</v>
      </c>
      <c r="I755" s="59">
        <f t="shared" si="22"/>
        <v>0</v>
      </c>
    </row>
    <row r="756" spans="1:9" customFormat="1" ht="23" x14ac:dyDescent="0.35">
      <c r="A756" s="63">
        <f t="shared" si="23"/>
        <v>755</v>
      </c>
      <c r="B756" s="54" t="s">
        <v>2336</v>
      </c>
      <c r="C756" s="55" t="s">
        <v>2337</v>
      </c>
      <c r="D756" s="54" t="s">
        <v>1963</v>
      </c>
      <c r="E756" s="56">
        <v>0</v>
      </c>
      <c r="F756" s="57" t="s">
        <v>792</v>
      </c>
      <c r="G756" s="58">
        <v>70000</v>
      </c>
      <c r="H756" s="59">
        <v>69825</v>
      </c>
      <c r="I756" s="59">
        <f t="shared" si="22"/>
        <v>0</v>
      </c>
    </row>
    <row r="757" spans="1:9" customFormat="1" ht="23" x14ac:dyDescent="0.35">
      <c r="A757" s="63">
        <f t="shared" si="23"/>
        <v>756</v>
      </c>
      <c r="B757" s="54" t="s">
        <v>2338</v>
      </c>
      <c r="C757" s="55" t="s">
        <v>2339</v>
      </c>
      <c r="D757" s="54" t="s">
        <v>1963</v>
      </c>
      <c r="E757" s="56">
        <v>0</v>
      </c>
      <c r="F757" s="57" t="s">
        <v>792</v>
      </c>
      <c r="G757" s="58">
        <v>70000</v>
      </c>
      <c r="H757" s="59">
        <v>69825</v>
      </c>
      <c r="I757" s="59">
        <f t="shared" si="22"/>
        <v>0</v>
      </c>
    </row>
    <row r="758" spans="1:9" customFormat="1" ht="23" x14ac:dyDescent="0.35">
      <c r="A758" s="63">
        <f t="shared" si="23"/>
        <v>757</v>
      </c>
      <c r="B758" s="54" t="s">
        <v>2340</v>
      </c>
      <c r="C758" s="55" t="s">
        <v>2341</v>
      </c>
      <c r="D758" s="54" t="s">
        <v>1963</v>
      </c>
      <c r="E758" s="56">
        <v>0</v>
      </c>
      <c r="F758" s="57" t="s">
        <v>870</v>
      </c>
      <c r="G758" s="58">
        <v>245000</v>
      </c>
      <c r="H758" s="59">
        <v>0</v>
      </c>
      <c r="I758" s="59">
        <f t="shared" si="22"/>
        <v>0</v>
      </c>
    </row>
    <row r="759" spans="1:9" customFormat="1" x14ac:dyDescent="0.35">
      <c r="A759" s="63">
        <f t="shared" si="23"/>
        <v>758</v>
      </c>
      <c r="B759" s="54" t="s">
        <v>2342</v>
      </c>
      <c r="C759" s="55" t="s">
        <v>2343</v>
      </c>
      <c r="D759" s="54" t="s">
        <v>1963</v>
      </c>
      <c r="E759" s="56">
        <v>0</v>
      </c>
      <c r="F759" s="57" t="s">
        <v>1552</v>
      </c>
      <c r="G759" s="58">
        <v>25000</v>
      </c>
      <c r="H759" s="59">
        <v>25000</v>
      </c>
      <c r="I759" s="59">
        <f t="shared" si="22"/>
        <v>0</v>
      </c>
    </row>
    <row r="760" spans="1:9" customFormat="1" x14ac:dyDescent="0.35">
      <c r="A760" s="63">
        <f t="shared" si="23"/>
        <v>759</v>
      </c>
      <c r="B760" s="54" t="s">
        <v>2344</v>
      </c>
      <c r="C760" s="55" t="s">
        <v>2345</v>
      </c>
      <c r="D760" s="54" t="s">
        <v>1963</v>
      </c>
      <c r="E760" s="56">
        <v>0</v>
      </c>
      <c r="F760" s="57" t="s">
        <v>1552</v>
      </c>
      <c r="G760" s="58">
        <v>23500</v>
      </c>
      <c r="H760" s="59">
        <v>25000</v>
      </c>
      <c r="I760" s="59">
        <f t="shared" si="22"/>
        <v>0</v>
      </c>
    </row>
    <row r="761" spans="1:9" customFormat="1" ht="23" x14ac:dyDescent="0.35">
      <c r="A761" s="63">
        <f t="shared" si="23"/>
        <v>760</v>
      </c>
      <c r="B761" s="54" t="s">
        <v>2346</v>
      </c>
      <c r="C761" s="55" t="s">
        <v>2347</v>
      </c>
      <c r="D761" s="54" t="s">
        <v>1963</v>
      </c>
      <c r="E761" s="56">
        <v>0</v>
      </c>
      <c r="F761" s="57" t="s">
        <v>792</v>
      </c>
      <c r="G761" s="58">
        <v>18720</v>
      </c>
      <c r="H761" s="59">
        <v>31000</v>
      </c>
      <c r="I761" s="59">
        <f t="shared" si="22"/>
        <v>0</v>
      </c>
    </row>
    <row r="762" spans="1:9" customFormat="1" ht="23" x14ac:dyDescent="0.35">
      <c r="A762" s="63">
        <f t="shared" si="23"/>
        <v>761</v>
      </c>
      <c r="B762" s="54" t="s">
        <v>2348</v>
      </c>
      <c r="C762" s="55" t="s">
        <v>2349</v>
      </c>
      <c r="D762" s="54" t="s">
        <v>1963</v>
      </c>
      <c r="E762" s="56">
        <v>0</v>
      </c>
      <c r="F762" s="57" t="s">
        <v>792</v>
      </c>
      <c r="G762" s="58">
        <v>39600</v>
      </c>
      <c r="H762" s="59">
        <v>57950</v>
      </c>
      <c r="I762" s="59">
        <f t="shared" si="22"/>
        <v>0</v>
      </c>
    </row>
    <row r="763" spans="1:9" customFormat="1" x14ac:dyDescent="0.35">
      <c r="A763" s="63">
        <f t="shared" si="23"/>
        <v>762</v>
      </c>
      <c r="B763" s="54" t="s">
        <v>2350</v>
      </c>
      <c r="C763" s="55" t="s">
        <v>2351</v>
      </c>
      <c r="D763" s="54" t="s">
        <v>1963</v>
      </c>
      <c r="E763" s="56">
        <v>0</v>
      </c>
      <c r="F763" s="57" t="s">
        <v>792</v>
      </c>
      <c r="G763" s="58">
        <v>36360</v>
      </c>
      <c r="H763" s="59">
        <v>42837</v>
      </c>
      <c r="I763" s="59">
        <f t="shared" si="22"/>
        <v>0</v>
      </c>
    </row>
    <row r="764" spans="1:9" customFormat="1" ht="34.5" x14ac:dyDescent="0.35">
      <c r="A764" s="63">
        <f t="shared" si="23"/>
        <v>763</v>
      </c>
      <c r="B764" s="54" t="s">
        <v>2352</v>
      </c>
      <c r="C764" s="55" t="s">
        <v>2353</v>
      </c>
      <c r="D764" s="54" t="s">
        <v>1963</v>
      </c>
      <c r="E764" s="56">
        <v>0</v>
      </c>
      <c r="F764" s="57" t="s">
        <v>792</v>
      </c>
      <c r="G764" s="58">
        <v>0</v>
      </c>
      <c r="H764" s="59">
        <v>0</v>
      </c>
      <c r="I764" s="59">
        <f t="shared" si="22"/>
        <v>0</v>
      </c>
    </row>
    <row r="765" spans="1:9" customFormat="1" x14ac:dyDescent="0.35">
      <c r="A765" s="63">
        <f t="shared" si="23"/>
        <v>764</v>
      </c>
      <c r="B765" s="54" t="s">
        <v>2354</v>
      </c>
      <c r="C765" s="55" t="s">
        <v>2355</v>
      </c>
      <c r="D765" s="54" t="s">
        <v>1963</v>
      </c>
      <c r="E765" s="56">
        <v>0</v>
      </c>
      <c r="F765" s="57" t="s">
        <v>792</v>
      </c>
      <c r="G765" s="58">
        <v>0</v>
      </c>
      <c r="H765" s="59">
        <v>0</v>
      </c>
      <c r="I765" s="59">
        <f t="shared" si="22"/>
        <v>0</v>
      </c>
    </row>
    <row r="766" spans="1:9" customFormat="1" x14ac:dyDescent="0.35">
      <c r="A766" s="63">
        <f t="shared" si="23"/>
        <v>765</v>
      </c>
      <c r="B766" s="54" t="s">
        <v>2356</v>
      </c>
      <c r="C766" s="55" t="s">
        <v>2357</v>
      </c>
      <c r="D766" s="54" t="s">
        <v>1963</v>
      </c>
      <c r="E766" s="56">
        <v>0</v>
      </c>
      <c r="F766" s="57" t="s">
        <v>815</v>
      </c>
      <c r="G766" s="58">
        <v>54000</v>
      </c>
      <c r="H766" s="59">
        <v>101000</v>
      </c>
      <c r="I766" s="59">
        <f t="shared" si="22"/>
        <v>0</v>
      </c>
    </row>
    <row r="767" spans="1:9" customFormat="1" ht="23" x14ac:dyDescent="0.35">
      <c r="A767" s="63">
        <f t="shared" si="23"/>
        <v>766</v>
      </c>
      <c r="B767" s="54" t="s">
        <v>2358</v>
      </c>
      <c r="C767" s="55" t="s">
        <v>2359</v>
      </c>
      <c r="D767" s="54" t="s">
        <v>1963</v>
      </c>
      <c r="E767" s="56">
        <v>0</v>
      </c>
      <c r="F767" s="57" t="s">
        <v>792</v>
      </c>
      <c r="G767" s="58">
        <v>110000</v>
      </c>
      <c r="H767" s="59">
        <v>143000</v>
      </c>
      <c r="I767" s="59">
        <f t="shared" si="22"/>
        <v>0</v>
      </c>
    </row>
    <row r="768" spans="1:9" customFormat="1" ht="23" x14ac:dyDescent="0.35">
      <c r="A768" s="63">
        <f t="shared" si="23"/>
        <v>767</v>
      </c>
      <c r="B768" s="54" t="s">
        <v>2360</v>
      </c>
      <c r="C768" s="55" t="s">
        <v>2361</v>
      </c>
      <c r="D768" s="54" t="s">
        <v>1963</v>
      </c>
      <c r="E768" s="56">
        <v>0</v>
      </c>
      <c r="F768" s="57" t="s">
        <v>792</v>
      </c>
      <c r="G768" s="58">
        <v>157167</v>
      </c>
      <c r="H768" s="59">
        <v>205984</v>
      </c>
      <c r="I768" s="59">
        <f t="shared" si="22"/>
        <v>0</v>
      </c>
    </row>
    <row r="769" spans="1:9" customFormat="1" x14ac:dyDescent="0.35">
      <c r="A769" s="63">
        <f t="shared" si="23"/>
        <v>768</v>
      </c>
      <c r="B769" s="54" t="s">
        <v>2362</v>
      </c>
      <c r="C769" s="55" t="s">
        <v>2363</v>
      </c>
      <c r="D769" s="54" t="s">
        <v>1963</v>
      </c>
      <c r="E769" s="56">
        <v>0</v>
      </c>
      <c r="F769" s="57" t="s">
        <v>792</v>
      </c>
      <c r="G769" s="58">
        <v>0</v>
      </c>
      <c r="H769" s="59">
        <v>7104</v>
      </c>
      <c r="I769" s="59">
        <f t="shared" si="22"/>
        <v>0</v>
      </c>
    </row>
    <row r="770" spans="1:9" customFormat="1" x14ac:dyDescent="0.35">
      <c r="A770" s="63">
        <f t="shared" si="23"/>
        <v>769</v>
      </c>
      <c r="B770" s="54" t="s">
        <v>2364</v>
      </c>
      <c r="C770" s="55" t="s">
        <v>2365</v>
      </c>
      <c r="D770" s="54" t="s">
        <v>1963</v>
      </c>
      <c r="E770" s="56">
        <v>0</v>
      </c>
      <c r="F770" s="57" t="s">
        <v>792</v>
      </c>
      <c r="G770" s="58">
        <v>0</v>
      </c>
      <c r="H770" s="59">
        <v>9700</v>
      </c>
      <c r="I770" s="59">
        <f t="shared" si="22"/>
        <v>0</v>
      </c>
    </row>
    <row r="771" spans="1:9" customFormat="1" x14ac:dyDescent="0.35">
      <c r="A771" s="63">
        <f t="shared" si="23"/>
        <v>770</v>
      </c>
      <c r="B771" s="54" t="s">
        <v>2366</v>
      </c>
      <c r="C771" s="55" t="s">
        <v>2367</v>
      </c>
      <c r="D771" s="54" t="s">
        <v>1963</v>
      </c>
      <c r="E771" s="56">
        <v>0</v>
      </c>
      <c r="F771" s="57" t="s">
        <v>792</v>
      </c>
      <c r="G771" s="58">
        <v>0</v>
      </c>
      <c r="H771" s="59">
        <v>8448</v>
      </c>
      <c r="I771" s="59">
        <f t="shared" ref="I771:I834" si="24">H771*E771</f>
        <v>0</v>
      </c>
    </row>
    <row r="772" spans="1:9" customFormat="1" ht="23" x14ac:dyDescent="0.35">
      <c r="A772" s="63">
        <f t="shared" ref="A772:A835" si="25">A771+1</f>
        <v>771</v>
      </c>
      <c r="B772" s="54" t="s">
        <v>2368</v>
      </c>
      <c r="C772" s="55" t="s">
        <v>2369</v>
      </c>
      <c r="D772" s="54" t="s">
        <v>1963</v>
      </c>
      <c r="E772" s="56">
        <v>0</v>
      </c>
      <c r="F772" s="57" t="s">
        <v>792</v>
      </c>
      <c r="G772" s="58">
        <v>0</v>
      </c>
      <c r="H772" s="59">
        <v>25000</v>
      </c>
      <c r="I772" s="59">
        <f t="shared" si="24"/>
        <v>0</v>
      </c>
    </row>
    <row r="773" spans="1:9" customFormat="1" x14ac:dyDescent="0.35">
      <c r="A773" s="63">
        <f t="shared" si="25"/>
        <v>772</v>
      </c>
      <c r="B773" s="54" t="s">
        <v>2370</v>
      </c>
      <c r="C773" s="55" t="s">
        <v>2371</v>
      </c>
      <c r="D773" s="54" t="s">
        <v>1963</v>
      </c>
      <c r="E773" s="56">
        <v>0</v>
      </c>
      <c r="F773" s="57" t="s">
        <v>792</v>
      </c>
      <c r="G773" s="58">
        <v>0</v>
      </c>
      <c r="H773" s="59">
        <v>220500</v>
      </c>
      <c r="I773" s="59">
        <f t="shared" si="24"/>
        <v>0</v>
      </c>
    </row>
    <row r="774" spans="1:9" customFormat="1" x14ac:dyDescent="0.35">
      <c r="A774" s="63">
        <f t="shared" si="25"/>
        <v>773</v>
      </c>
      <c r="B774" s="54" t="s">
        <v>2372</v>
      </c>
      <c r="C774" s="55" t="s">
        <v>2373</v>
      </c>
      <c r="D774" s="54" t="s">
        <v>1963</v>
      </c>
      <c r="E774" s="56">
        <v>0</v>
      </c>
      <c r="F774" s="57" t="s">
        <v>792</v>
      </c>
      <c r="G774" s="58">
        <v>22000</v>
      </c>
      <c r="H774" s="59">
        <v>22000</v>
      </c>
      <c r="I774" s="59">
        <f t="shared" si="24"/>
        <v>0</v>
      </c>
    </row>
    <row r="775" spans="1:9" customFormat="1" x14ac:dyDescent="0.35">
      <c r="A775" s="63">
        <f t="shared" si="25"/>
        <v>774</v>
      </c>
      <c r="B775" s="54" t="s">
        <v>2374</v>
      </c>
      <c r="C775" s="55" t="s">
        <v>2375</v>
      </c>
      <c r="D775" s="54" t="s">
        <v>1963</v>
      </c>
      <c r="E775" s="56">
        <v>0</v>
      </c>
      <c r="F775" s="57" t="s">
        <v>994</v>
      </c>
      <c r="G775" s="58">
        <v>19000</v>
      </c>
      <c r="H775" s="59">
        <v>19000</v>
      </c>
      <c r="I775" s="59">
        <f t="shared" si="24"/>
        <v>0</v>
      </c>
    </row>
    <row r="776" spans="1:9" customFormat="1" x14ac:dyDescent="0.35">
      <c r="A776" s="63">
        <f t="shared" si="25"/>
        <v>775</v>
      </c>
      <c r="B776" s="54" t="s">
        <v>2376</v>
      </c>
      <c r="C776" s="55" t="s">
        <v>2377</v>
      </c>
      <c r="D776" s="54" t="s">
        <v>1963</v>
      </c>
      <c r="E776" s="56">
        <v>0</v>
      </c>
      <c r="F776" s="57" t="s">
        <v>994</v>
      </c>
      <c r="G776" s="58">
        <v>22000</v>
      </c>
      <c r="H776" s="59">
        <v>22000</v>
      </c>
      <c r="I776" s="59">
        <f t="shared" si="24"/>
        <v>0</v>
      </c>
    </row>
    <row r="777" spans="1:9" customFormat="1" x14ac:dyDescent="0.35">
      <c r="A777" s="63">
        <f t="shared" si="25"/>
        <v>776</v>
      </c>
      <c r="B777" s="54" t="s">
        <v>2378</v>
      </c>
      <c r="C777" s="55" t="s">
        <v>2379</v>
      </c>
      <c r="D777" s="54" t="s">
        <v>1963</v>
      </c>
      <c r="E777" s="56">
        <v>0</v>
      </c>
      <c r="F777" s="57" t="s">
        <v>994</v>
      </c>
      <c r="G777" s="58">
        <v>0</v>
      </c>
      <c r="H777" s="59">
        <v>29697</v>
      </c>
      <c r="I777" s="59">
        <f t="shared" si="24"/>
        <v>0</v>
      </c>
    </row>
    <row r="778" spans="1:9" customFormat="1" x14ac:dyDescent="0.35">
      <c r="A778" s="63">
        <f t="shared" si="25"/>
        <v>777</v>
      </c>
      <c r="B778" s="54" t="s">
        <v>2380</v>
      </c>
      <c r="C778" s="55" t="s">
        <v>2381</v>
      </c>
      <c r="D778" s="54" t="s">
        <v>1963</v>
      </c>
      <c r="E778" s="56">
        <v>0</v>
      </c>
      <c r="F778" s="57" t="s">
        <v>994</v>
      </c>
      <c r="G778" s="58">
        <v>0</v>
      </c>
      <c r="H778" s="59">
        <v>0</v>
      </c>
      <c r="I778" s="59">
        <f t="shared" si="24"/>
        <v>0</v>
      </c>
    </row>
    <row r="779" spans="1:9" customFormat="1" x14ac:dyDescent="0.35">
      <c r="A779" s="63">
        <f t="shared" si="25"/>
        <v>778</v>
      </c>
      <c r="B779" s="54" t="s">
        <v>2382</v>
      </c>
      <c r="C779" s="55" t="s">
        <v>2383</v>
      </c>
      <c r="D779" s="54" t="s">
        <v>1963</v>
      </c>
      <c r="E779" s="56">
        <v>0</v>
      </c>
      <c r="F779" s="57" t="s">
        <v>994</v>
      </c>
      <c r="G779" s="58">
        <v>0</v>
      </c>
      <c r="H779" s="59">
        <v>0</v>
      </c>
      <c r="I779" s="59">
        <f t="shared" si="24"/>
        <v>0</v>
      </c>
    </row>
    <row r="780" spans="1:9" customFormat="1" ht="23" x14ac:dyDescent="0.35">
      <c r="A780" s="63">
        <f t="shared" si="25"/>
        <v>779</v>
      </c>
      <c r="B780" s="54" t="s">
        <v>2384</v>
      </c>
      <c r="C780" s="55" t="s">
        <v>2385</v>
      </c>
      <c r="D780" s="54" t="s">
        <v>1963</v>
      </c>
      <c r="E780" s="56">
        <v>0</v>
      </c>
      <c r="F780" s="57" t="s">
        <v>977</v>
      </c>
      <c r="G780" s="58">
        <v>300000</v>
      </c>
      <c r="H780" s="59">
        <v>581000</v>
      </c>
      <c r="I780" s="59">
        <f t="shared" si="24"/>
        <v>0</v>
      </c>
    </row>
    <row r="781" spans="1:9" customFormat="1" ht="23" x14ac:dyDescent="0.35">
      <c r="A781" s="63">
        <f t="shared" si="25"/>
        <v>780</v>
      </c>
      <c r="B781" s="54" t="s">
        <v>2386</v>
      </c>
      <c r="C781" s="55" t="s">
        <v>2387</v>
      </c>
      <c r="D781" s="54" t="s">
        <v>1963</v>
      </c>
      <c r="E781" s="56">
        <v>0</v>
      </c>
      <c r="F781" s="57" t="s">
        <v>792</v>
      </c>
      <c r="G781" s="58">
        <v>0</v>
      </c>
      <c r="H781" s="59">
        <v>0</v>
      </c>
      <c r="I781" s="59">
        <f t="shared" si="24"/>
        <v>0</v>
      </c>
    </row>
    <row r="782" spans="1:9" customFormat="1" x14ac:dyDescent="0.35">
      <c r="A782" s="63">
        <f t="shared" si="25"/>
        <v>781</v>
      </c>
      <c r="B782" s="54" t="s">
        <v>2388</v>
      </c>
      <c r="C782" s="55" t="s">
        <v>2389</v>
      </c>
      <c r="D782" s="54" t="s">
        <v>1963</v>
      </c>
      <c r="E782" s="56">
        <v>0</v>
      </c>
      <c r="F782" s="57" t="s">
        <v>792</v>
      </c>
      <c r="G782" s="58">
        <v>0</v>
      </c>
      <c r="H782" s="59">
        <v>2500</v>
      </c>
      <c r="I782" s="59">
        <f t="shared" si="24"/>
        <v>0</v>
      </c>
    </row>
    <row r="783" spans="1:9" customFormat="1" ht="23" x14ac:dyDescent="0.35">
      <c r="A783" s="63">
        <f t="shared" si="25"/>
        <v>782</v>
      </c>
      <c r="B783" s="54" t="s">
        <v>2390</v>
      </c>
      <c r="C783" s="55" t="s">
        <v>2391</v>
      </c>
      <c r="D783" s="54" t="s">
        <v>1963</v>
      </c>
      <c r="E783" s="56">
        <v>0</v>
      </c>
      <c r="F783" s="57" t="s">
        <v>792</v>
      </c>
      <c r="G783" s="58">
        <v>180</v>
      </c>
      <c r="H783" s="59">
        <v>180</v>
      </c>
      <c r="I783" s="59">
        <f t="shared" si="24"/>
        <v>0</v>
      </c>
    </row>
    <row r="784" spans="1:9" customFormat="1" ht="23" x14ac:dyDescent="0.35">
      <c r="A784" s="63">
        <f t="shared" si="25"/>
        <v>783</v>
      </c>
      <c r="B784" s="54" t="s">
        <v>2392</v>
      </c>
      <c r="C784" s="55" t="s">
        <v>2393</v>
      </c>
      <c r="D784" s="54" t="s">
        <v>1963</v>
      </c>
      <c r="E784" s="56">
        <v>0</v>
      </c>
      <c r="F784" s="57" t="s">
        <v>792</v>
      </c>
      <c r="G784" s="58">
        <v>1100</v>
      </c>
      <c r="H784" s="59">
        <v>1100</v>
      </c>
      <c r="I784" s="59">
        <f t="shared" si="24"/>
        <v>0</v>
      </c>
    </row>
    <row r="785" spans="1:9" customFormat="1" ht="23" x14ac:dyDescent="0.35">
      <c r="A785" s="63">
        <f t="shared" si="25"/>
        <v>784</v>
      </c>
      <c r="B785" s="54" t="s">
        <v>2394</v>
      </c>
      <c r="C785" s="55" t="s">
        <v>2395</v>
      </c>
      <c r="D785" s="54" t="s">
        <v>1963</v>
      </c>
      <c r="E785" s="56">
        <v>0</v>
      </c>
      <c r="F785" s="57" t="s">
        <v>792</v>
      </c>
      <c r="G785" s="58">
        <v>500</v>
      </c>
      <c r="H785" s="59">
        <v>940</v>
      </c>
      <c r="I785" s="59">
        <f t="shared" si="24"/>
        <v>0</v>
      </c>
    </row>
    <row r="786" spans="1:9" customFormat="1" ht="23" x14ac:dyDescent="0.35">
      <c r="A786" s="63">
        <f t="shared" si="25"/>
        <v>785</v>
      </c>
      <c r="B786" s="54" t="s">
        <v>2396</v>
      </c>
      <c r="C786" s="55" t="s">
        <v>2397</v>
      </c>
      <c r="D786" s="54" t="s">
        <v>1963</v>
      </c>
      <c r="E786" s="56">
        <v>0</v>
      </c>
      <c r="F786" s="57" t="s">
        <v>792</v>
      </c>
      <c r="G786" s="58">
        <v>180</v>
      </c>
      <c r="H786" s="59">
        <v>576</v>
      </c>
      <c r="I786" s="59">
        <f t="shared" si="24"/>
        <v>0</v>
      </c>
    </row>
    <row r="787" spans="1:9" customFormat="1" ht="23" x14ac:dyDescent="0.35">
      <c r="A787" s="63">
        <f t="shared" si="25"/>
        <v>786</v>
      </c>
      <c r="B787" s="54" t="s">
        <v>2398</v>
      </c>
      <c r="C787" s="55" t="s">
        <v>2399</v>
      </c>
      <c r="D787" s="54" t="s">
        <v>1963</v>
      </c>
      <c r="E787" s="56">
        <v>0</v>
      </c>
      <c r="F787" s="57" t="s">
        <v>792</v>
      </c>
      <c r="G787" s="58">
        <v>576</v>
      </c>
      <c r="H787" s="59">
        <v>576</v>
      </c>
      <c r="I787" s="59">
        <f t="shared" si="24"/>
        <v>0</v>
      </c>
    </row>
    <row r="788" spans="1:9" customFormat="1" ht="23" x14ac:dyDescent="0.35">
      <c r="A788" s="63">
        <f t="shared" si="25"/>
        <v>787</v>
      </c>
      <c r="B788" s="54" t="s">
        <v>2400</v>
      </c>
      <c r="C788" s="55" t="s">
        <v>2401</v>
      </c>
      <c r="D788" s="54" t="s">
        <v>1963</v>
      </c>
      <c r="E788" s="56">
        <v>0</v>
      </c>
      <c r="F788" s="57" t="s">
        <v>792</v>
      </c>
      <c r="G788" s="58">
        <v>0</v>
      </c>
      <c r="H788" s="59">
        <v>0</v>
      </c>
      <c r="I788" s="59">
        <f t="shared" si="24"/>
        <v>0</v>
      </c>
    </row>
    <row r="789" spans="1:9" customFormat="1" ht="23" x14ac:dyDescent="0.35">
      <c r="A789" s="63">
        <f t="shared" si="25"/>
        <v>788</v>
      </c>
      <c r="B789" s="54" t="s">
        <v>2402</v>
      </c>
      <c r="C789" s="55" t="s">
        <v>2403</v>
      </c>
      <c r="D789" s="54" t="s">
        <v>1963</v>
      </c>
      <c r="E789" s="56">
        <v>0</v>
      </c>
      <c r="F789" s="57" t="s">
        <v>792</v>
      </c>
      <c r="G789" s="58">
        <v>250</v>
      </c>
      <c r="H789" s="59">
        <v>960</v>
      </c>
      <c r="I789" s="59">
        <f t="shared" si="24"/>
        <v>0</v>
      </c>
    </row>
    <row r="790" spans="1:9" customFormat="1" ht="23" x14ac:dyDescent="0.35">
      <c r="A790" s="63">
        <f t="shared" si="25"/>
        <v>789</v>
      </c>
      <c r="B790" s="54" t="s">
        <v>2404</v>
      </c>
      <c r="C790" s="55" t="s">
        <v>2405</v>
      </c>
      <c r="D790" s="54" t="s">
        <v>1963</v>
      </c>
      <c r="E790" s="56">
        <v>0</v>
      </c>
      <c r="F790" s="57" t="s">
        <v>792</v>
      </c>
      <c r="G790" s="58">
        <v>25</v>
      </c>
      <c r="H790" s="59">
        <v>34</v>
      </c>
      <c r="I790" s="59">
        <f t="shared" si="24"/>
        <v>0</v>
      </c>
    </row>
    <row r="791" spans="1:9" customFormat="1" ht="23" x14ac:dyDescent="0.35">
      <c r="A791" s="63">
        <f t="shared" si="25"/>
        <v>790</v>
      </c>
      <c r="B791" s="54" t="s">
        <v>2406</v>
      </c>
      <c r="C791" s="55" t="s">
        <v>2407</v>
      </c>
      <c r="D791" s="54" t="s">
        <v>1963</v>
      </c>
      <c r="E791" s="56">
        <v>0</v>
      </c>
      <c r="F791" s="57" t="s">
        <v>792</v>
      </c>
      <c r="G791" s="58">
        <v>75</v>
      </c>
      <c r="H791" s="59">
        <v>158</v>
      </c>
      <c r="I791" s="59">
        <f t="shared" si="24"/>
        <v>0</v>
      </c>
    </row>
    <row r="792" spans="1:9" customFormat="1" ht="23" x14ac:dyDescent="0.35">
      <c r="A792" s="63">
        <f t="shared" si="25"/>
        <v>791</v>
      </c>
      <c r="B792" s="54" t="s">
        <v>2408</v>
      </c>
      <c r="C792" s="55" t="s">
        <v>2409</v>
      </c>
      <c r="D792" s="54" t="s">
        <v>1963</v>
      </c>
      <c r="E792" s="56">
        <v>0</v>
      </c>
      <c r="F792" s="57" t="s">
        <v>792</v>
      </c>
      <c r="G792" s="58">
        <v>115</v>
      </c>
      <c r="H792" s="59">
        <v>115</v>
      </c>
      <c r="I792" s="59">
        <f t="shared" si="24"/>
        <v>0</v>
      </c>
    </row>
    <row r="793" spans="1:9" customFormat="1" ht="23" x14ac:dyDescent="0.35">
      <c r="A793" s="63">
        <f t="shared" si="25"/>
        <v>792</v>
      </c>
      <c r="B793" s="54" t="s">
        <v>2410</v>
      </c>
      <c r="C793" s="55" t="s">
        <v>2411</v>
      </c>
      <c r="D793" s="54" t="s">
        <v>1963</v>
      </c>
      <c r="E793" s="56">
        <v>0</v>
      </c>
      <c r="F793" s="57" t="s">
        <v>792</v>
      </c>
      <c r="G793" s="58">
        <v>0</v>
      </c>
      <c r="H793" s="59">
        <v>45000</v>
      </c>
      <c r="I793" s="59">
        <f t="shared" si="24"/>
        <v>0</v>
      </c>
    </row>
    <row r="794" spans="1:9" customFormat="1" x14ac:dyDescent="0.35">
      <c r="A794" s="63">
        <f t="shared" si="25"/>
        <v>793</v>
      </c>
      <c r="B794" s="54" t="s">
        <v>2412</v>
      </c>
      <c r="C794" s="55" t="s">
        <v>2413</v>
      </c>
      <c r="D794" s="54" t="s">
        <v>1963</v>
      </c>
      <c r="E794" s="56">
        <v>0</v>
      </c>
      <c r="F794" s="57" t="s">
        <v>792</v>
      </c>
      <c r="G794" s="58">
        <v>164733.32999999999</v>
      </c>
      <c r="H794" s="59">
        <v>232290</v>
      </c>
      <c r="I794" s="59">
        <f t="shared" si="24"/>
        <v>0</v>
      </c>
    </row>
    <row r="795" spans="1:9" customFormat="1" x14ac:dyDescent="0.35">
      <c r="A795" s="63">
        <f t="shared" si="25"/>
        <v>794</v>
      </c>
      <c r="B795" s="54" t="s">
        <v>2414</v>
      </c>
      <c r="C795" s="55" t="s">
        <v>2415</v>
      </c>
      <c r="D795" s="54" t="s">
        <v>1963</v>
      </c>
      <c r="E795" s="56">
        <v>0</v>
      </c>
      <c r="F795" s="57" t="s">
        <v>815</v>
      </c>
      <c r="G795" s="58">
        <v>350000</v>
      </c>
      <c r="H795" s="59">
        <v>641520</v>
      </c>
      <c r="I795" s="59">
        <f t="shared" si="24"/>
        <v>0</v>
      </c>
    </row>
    <row r="796" spans="1:9" customFormat="1" ht="23" x14ac:dyDescent="0.35">
      <c r="A796" s="63">
        <f t="shared" si="25"/>
        <v>795</v>
      </c>
      <c r="B796" s="54" t="s">
        <v>2416</v>
      </c>
      <c r="C796" s="55" t="s">
        <v>2417</v>
      </c>
      <c r="D796" s="54" t="s">
        <v>1963</v>
      </c>
      <c r="E796" s="56">
        <v>0</v>
      </c>
      <c r="F796" s="57" t="s">
        <v>792</v>
      </c>
      <c r="G796" s="58">
        <v>2500</v>
      </c>
      <c r="H796" s="59">
        <v>3750</v>
      </c>
      <c r="I796" s="59">
        <f t="shared" si="24"/>
        <v>0</v>
      </c>
    </row>
    <row r="797" spans="1:9" customFormat="1" x14ac:dyDescent="0.35">
      <c r="A797" s="63">
        <f t="shared" si="25"/>
        <v>796</v>
      </c>
      <c r="B797" s="54" t="s">
        <v>2418</v>
      </c>
      <c r="C797" s="55" t="s">
        <v>2419</v>
      </c>
      <c r="D797" s="54" t="s">
        <v>1963</v>
      </c>
      <c r="E797" s="56">
        <v>0</v>
      </c>
      <c r="F797" s="57" t="s">
        <v>792</v>
      </c>
      <c r="G797" s="58">
        <v>41564.33</v>
      </c>
      <c r="H797" s="59">
        <v>41564.33</v>
      </c>
      <c r="I797" s="59">
        <f t="shared" si="24"/>
        <v>0</v>
      </c>
    </row>
    <row r="798" spans="1:9" customFormat="1" ht="23" x14ac:dyDescent="0.35">
      <c r="A798" s="63">
        <f t="shared" si="25"/>
        <v>797</v>
      </c>
      <c r="B798" s="54" t="s">
        <v>2420</v>
      </c>
      <c r="C798" s="55" t="s">
        <v>2421</v>
      </c>
      <c r="D798" s="54" t="s">
        <v>1963</v>
      </c>
      <c r="E798" s="56">
        <v>0</v>
      </c>
      <c r="F798" s="57" t="s">
        <v>792</v>
      </c>
      <c r="G798" s="58">
        <v>10000</v>
      </c>
      <c r="H798" s="59">
        <v>15000</v>
      </c>
      <c r="I798" s="59">
        <f t="shared" si="24"/>
        <v>0</v>
      </c>
    </row>
    <row r="799" spans="1:9" customFormat="1" x14ac:dyDescent="0.35">
      <c r="A799" s="63">
        <f t="shared" si="25"/>
        <v>798</v>
      </c>
      <c r="B799" s="54" t="s">
        <v>2422</v>
      </c>
      <c r="C799" s="55" t="s">
        <v>2423</v>
      </c>
      <c r="D799" s="54" t="s">
        <v>1963</v>
      </c>
      <c r="E799" s="56">
        <v>0</v>
      </c>
      <c r="F799" s="57" t="s">
        <v>815</v>
      </c>
      <c r="G799" s="58">
        <v>60000</v>
      </c>
      <c r="H799" s="59">
        <v>80000</v>
      </c>
      <c r="I799" s="59">
        <f t="shared" si="24"/>
        <v>0</v>
      </c>
    </row>
    <row r="800" spans="1:9" customFormat="1" ht="23" x14ac:dyDescent="0.35">
      <c r="A800" s="63">
        <f t="shared" si="25"/>
        <v>799</v>
      </c>
      <c r="B800" s="54" t="s">
        <v>2424</v>
      </c>
      <c r="C800" s="55" t="s">
        <v>2425</v>
      </c>
      <c r="D800" s="54" t="s">
        <v>1963</v>
      </c>
      <c r="E800" s="56">
        <v>0</v>
      </c>
      <c r="F800" s="57" t="s">
        <v>815</v>
      </c>
      <c r="G800" s="58">
        <v>62000</v>
      </c>
      <c r="H800" s="59">
        <v>85000</v>
      </c>
      <c r="I800" s="59">
        <f t="shared" si="24"/>
        <v>0</v>
      </c>
    </row>
    <row r="801" spans="1:9" customFormat="1" x14ac:dyDescent="0.35">
      <c r="A801" s="63">
        <f t="shared" si="25"/>
        <v>800</v>
      </c>
      <c r="B801" s="54" t="s">
        <v>2426</v>
      </c>
      <c r="C801" s="55" t="s">
        <v>2427</v>
      </c>
      <c r="D801" s="54" t="s">
        <v>1963</v>
      </c>
      <c r="E801" s="56">
        <v>0</v>
      </c>
      <c r="F801" s="57" t="s">
        <v>792</v>
      </c>
      <c r="G801" s="58">
        <v>59678</v>
      </c>
      <c r="H801" s="59">
        <v>90000</v>
      </c>
      <c r="I801" s="59">
        <f t="shared" si="24"/>
        <v>0</v>
      </c>
    </row>
    <row r="802" spans="1:9" customFormat="1" ht="23" x14ac:dyDescent="0.35">
      <c r="A802" s="63">
        <f t="shared" si="25"/>
        <v>801</v>
      </c>
      <c r="B802" s="54" t="s">
        <v>2428</v>
      </c>
      <c r="C802" s="55" t="s">
        <v>2429</v>
      </c>
      <c r="D802" s="54" t="s">
        <v>1963</v>
      </c>
      <c r="E802" s="56">
        <v>0</v>
      </c>
      <c r="F802" s="57" t="s">
        <v>792</v>
      </c>
      <c r="G802" s="58">
        <v>0</v>
      </c>
      <c r="H802" s="59">
        <v>31584</v>
      </c>
      <c r="I802" s="59">
        <f t="shared" si="24"/>
        <v>0</v>
      </c>
    </row>
    <row r="803" spans="1:9" customFormat="1" ht="23" x14ac:dyDescent="0.35">
      <c r="A803" s="63">
        <f t="shared" si="25"/>
        <v>802</v>
      </c>
      <c r="B803" s="54" t="s">
        <v>2430</v>
      </c>
      <c r="C803" s="55" t="s">
        <v>2431</v>
      </c>
      <c r="D803" s="54" t="s">
        <v>1963</v>
      </c>
      <c r="E803" s="56">
        <v>0</v>
      </c>
      <c r="F803" s="57" t="s">
        <v>792</v>
      </c>
      <c r="G803" s="58">
        <v>417480</v>
      </c>
      <c r="H803" s="59">
        <v>417480</v>
      </c>
      <c r="I803" s="59">
        <f t="shared" si="24"/>
        <v>0</v>
      </c>
    </row>
    <row r="804" spans="1:9" customFormat="1" x14ac:dyDescent="0.35">
      <c r="A804" s="63">
        <f t="shared" si="25"/>
        <v>803</v>
      </c>
      <c r="B804" s="54" t="s">
        <v>2432</v>
      </c>
      <c r="C804" s="55" t="s">
        <v>2433</v>
      </c>
      <c r="D804" s="54" t="s">
        <v>1963</v>
      </c>
      <c r="E804" s="56">
        <v>0</v>
      </c>
      <c r="F804" s="57" t="s">
        <v>792</v>
      </c>
      <c r="G804" s="58">
        <v>44000</v>
      </c>
      <c r="H804" s="59">
        <v>76855</v>
      </c>
      <c r="I804" s="59">
        <f t="shared" si="24"/>
        <v>0</v>
      </c>
    </row>
    <row r="805" spans="1:9" customFormat="1" x14ac:dyDescent="0.35">
      <c r="A805" s="63">
        <f t="shared" si="25"/>
        <v>804</v>
      </c>
      <c r="B805" s="54" t="s">
        <v>2434</v>
      </c>
      <c r="C805" s="55" t="s">
        <v>2435</v>
      </c>
      <c r="D805" s="54" t="s">
        <v>1963</v>
      </c>
      <c r="E805" s="56">
        <v>0</v>
      </c>
      <c r="F805" s="57" t="s">
        <v>792</v>
      </c>
      <c r="G805" s="58">
        <v>60000</v>
      </c>
      <c r="H805" s="59">
        <v>88032</v>
      </c>
      <c r="I805" s="59">
        <f t="shared" si="24"/>
        <v>0</v>
      </c>
    </row>
    <row r="806" spans="1:9" customFormat="1" x14ac:dyDescent="0.35">
      <c r="A806" s="63">
        <f t="shared" si="25"/>
        <v>805</v>
      </c>
      <c r="B806" s="54" t="s">
        <v>2436</v>
      </c>
      <c r="C806" s="55" t="s">
        <v>2437</v>
      </c>
      <c r="D806" s="54" t="s">
        <v>1963</v>
      </c>
      <c r="E806" s="56">
        <v>0</v>
      </c>
      <c r="F806" s="57" t="s">
        <v>792</v>
      </c>
      <c r="G806" s="58">
        <v>70000</v>
      </c>
      <c r="H806" s="59">
        <v>88032</v>
      </c>
      <c r="I806" s="59">
        <f t="shared" si="24"/>
        <v>0</v>
      </c>
    </row>
    <row r="807" spans="1:9" customFormat="1" x14ac:dyDescent="0.35">
      <c r="A807" s="63">
        <f t="shared" si="25"/>
        <v>806</v>
      </c>
      <c r="B807" s="54" t="s">
        <v>2438</v>
      </c>
      <c r="C807" s="55" t="s">
        <v>2439</v>
      </c>
      <c r="D807" s="54" t="s">
        <v>1963</v>
      </c>
      <c r="E807" s="56">
        <v>0</v>
      </c>
      <c r="F807" s="57" t="s">
        <v>792</v>
      </c>
      <c r="G807" s="58">
        <v>0</v>
      </c>
      <c r="H807" s="59">
        <v>75660</v>
      </c>
      <c r="I807" s="59">
        <f t="shared" si="24"/>
        <v>0</v>
      </c>
    </row>
    <row r="808" spans="1:9" customFormat="1" ht="23" x14ac:dyDescent="0.35">
      <c r="A808" s="63">
        <f t="shared" si="25"/>
        <v>807</v>
      </c>
      <c r="B808" s="54" t="s">
        <v>2440</v>
      </c>
      <c r="C808" s="55" t="s">
        <v>2441</v>
      </c>
      <c r="D808" s="54" t="s">
        <v>1963</v>
      </c>
      <c r="E808" s="56">
        <v>0</v>
      </c>
      <c r="F808" s="57" t="s">
        <v>792</v>
      </c>
      <c r="G808" s="58">
        <v>98000</v>
      </c>
      <c r="H808" s="59">
        <v>167310</v>
      </c>
      <c r="I808" s="59">
        <f t="shared" si="24"/>
        <v>0</v>
      </c>
    </row>
    <row r="809" spans="1:9" customFormat="1" x14ac:dyDescent="0.35">
      <c r="A809" s="63">
        <f t="shared" si="25"/>
        <v>808</v>
      </c>
      <c r="B809" s="54" t="s">
        <v>2442</v>
      </c>
      <c r="C809" s="55" t="s">
        <v>2443</v>
      </c>
      <c r="D809" s="54" t="s">
        <v>1963</v>
      </c>
      <c r="E809" s="56">
        <v>0</v>
      </c>
      <c r="F809" s="57" t="s">
        <v>792</v>
      </c>
      <c r="G809" s="58">
        <v>29000</v>
      </c>
      <c r="H809" s="59">
        <v>29000</v>
      </c>
      <c r="I809" s="59">
        <f t="shared" si="24"/>
        <v>0</v>
      </c>
    </row>
    <row r="810" spans="1:9" customFormat="1" ht="23" x14ac:dyDescent="0.35">
      <c r="A810" s="63">
        <f t="shared" si="25"/>
        <v>809</v>
      </c>
      <c r="B810" s="54" t="s">
        <v>2444</v>
      </c>
      <c r="C810" s="55" t="s">
        <v>2445</v>
      </c>
      <c r="D810" s="54" t="s">
        <v>1963</v>
      </c>
      <c r="E810" s="56">
        <v>0</v>
      </c>
      <c r="F810" s="57" t="s">
        <v>792</v>
      </c>
      <c r="G810" s="58">
        <v>0</v>
      </c>
      <c r="H810" s="59">
        <v>38000</v>
      </c>
      <c r="I810" s="59">
        <f t="shared" si="24"/>
        <v>0</v>
      </c>
    </row>
    <row r="811" spans="1:9" customFormat="1" x14ac:dyDescent="0.35">
      <c r="A811" s="63">
        <f t="shared" si="25"/>
        <v>810</v>
      </c>
      <c r="B811" s="54" t="s">
        <v>2446</v>
      </c>
      <c r="C811" s="55" t="s">
        <v>2447</v>
      </c>
      <c r="D811" s="54" t="s">
        <v>1963</v>
      </c>
      <c r="E811" s="56">
        <v>0</v>
      </c>
      <c r="F811" s="57" t="s">
        <v>792</v>
      </c>
      <c r="G811" s="58">
        <v>45</v>
      </c>
      <c r="H811" s="59">
        <v>45</v>
      </c>
      <c r="I811" s="59">
        <f t="shared" si="24"/>
        <v>0</v>
      </c>
    </row>
    <row r="812" spans="1:9" customFormat="1" ht="23" x14ac:dyDescent="0.35">
      <c r="A812" s="63">
        <f t="shared" si="25"/>
        <v>811</v>
      </c>
      <c r="B812" s="54" t="s">
        <v>2448</v>
      </c>
      <c r="C812" s="55" t="s">
        <v>2449</v>
      </c>
      <c r="D812" s="54" t="s">
        <v>1963</v>
      </c>
      <c r="E812" s="56">
        <v>0</v>
      </c>
      <c r="F812" s="57" t="s">
        <v>792</v>
      </c>
      <c r="G812" s="58">
        <v>225000</v>
      </c>
      <c r="H812" s="59">
        <v>327375</v>
      </c>
      <c r="I812" s="59">
        <f t="shared" si="24"/>
        <v>0</v>
      </c>
    </row>
    <row r="813" spans="1:9" customFormat="1" x14ac:dyDescent="0.35">
      <c r="A813" s="63">
        <f t="shared" si="25"/>
        <v>812</v>
      </c>
      <c r="B813" s="54" t="s">
        <v>2450</v>
      </c>
      <c r="C813" s="55" t="s">
        <v>2451</v>
      </c>
      <c r="D813" s="54" t="s">
        <v>1963</v>
      </c>
      <c r="E813" s="56">
        <v>0</v>
      </c>
      <c r="F813" s="57" t="s">
        <v>792</v>
      </c>
      <c r="G813" s="58">
        <v>7227.6</v>
      </c>
      <c r="H813" s="59">
        <v>7499</v>
      </c>
      <c r="I813" s="59">
        <f t="shared" si="24"/>
        <v>0</v>
      </c>
    </row>
    <row r="814" spans="1:9" customFormat="1" x14ac:dyDescent="0.35">
      <c r="A814" s="63">
        <f t="shared" si="25"/>
        <v>813</v>
      </c>
      <c r="B814" s="54" t="s">
        <v>2452</v>
      </c>
      <c r="C814" s="55" t="s">
        <v>2453</v>
      </c>
      <c r="D814" s="54" t="s">
        <v>1963</v>
      </c>
      <c r="E814" s="56">
        <v>0</v>
      </c>
      <c r="F814" s="57" t="s">
        <v>792</v>
      </c>
      <c r="G814" s="58">
        <v>0</v>
      </c>
      <c r="H814" s="59">
        <v>12000</v>
      </c>
      <c r="I814" s="59">
        <f t="shared" si="24"/>
        <v>0</v>
      </c>
    </row>
    <row r="815" spans="1:9" customFormat="1" x14ac:dyDescent="0.35">
      <c r="A815" s="63">
        <f t="shared" si="25"/>
        <v>814</v>
      </c>
      <c r="B815" s="54" t="s">
        <v>2454</v>
      </c>
      <c r="C815" s="55" t="s">
        <v>2455</v>
      </c>
      <c r="D815" s="54" t="s">
        <v>1963</v>
      </c>
      <c r="E815" s="56">
        <v>0</v>
      </c>
      <c r="F815" s="57" t="s">
        <v>792</v>
      </c>
      <c r="G815" s="58">
        <v>8322</v>
      </c>
      <c r="H815" s="59">
        <v>8322</v>
      </c>
      <c r="I815" s="59">
        <f t="shared" si="24"/>
        <v>0</v>
      </c>
    </row>
    <row r="816" spans="1:9" customFormat="1" ht="34.5" x14ac:dyDescent="0.35">
      <c r="A816" s="63">
        <f t="shared" si="25"/>
        <v>815</v>
      </c>
      <c r="B816" s="54" t="s">
        <v>2456</v>
      </c>
      <c r="C816" s="55" t="s">
        <v>2457</v>
      </c>
      <c r="D816" s="54" t="s">
        <v>1963</v>
      </c>
      <c r="E816" s="56">
        <v>0</v>
      </c>
      <c r="F816" s="57" t="s">
        <v>792</v>
      </c>
      <c r="G816" s="58">
        <v>9946</v>
      </c>
      <c r="H816" s="59">
        <v>12416</v>
      </c>
      <c r="I816" s="59">
        <f t="shared" si="24"/>
        <v>0</v>
      </c>
    </row>
    <row r="817" spans="1:9" customFormat="1" ht="23" x14ac:dyDescent="0.35">
      <c r="A817" s="63">
        <f t="shared" si="25"/>
        <v>816</v>
      </c>
      <c r="B817" s="54" t="s">
        <v>2458</v>
      </c>
      <c r="C817" s="55" t="s">
        <v>2459</v>
      </c>
      <c r="D817" s="54" t="s">
        <v>1963</v>
      </c>
      <c r="E817" s="56">
        <v>0</v>
      </c>
      <c r="F817" s="57" t="s">
        <v>792</v>
      </c>
      <c r="G817" s="58">
        <v>16992</v>
      </c>
      <c r="H817" s="59">
        <v>16992</v>
      </c>
      <c r="I817" s="59">
        <f t="shared" si="24"/>
        <v>0</v>
      </c>
    </row>
    <row r="818" spans="1:9" customFormat="1" ht="23" x14ac:dyDescent="0.35">
      <c r="A818" s="63">
        <f t="shared" si="25"/>
        <v>817</v>
      </c>
      <c r="B818" s="54" t="s">
        <v>2460</v>
      </c>
      <c r="C818" s="55" t="s">
        <v>2461</v>
      </c>
      <c r="D818" s="54" t="s">
        <v>1963</v>
      </c>
      <c r="E818" s="56">
        <v>0</v>
      </c>
      <c r="F818" s="57" t="s">
        <v>792</v>
      </c>
      <c r="G818" s="58">
        <v>9940</v>
      </c>
      <c r="H818" s="59">
        <v>13500</v>
      </c>
      <c r="I818" s="59">
        <f t="shared" si="24"/>
        <v>0</v>
      </c>
    </row>
    <row r="819" spans="1:9" customFormat="1" ht="34.5" x14ac:dyDescent="0.35">
      <c r="A819" s="63">
        <f t="shared" si="25"/>
        <v>818</v>
      </c>
      <c r="B819" s="54" t="s">
        <v>2462</v>
      </c>
      <c r="C819" s="55" t="s">
        <v>2463</v>
      </c>
      <c r="D819" s="54" t="s">
        <v>1963</v>
      </c>
      <c r="E819" s="56">
        <v>0</v>
      </c>
      <c r="F819" s="57" t="s">
        <v>792</v>
      </c>
      <c r="G819" s="58">
        <v>926250</v>
      </c>
      <c r="H819" s="59">
        <v>926250</v>
      </c>
      <c r="I819" s="59">
        <f t="shared" si="24"/>
        <v>0</v>
      </c>
    </row>
    <row r="820" spans="1:9" customFormat="1" ht="34.5" x14ac:dyDescent="0.35">
      <c r="A820" s="63">
        <f t="shared" si="25"/>
        <v>819</v>
      </c>
      <c r="B820" s="54" t="s">
        <v>2464</v>
      </c>
      <c r="C820" s="55" t="s">
        <v>2465</v>
      </c>
      <c r="D820" s="54" t="s">
        <v>1963</v>
      </c>
      <c r="E820" s="56">
        <v>0</v>
      </c>
      <c r="F820" s="57" t="s">
        <v>792</v>
      </c>
      <c r="G820" s="58">
        <v>1449000</v>
      </c>
      <c r="H820" s="59">
        <v>1583175</v>
      </c>
      <c r="I820" s="59">
        <f t="shared" si="24"/>
        <v>0</v>
      </c>
    </row>
    <row r="821" spans="1:9" customFormat="1" ht="34.5" x14ac:dyDescent="0.35">
      <c r="A821" s="63">
        <f t="shared" si="25"/>
        <v>820</v>
      </c>
      <c r="B821" s="54" t="s">
        <v>2466</v>
      </c>
      <c r="C821" s="55" t="s">
        <v>2467</v>
      </c>
      <c r="D821" s="54" t="s">
        <v>1963</v>
      </c>
      <c r="E821" s="56">
        <v>0</v>
      </c>
      <c r="F821" s="57" t="s">
        <v>792</v>
      </c>
      <c r="G821" s="58">
        <v>765000</v>
      </c>
      <c r="H821" s="59">
        <v>900000</v>
      </c>
      <c r="I821" s="59">
        <f t="shared" si="24"/>
        <v>0</v>
      </c>
    </row>
    <row r="822" spans="1:9" customFormat="1" ht="34.5" x14ac:dyDescent="0.35">
      <c r="A822" s="63">
        <f t="shared" si="25"/>
        <v>821</v>
      </c>
      <c r="B822" s="54" t="s">
        <v>2468</v>
      </c>
      <c r="C822" s="55" t="s">
        <v>2469</v>
      </c>
      <c r="D822" s="54" t="s">
        <v>1963</v>
      </c>
      <c r="E822" s="56">
        <v>0</v>
      </c>
      <c r="F822" s="57" t="s">
        <v>792</v>
      </c>
      <c r="G822" s="58">
        <v>1100000</v>
      </c>
      <c r="H822" s="59">
        <v>1442337</v>
      </c>
      <c r="I822" s="59">
        <f t="shared" si="24"/>
        <v>0</v>
      </c>
    </row>
    <row r="823" spans="1:9" customFormat="1" ht="23" x14ac:dyDescent="0.35">
      <c r="A823" s="63">
        <f t="shared" si="25"/>
        <v>822</v>
      </c>
      <c r="B823" s="54" t="s">
        <v>2470</v>
      </c>
      <c r="C823" s="55" t="s">
        <v>2471</v>
      </c>
      <c r="D823" s="54" t="s">
        <v>1963</v>
      </c>
      <c r="E823" s="56">
        <v>0</v>
      </c>
      <c r="F823" s="57" t="s">
        <v>792</v>
      </c>
      <c r="G823" s="58">
        <v>5700</v>
      </c>
      <c r="H823" s="59">
        <v>5700</v>
      </c>
      <c r="I823" s="59">
        <f t="shared" si="24"/>
        <v>0</v>
      </c>
    </row>
    <row r="824" spans="1:9" customFormat="1" ht="23" x14ac:dyDescent="0.35">
      <c r="A824" s="63">
        <f t="shared" si="25"/>
        <v>823</v>
      </c>
      <c r="B824" s="54" t="s">
        <v>2472</v>
      </c>
      <c r="C824" s="55" t="s">
        <v>2473</v>
      </c>
      <c r="D824" s="54" t="s">
        <v>1963</v>
      </c>
      <c r="E824" s="56">
        <v>0</v>
      </c>
      <c r="F824" s="57" t="s">
        <v>792</v>
      </c>
      <c r="G824" s="58">
        <v>2450</v>
      </c>
      <c r="H824" s="59">
        <v>3100</v>
      </c>
      <c r="I824" s="59">
        <f t="shared" si="24"/>
        <v>0</v>
      </c>
    </row>
    <row r="825" spans="1:9" customFormat="1" ht="23" x14ac:dyDescent="0.35">
      <c r="A825" s="63">
        <f t="shared" si="25"/>
        <v>824</v>
      </c>
      <c r="B825" s="54" t="s">
        <v>2474</v>
      </c>
      <c r="C825" s="55" t="s">
        <v>2475</v>
      </c>
      <c r="D825" s="54" t="s">
        <v>1963</v>
      </c>
      <c r="E825" s="56">
        <v>0</v>
      </c>
      <c r="F825" s="57" t="s">
        <v>792</v>
      </c>
      <c r="G825" s="58">
        <v>0</v>
      </c>
      <c r="H825" s="59">
        <v>623</v>
      </c>
      <c r="I825" s="59">
        <f t="shared" si="24"/>
        <v>0</v>
      </c>
    </row>
    <row r="826" spans="1:9" customFormat="1" x14ac:dyDescent="0.35">
      <c r="A826" s="63">
        <f t="shared" si="25"/>
        <v>825</v>
      </c>
      <c r="B826" s="54" t="s">
        <v>2476</v>
      </c>
      <c r="C826" s="55" t="s">
        <v>2477</v>
      </c>
      <c r="D826" s="54" t="s">
        <v>1963</v>
      </c>
      <c r="E826" s="56">
        <v>0</v>
      </c>
      <c r="F826" s="57" t="s">
        <v>977</v>
      </c>
      <c r="G826" s="58">
        <v>9500</v>
      </c>
      <c r="H826" s="59">
        <v>12500</v>
      </c>
      <c r="I826" s="59">
        <f t="shared" si="24"/>
        <v>0</v>
      </c>
    </row>
    <row r="827" spans="1:9" customFormat="1" x14ac:dyDescent="0.35">
      <c r="A827" s="63">
        <f t="shared" si="25"/>
        <v>826</v>
      </c>
      <c r="B827" s="54" t="s">
        <v>2478</v>
      </c>
      <c r="C827" s="55" t="s">
        <v>2479</v>
      </c>
      <c r="D827" s="54" t="s">
        <v>1963</v>
      </c>
      <c r="E827" s="56">
        <v>0</v>
      </c>
      <c r="F827" s="57" t="s">
        <v>792</v>
      </c>
      <c r="G827" s="58">
        <v>9660</v>
      </c>
      <c r="H827" s="59">
        <v>96000</v>
      </c>
      <c r="I827" s="59">
        <f t="shared" si="24"/>
        <v>0</v>
      </c>
    </row>
    <row r="828" spans="1:9" customFormat="1" x14ac:dyDescent="0.35">
      <c r="A828" s="63">
        <f t="shared" si="25"/>
        <v>827</v>
      </c>
      <c r="B828" s="54" t="s">
        <v>2480</v>
      </c>
      <c r="C828" s="55" t="s">
        <v>2481</v>
      </c>
      <c r="D828" s="54" t="s">
        <v>1963</v>
      </c>
      <c r="E828" s="56">
        <v>0</v>
      </c>
      <c r="F828" s="57" t="s">
        <v>1552</v>
      </c>
      <c r="G828" s="58">
        <v>65000</v>
      </c>
      <c r="H828" s="59">
        <v>51264</v>
      </c>
      <c r="I828" s="59">
        <f t="shared" si="24"/>
        <v>0</v>
      </c>
    </row>
    <row r="829" spans="1:9" customFormat="1" x14ac:dyDescent="0.35">
      <c r="A829" s="63">
        <f t="shared" si="25"/>
        <v>828</v>
      </c>
      <c r="B829" s="54" t="s">
        <v>2482</v>
      </c>
      <c r="C829" s="55" t="s">
        <v>2483</v>
      </c>
      <c r="D829" s="54" t="s">
        <v>1963</v>
      </c>
      <c r="E829" s="56">
        <v>0</v>
      </c>
      <c r="F829" s="57" t="s">
        <v>792</v>
      </c>
      <c r="G829" s="58">
        <v>11000</v>
      </c>
      <c r="H829" s="59">
        <v>18088</v>
      </c>
      <c r="I829" s="59">
        <f t="shared" si="24"/>
        <v>0</v>
      </c>
    </row>
    <row r="830" spans="1:9" customFormat="1" ht="23" x14ac:dyDescent="0.35">
      <c r="A830" s="63">
        <f t="shared" si="25"/>
        <v>829</v>
      </c>
      <c r="B830" s="54" t="s">
        <v>2484</v>
      </c>
      <c r="C830" s="55" t="s">
        <v>2485</v>
      </c>
      <c r="D830" s="54" t="s">
        <v>1963</v>
      </c>
      <c r="E830" s="92">
        <v>48</v>
      </c>
      <c r="F830" s="57" t="s">
        <v>815</v>
      </c>
      <c r="G830" s="58">
        <v>65455</v>
      </c>
      <c r="H830" s="59">
        <v>97679</v>
      </c>
      <c r="I830" s="59">
        <f t="shared" si="24"/>
        <v>4688592</v>
      </c>
    </row>
    <row r="831" spans="1:9" customFormat="1" ht="23" x14ac:dyDescent="0.35">
      <c r="A831" s="63">
        <f t="shared" si="25"/>
        <v>830</v>
      </c>
      <c r="B831" s="54" t="s">
        <v>2486</v>
      </c>
      <c r="C831" s="55" t="s">
        <v>2487</v>
      </c>
      <c r="D831" s="54" t="s">
        <v>1963</v>
      </c>
      <c r="E831" s="92">
        <v>1</v>
      </c>
      <c r="F831" s="57" t="s">
        <v>792</v>
      </c>
      <c r="G831" s="58">
        <v>177000</v>
      </c>
      <c r="H831" s="59">
        <v>177000</v>
      </c>
      <c r="I831" s="59">
        <f t="shared" si="24"/>
        <v>177000</v>
      </c>
    </row>
    <row r="832" spans="1:9" customFormat="1" x14ac:dyDescent="0.35">
      <c r="A832" s="63">
        <f t="shared" si="25"/>
        <v>831</v>
      </c>
      <c r="B832" s="54" t="s">
        <v>2488</v>
      </c>
      <c r="C832" s="55" t="s">
        <v>2489</v>
      </c>
      <c r="D832" s="54" t="s">
        <v>1963</v>
      </c>
      <c r="E832" s="92">
        <v>1</v>
      </c>
      <c r="F832" s="57" t="s">
        <v>792</v>
      </c>
      <c r="G832" s="58">
        <v>112500</v>
      </c>
      <c r="H832" s="59">
        <v>112500</v>
      </c>
      <c r="I832" s="59">
        <f t="shared" si="24"/>
        <v>112500</v>
      </c>
    </row>
    <row r="833" spans="1:9" customFormat="1" ht="23" x14ac:dyDescent="0.35">
      <c r="A833" s="63">
        <f t="shared" si="25"/>
        <v>832</v>
      </c>
      <c r="B833" s="54" t="s">
        <v>2490</v>
      </c>
      <c r="C833" s="55" t="s">
        <v>2491</v>
      </c>
      <c r="D833" s="54" t="s">
        <v>1963</v>
      </c>
      <c r="E833" s="92">
        <v>2</v>
      </c>
      <c r="F833" s="57" t="s">
        <v>792</v>
      </c>
      <c r="G833" s="58">
        <v>7881</v>
      </c>
      <c r="H833" s="59">
        <v>13340</v>
      </c>
      <c r="I833" s="59">
        <f t="shared" si="24"/>
        <v>26680</v>
      </c>
    </row>
    <row r="834" spans="1:9" customFormat="1" ht="23" x14ac:dyDescent="0.35">
      <c r="A834" s="63">
        <f t="shared" si="25"/>
        <v>833</v>
      </c>
      <c r="B834" s="54" t="s">
        <v>2492</v>
      </c>
      <c r="C834" s="55" t="s">
        <v>2493</v>
      </c>
      <c r="D834" s="54" t="s">
        <v>1963</v>
      </c>
      <c r="E834" s="92">
        <v>2000</v>
      </c>
      <c r="F834" s="57" t="s">
        <v>792</v>
      </c>
      <c r="G834" s="58">
        <v>1270</v>
      </c>
      <c r="H834" s="59">
        <v>1750</v>
      </c>
      <c r="I834" s="59">
        <f t="shared" si="24"/>
        <v>3500000</v>
      </c>
    </row>
    <row r="835" spans="1:9" customFormat="1" ht="23" x14ac:dyDescent="0.35">
      <c r="A835" s="63">
        <f t="shared" si="25"/>
        <v>834</v>
      </c>
      <c r="B835" s="54" t="s">
        <v>2494</v>
      </c>
      <c r="C835" s="55" t="s">
        <v>2495</v>
      </c>
      <c r="D835" s="54" t="s">
        <v>1963</v>
      </c>
      <c r="E835" s="92">
        <v>100</v>
      </c>
      <c r="F835" s="57" t="s">
        <v>792</v>
      </c>
      <c r="G835" s="58">
        <v>0</v>
      </c>
      <c r="H835" s="59">
        <v>8640</v>
      </c>
      <c r="I835" s="59">
        <f t="shared" ref="I835:I898" si="26">H835*E835</f>
        <v>864000</v>
      </c>
    </row>
    <row r="836" spans="1:9" customFormat="1" ht="23" x14ac:dyDescent="0.35">
      <c r="A836" s="63">
        <f t="shared" ref="A836:A899" si="27">A835+1</f>
        <v>835</v>
      </c>
      <c r="B836" s="54" t="s">
        <v>2496</v>
      </c>
      <c r="C836" s="55" t="s">
        <v>2497</v>
      </c>
      <c r="D836" s="54" t="s">
        <v>1963</v>
      </c>
      <c r="E836" s="92">
        <v>1000</v>
      </c>
      <c r="F836" s="57" t="s">
        <v>792</v>
      </c>
      <c r="G836" s="58">
        <v>2100</v>
      </c>
      <c r="H836" s="59">
        <v>2000</v>
      </c>
      <c r="I836" s="59">
        <f t="shared" si="26"/>
        <v>2000000</v>
      </c>
    </row>
    <row r="837" spans="1:9" customFormat="1" ht="23" x14ac:dyDescent="0.35">
      <c r="A837" s="63">
        <f t="shared" si="27"/>
        <v>836</v>
      </c>
      <c r="B837" s="54" t="s">
        <v>2498</v>
      </c>
      <c r="C837" s="55" t="s">
        <v>2499</v>
      </c>
      <c r="D837" s="54" t="s">
        <v>1963</v>
      </c>
      <c r="E837" s="92">
        <v>78</v>
      </c>
      <c r="F837" s="57" t="s">
        <v>792</v>
      </c>
      <c r="G837" s="58">
        <v>1700</v>
      </c>
      <c r="H837" s="59">
        <v>3000</v>
      </c>
      <c r="I837" s="59">
        <f t="shared" si="26"/>
        <v>234000</v>
      </c>
    </row>
    <row r="838" spans="1:9" customFormat="1" ht="23" x14ac:dyDescent="0.35">
      <c r="A838" s="63">
        <f t="shared" si="27"/>
        <v>837</v>
      </c>
      <c r="B838" s="54" t="s">
        <v>2500</v>
      </c>
      <c r="C838" s="55" t="s">
        <v>2501</v>
      </c>
      <c r="D838" s="54" t="s">
        <v>1963</v>
      </c>
      <c r="E838" s="92">
        <v>21</v>
      </c>
      <c r="F838" s="57" t="s">
        <v>792</v>
      </c>
      <c r="G838" s="58">
        <v>1936</v>
      </c>
      <c r="H838" s="59">
        <v>3760</v>
      </c>
      <c r="I838" s="59">
        <f t="shared" si="26"/>
        <v>78960</v>
      </c>
    </row>
    <row r="839" spans="1:9" customFormat="1" ht="23" x14ac:dyDescent="0.35">
      <c r="A839" s="63">
        <f t="shared" si="27"/>
        <v>838</v>
      </c>
      <c r="B839" s="54" t="s">
        <v>2502</v>
      </c>
      <c r="C839" s="55" t="s">
        <v>2503</v>
      </c>
      <c r="D839" s="54" t="s">
        <v>1963</v>
      </c>
      <c r="E839" s="92">
        <v>72</v>
      </c>
      <c r="F839" s="57" t="s">
        <v>792</v>
      </c>
      <c r="G839" s="58">
        <v>1733</v>
      </c>
      <c r="H839" s="59">
        <v>2000</v>
      </c>
      <c r="I839" s="59">
        <f t="shared" si="26"/>
        <v>144000</v>
      </c>
    </row>
    <row r="840" spans="1:9" customFormat="1" ht="23" x14ac:dyDescent="0.35">
      <c r="A840" s="63">
        <f t="shared" si="27"/>
        <v>839</v>
      </c>
      <c r="B840" s="54" t="s">
        <v>2504</v>
      </c>
      <c r="C840" s="55" t="s">
        <v>2505</v>
      </c>
      <c r="D840" s="54" t="s">
        <v>1963</v>
      </c>
      <c r="E840" s="92">
        <v>30</v>
      </c>
      <c r="F840" s="57" t="s">
        <v>792</v>
      </c>
      <c r="G840" s="58">
        <v>4400</v>
      </c>
      <c r="H840" s="59">
        <v>7200</v>
      </c>
      <c r="I840" s="59">
        <f t="shared" si="26"/>
        <v>216000</v>
      </c>
    </row>
    <row r="841" spans="1:9" customFormat="1" ht="23" x14ac:dyDescent="0.35">
      <c r="A841" s="63">
        <f t="shared" si="27"/>
        <v>840</v>
      </c>
      <c r="B841" s="54" t="s">
        <v>2506</v>
      </c>
      <c r="C841" s="55" t="s">
        <v>2507</v>
      </c>
      <c r="D841" s="54" t="s">
        <v>1963</v>
      </c>
      <c r="E841" s="92">
        <v>32</v>
      </c>
      <c r="F841" s="57" t="s">
        <v>792</v>
      </c>
      <c r="G841" s="58">
        <v>8469</v>
      </c>
      <c r="H841" s="59">
        <v>8469</v>
      </c>
      <c r="I841" s="59">
        <f t="shared" si="26"/>
        <v>271008</v>
      </c>
    </row>
    <row r="842" spans="1:9" customFormat="1" ht="23" x14ac:dyDescent="0.35">
      <c r="A842" s="63">
        <f t="shared" si="27"/>
        <v>841</v>
      </c>
      <c r="B842" s="54" t="s">
        <v>2508</v>
      </c>
      <c r="C842" s="55" t="s">
        <v>2509</v>
      </c>
      <c r="D842" s="54" t="s">
        <v>1963</v>
      </c>
      <c r="E842" s="92">
        <v>30</v>
      </c>
      <c r="F842" s="57" t="s">
        <v>792</v>
      </c>
      <c r="G842" s="58">
        <v>0</v>
      </c>
      <c r="H842" s="59">
        <v>11000</v>
      </c>
      <c r="I842" s="59">
        <f t="shared" si="26"/>
        <v>330000</v>
      </c>
    </row>
    <row r="843" spans="1:9" customFormat="1" ht="23" x14ac:dyDescent="0.35">
      <c r="A843" s="63">
        <f t="shared" si="27"/>
        <v>842</v>
      </c>
      <c r="B843" s="54" t="s">
        <v>2510</v>
      </c>
      <c r="C843" s="55" t="s">
        <v>2511</v>
      </c>
      <c r="D843" s="54" t="s">
        <v>1963</v>
      </c>
      <c r="E843" s="92">
        <v>3300</v>
      </c>
      <c r="F843" s="57" t="s">
        <v>792</v>
      </c>
      <c r="G843" s="58">
        <v>163</v>
      </c>
      <c r="H843" s="59">
        <v>247</v>
      </c>
      <c r="I843" s="59">
        <f t="shared" si="26"/>
        <v>815100</v>
      </c>
    </row>
    <row r="844" spans="1:9" customFormat="1" ht="23" x14ac:dyDescent="0.35">
      <c r="A844" s="63">
        <f t="shared" si="27"/>
        <v>843</v>
      </c>
      <c r="B844" s="54" t="s">
        <v>2512</v>
      </c>
      <c r="C844" s="55" t="s">
        <v>2513</v>
      </c>
      <c r="D844" s="54" t="s">
        <v>1963</v>
      </c>
      <c r="E844" s="92">
        <v>300</v>
      </c>
      <c r="F844" s="57" t="s">
        <v>792</v>
      </c>
      <c r="G844" s="58">
        <v>199</v>
      </c>
      <c r="H844" s="59">
        <v>850</v>
      </c>
      <c r="I844" s="59">
        <f t="shared" si="26"/>
        <v>255000</v>
      </c>
    </row>
    <row r="845" spans="1:9" customFormat="1" ht="23" x14ac:dyDescent="0.35">
      <c r="A845" s="63">
        <f t="shared" si="27"/>
        <v>844</v>
      </c>
      <c r="B845" s="54" t="s">
        <v>2514</v>
      </c>
      <c r="C845" s="55" t="s">
        <v>2515</v>
      </c>
      <c r="D845" s="54" t="s">
        <v>1963</v>
      </c>
      <c r="E845" s="92">
        <v>2200</v>
      </c>
      <c r="F845" s="57" t="s">
        <v>792</v>
      </c>
      <c r="G845" s="58">
        <v>451</v>
      </c>
      <c r="H845" s="59">
        <v>500</v>
      </c>
      <c r="I845" s="59">
        <f t="shared" si="26"/>
        <v>1100000</v>
      </c>
    </row>
    <row r="846" spans="1:9" customFormat="1" ht="23" x14ac:dyDescent="0.35">
      <c r="A846" s="63">
        <f t="shared" si="27"/>
        <v>845</v>
      </c>
      <c r="B846" s="54" t="s">
        <v>2516</v>
      </c>
      <c r="C846" s="55" t="s">
        <v>2517</v>
      </c>
      <c r="D846" s="54" t="s">
        <v>1963</v>
      </c>
      <c r="E846" s="92">
        <v>3000</v>
      </c>
      <c r="F846" s="57" t="s">
        <v>792</v>
      </c>
      <c r="G846" s="58">
        <v>200</v>
      </c>
      <c r="H846" s="59">
        <v>360</v>
      </c>
      <c r="I846" s="59">
        <f t="shared" si="26"/>
        <v>1080000</v>
      </c>
    </row>
    <row r="847" spans="1:9" customFormat="1" ht="23" x14ac:dyDescent="0.35">
      <c r="A847" s="63">
        <f t="shared" si="27"/>
        <v>846</v>
      </c>
      <c r="B847" s="54" t="s">
        <v>2518</v>
      </c>
      <c r="C847" s="55" t="s">
        <v>2519</v>
      </c>
      <c r="D847" s="54" t="s">
        <v>1963</v>
      </c>
      <c r="E847" s="92">
        <v>3000</v>
      </c>
      <c r="F847" s="57" t="s">
        <v>792</v>
      </c>
      <c r="G847" s="58">
        <v>81</v>
      </c>
      <c r="H847" s="59">
        <v>150</v>
      </c>
      <c r="I847" s="59">
        <f t="shared" si="26"/>
        <v>450000</v>
      </c>
    </row>
    <row r="848" spans="1:9" customFormat="1" x14ac:dyDescent="0.35">
      <c r="A848" s="63">
        <f t="shared" si="27"/>
        <v>847</v>
      </c>
      <c r="B848" s="54" t="s">
        <v>2520</v>
      </c>
      <c r="C848" s="55" t="s">
        <v>2521</v>
      </c>
      <c r="D848" s="54" t="s">
        <v>1963</v>
      </c>
      <c r="E848" s="92">
        <v>1000</v>
      </c>
      <c r="F848" s="57" t="s">
        <v>792</v>
      </c>
      <c r="G848" s="58">
        <v>405</v>
      </c>
      <c r="H848" s="59">
        <v>405</v>
      </c>
      <c r="I848" s="59">
        <f t="shared" si="26"/>
        <v>405000</v>
      </c>
    </row>
    <row r="849" spans="1:9" customFormat="1" ht="23" x14ac:dyDescent="0.35">
      <c r="A849" s="63">
        <f t="shared" si="27"/>
        <v>848</v>
      </c>
      <c r="B849" s="54" t="s">
        <v>2522</v>
      </c>
      <c r="C849" s="55" t="s">
        <v>2523</v>
      </c>
      <c r="D849" s="54" t="s">
        <v>1963</v>
      </c>
      <c r="E849" s="92">
        <v>4500</v>
      </c>
      <c r="F849" s="57" t="s">
        <v>792</v>
      </c>
      <c r="G849" s="58">
        <v>39</v>
      </c>
      <c r="H849" s="59">
        <v>149</v>
      </c>
      <c r="I849" s="59">
        <f t="shared" si="26"/>
        <v>670500</v>
      </c>
    </row>
    <row r="850" spans="1:9" customFormat="1" ht="23" x14ac:dyDescent="0.35">
      <c r="A850" s="63">
        <f t="shared" si="27"/>
        <v>849</v>
      </c>
      <c r="B850" s="54" t="s">
        <v>2524</v>
      </c>
      <c r="C850" s="55" t="s">
        <v>2525</v>
      </c>
      <c r="D850" s="54" t="s">
        <v>1963</v>
      </c>
      <c r="E850" s="92">
        <v>4500</v>
      </c>
      <c r="F850" s="57" t="s">
        <v>792</v>
      </c>
      <c r="G850" s="58">
        <v>229</v>
      </c>
      <c r="H850" s="59">
        <v>388</v>
      </c>
      <c r="I850" s="59">
        <f t="shared" si="26"/>
        <v>1746000</v>
      </c>
    </row>
    <row r="851" spans="1:9" customFormat="1" ht="23" x14ac:dyDescent="0.35">
      <c r="A851" s="63">
        <f t="shared" si="27"/>
        <v>850</v>
      </c>
      <c r="B851" s="54" t="s">
        <v>2526</v>
      </c>
      <c r="C851" s="55" t="s">
        <v>2527</v>
      </c>
      <c r="D851" s="54" t="s">
        <v>1963</v>
      </c>
      <c r="E851" s="92">
        <v>1300</v>
      </c>
      <c r="F851" s="57" t="s">
        <v>792</v>
      </c>
      <c r="G851" s="58">
        <v>250</v>
      </c>
      <c r="H851" s="59">
        <v>384</v>
      </c>
      <c r="I851" s="59">
        <f t="shared" si="26"/>
        <v>499200</v>
      </c>
    </row>
    <row r="852" spans="1:9" customFormat="1" x14ac:dyDescent="0.35">
      <c r="A852" s="63">
        <f t="shared" si="27"/>
        <v>851</v>
      </c>
      <c r="B852" s="54" t="s">
        <v>2528</v>
      </c>
      <c r="C852" s="55" t="s">
        <v>2529</v>
      </c>
      <c r="D852" s="54" t="s">
        <v>1963</v>
      </c>
      <c r="E852" s="92">
        <v>13000</v>
      </c>
      <c r="F852" s="57" t="s">
        <v>792</v>
      </c>
      <c r="G852" s="58">
        <v>250</v>
      </c>
      <c r="H852" s="59">
        <v>247</v>
      </c>
      <c r="I852" s="59">
        <f t="shared" si="26"/>
        <v>3211000</v>
      </c>
    </row>
    <row r="853" spans="1:9" customFormat="1" ht="23" x14ac:dyDescent="0.35">
      <c r="A853" s="63">
        <f t="shared" si="27"/>
        <v>852</v>
      </c>
      <c r="B853" s="54" t="s">
        <v>2530</v>
      </c>
      <c r="C853" s="55" t="s">
        <v>2531</v>
      </c>
      <c r="D853" s="54" t="s">
        <v>1963</v>
      </c>
      <c r="E853" s="92">
        <v>2000</v>
      </c>
      <c r="F853" s="57" t="s">
        <v>792</v>
      </c>
      <c r="G853" s="58">
        <v>410</v>
      </c>
      <c r="H853" s="59">
        <v>1113</v>
      </c>
      <c r="I853" s="59">
        <f t="shared" si="26"/>
        <v>2226000</v>
      </c>
    </row>
    <row r="854" spans="1:9" customFormat="1" ht="23" x14ac:dyDescent="0.35">
      <c r="A854" s="63">
        <f t="shared" si="27"/>
        <v>853</v>
      </c>
      <c r="B854" s="54" t="s">
        <v>2532</v>
      </c>
      <c r="C854" s="55" t="s">
        <v>2533</v>
      </c>
      <c r="D854" s="54" t="s">
        <v>1963</v>
      </c>
      <c r="E854" s="92">
        <v>5000</v>
      </c>
      <c r="F854" s="57" t="s">
        <v>792</v>
      </c>
      <c r="G854" s="58">
        <v>80</v>
      </c>
      <c r="H854" s="59">
        <v>148</v>
      </c>
      <c r="I854" s="59">
        <f t="shared" si="26"/>
        <v>740000</v>
      </c>
    </row>
    <row r="855" spans="1:9" customFormat="1" ht="23" x14ac:dyDescent="0.35">
      <c r="A855" s="63">
        <f t="shared" si="27"/>
        <v>854</v>
      </c>
      <c r="B855" s="54" t="s">
        <v>2534</v>
      </c>
      <c r="C855" s="55" t="s">
        <v>2535</v>
      </c>
      <c r="D855" s="54" t="s">
        <v>1963</v>
      </c>
      <c r="E855" s="92">
        <v>9300</v>
      </c>
      <c r="F855" s="57" t="s">
        <v>792</v>
      </c>
      <c r="G855" s="58">
        <v>450</v>
      </c>
      <c r="H855" s="59">
        <v>579</v>
      </c>
      <c r="I855" s="59">
        <f t="shared" si="26"/>
        <v>5384700</v>
      </c>
    </row>
    <row r="856" spans="1:9" customFormat="1" ht="23" x14ac:dyDescent="0.35">
      <c r="A856" s="63">
        <f t="shared" si="27"/>
        <v>855</v>
      </c>
      <c r="B856" s="54" t="s">
        <v>2536</v>
      </c>
      <c r="C856" s="55" t="s">
        <v>2537</v>
      </c>
      <c r="D856" s="54" t="s">
        <v>1963</v>
      </c>
      <c r="E856" s="92">
        <v>1000</v>
      </c>
      <c r="F856" s="57" t="s">
        <v>792</v>
      </c>
      <c r="G856" s="58">
        <v>165</v>
      </c>
      <c r="H856" s="59">
        <v>300</v>
      </c>
      <c r="I856" s="59">
        <f t="shared" si="26"/>
        <v>300000</v>
      </c>
    </row>
    <row r="857" spans="1:9" customFormat="1" x14ac:dyDescent="0.35">
      <c r="A857" s="63">
        <f t="shared" si="27"/>
        <v>856</v>
      </c>
      <c r="B857" s="54" t="s">
        <v>2538</v>
      </c>
      <c r="C857" s="55" t="s">
        <v>2539</v>
      </c>
      <c r="D857" s="54" t="s">
        <v>1963</v>
      </c>
      <c r="E857" s="92">
        <v>3500</v>
      </c>
      <c r="F857" s="57" t="s">
        <v>792</v>
      </c>
      <c r="G857" s="58">
        <v>440</v>
      </c>
      <c r="H857" s="59">
        <v>500</v>
      </c>
      <c r="I857" s="59">
        <f t="shared" si="26"/>
        <v>1750000</v>
      </c>
    </row>
    <row r="858" spans="1:9" customFormat="1" ht="23" x14ac:dyDescent="0.35">
      <c r="A858" s="63">
        <f t="shared" si="27"/>
        <v>857</v>
      </c>
      <c r="B858" s="54" t="s">
        <v>2540</v>
      </c>
      <c r="C858" s="55" t="s">
        <v>2541</v>
      </c>
      <c r="D858" s="54" t="s">
        <v>1963</v>
      </c>
      <c r="E858" s="92">
        <v>6000</v>
      </c>
      <c r="F858" s="57" t="s">
        <v>792</v>
      </c>
      <c r="G858" s="58">
        <v>189</v>
      </c>
      <c r="H858" s="59">
        <v>297</v>
      </c>
      <c r="I858" s="59">
        <f t="shared" si="26"/>
        <v>1782000</v>
      </c>
    </row>
    <row r="859" spans="1:9" customFormat="1" x14ac:dyDescent="0.35">
      <c r="A859" s="63">
        <f t="shared" si="27"/>
        <v>858</v>
      </c>
      <c r="B859" s="54" t="s">
        <v>2542</v>
      </c>
      <c r="C859" s="55" t="s">
        <v>2543</v>
      </c>
      <c r="D859" s="54" t="s">
        <v>1963</v>
      </c>
      <c r="E859" s="92">
        <v>100</v>
      </c>
      <c r="F859" s="57" t="s">
        <v>792</v>
      </c>
      <c r="G859" s="58">
        <v>1200</v>
      </c>
      <c r="H859" s="59">
        <v>1527</v>
      </c>
      <c r="I859" s="59">
        <f t="shared" si="26"/>
        <v>152700</v>
      </c>
    </row>
    <row r="860" spans="1:9" customFormat="1" ht="23" x14ac:dyDescent="0.35">
      <c r="A860" s="63">
        <f t="shared" si="27"/>
        <v>859</v>
      </c>
      <c r="B860" s="54" t="s">
        <v>2544</v>
      </c>
      <c r="C860" s="55" t="s">
        <v>2545</v>
      </c>
      <c r="D860" s="54" t="s">
        <v>1963</v>
      </c>
      <c r="E860" s="92">
        <v>6000</v>
      </c>
      <c r="F860" s="57" t="s">
        <v>792</v>
      </c>
      <c r="G860" s="58">
        <v>160</v>
      </c>
      <c r="H860" s="59">
        <v>238</v>
      </c>
      <c r="I860" s="59">
        <f t="shared" si="26"/>
        <v>1428000</v>
      </c>
    </row>
    <row r="861" spans="1:9" customFormat="1" ht="23" x14ac:dyDescent="0.35">
      <c r="A861" s="63">
        <f t="shared" si="27"/>
        <v>860</v>
      </c>
      <c r="B861" s="54" t="s">
        <v>2546</v>
      </c>
      <c r="C861" s="55" t="s">
        <v>2547</v>
      </c>
      <c r="D861" s="54" t="s">
        <v>1963</v>
      </c>
      <c r="E861" s="92">
        <v>3500</v>
      </c>
      <c r="F861" s="57" t="s">
        <v>792</v>
      </c>
      <c r="G861" s="58">
        <v>155</v>
      </c>
      <c r="H861" s="59">
        <v>475</v>
      </c>
      <c r="I861" s="59">
        <f t="shared" si="26"/>
        <v>1662500</v>
      </c>
    </row>
    <row r="862" spans="1:9" customFormat="1" x14ac:dyDescent="0.35">
      <c r="A862" s="63">
        <f t="shared" si="27"/>
        <v>861</v>
      </c>
      <c r="B862" s="54" t="s">
        <v>2548</v>
      </c>
      <c r="C862" s="55" t="s">
        <v>2549</v>
      </c>
      <c r="D862" s="54" t="s">
        <v>1963</v>
      </c>
      <c r="E862" s="92">
        <v>5000</v>
      </c>
      <c r="F862" s="57" t="s">
        <v>792</v>
      </c>
      <c r="G862" s="58">
        <v>175</v>
      </c>
      <c r="H862" s="59">
        <v>175</v>
      </c>
      <c r="I862" s="59">
        <f t="shared" si="26"/>
        <v>875000</v>
      </c>
    </row>
    <row r="863" spans="1:9" customFormat="1" ht="23" x14ac:dyDescent="0.35">
      <c r="A863" s="63">
        <f t="shared" si="27"/>
        <v>862</v>
      </c>
      <c r="B863" s="54" t="s">
        <v>2550</v>
      </c>
      <c r="C863" s="55" t="s">
        <v>2551</v>
      </c>
      <c r="D863" s="54" t="s">
        <v>1963</v>
      </c>
      <c r="E863" s="92">
        <v>2000</v>
      </c>
      <c r="F863" s="57" t="s">
        <v>792</v>
      </c>
      <c r="G863" s="58">
        <v>390</v>
      </c>
      <c r="H863" s="59">
        <v>891</v>
      </c>
      <c r="I863" s="59">
        <f t="shared" si="26"/>
        <v>1782000</v>
      </c>
    </row>
    <row r="864" spans="1:9" customFormat="1" x14ac:dyDescent="0.35">
      <c r="A864" s="63">
        <f t="shared" si="27"/>
        <v>863</v>
      </c>
      <c r="B864" s="54" t="s">
        <v>2552</v>
      </c>
      <c r="C864" s="55" t="s">
        <v>2553</v>
      </c>
      <c r="D864" s="54" t="s">
        <v>1963</v>
      </c>
      <c r="E864" s="56">
        <v>0</v>
      </c>
      <c r="F864" s="57" t="s">
        <v>792</v>
      </c>
      <c r="G864" s="58">
        <v>0</v>
      </c>
      <c r="H864" s="59">
        <v>4829</v>
      </c>
      <c r="I864" s="59">
        <f t="shared" si="26"/>
        <v>0</v>
      </c>
    </row>
    <row r="865" spans="1:9" customFormat="1" x14ac:dyDescent="0.35">
      <c r="A865" s="63">
        <f t="shared" si="27"/>
        <v>864</v>
      </c>
      <c r="B865" s="54" t="s">
        <v>2554</v>
      </c>
      <c r="C865" s="55" t="s">
        <v>2555</v>
      </c>
      <c r="D865" s="54" t="s">
        <v>1963</v>
      </c>
      <c r="E865" s="56">
        <v>0</v>
      </c>
      <c r="F865" s="57" t="s">
        <v>792</v>
      </c>
      <c r="G865" s="58">
        <v>0</v>
      </c>
      <c r="H865" s="59">
        <v>6218</v>
      </c>
      <c r="I865" s="59">
        <f t="shared" si="26"/>
        <v>0</v>
      </c>
    </row>
    <row r="866" spans="1:9" customFormat="1" x14ac:dyDescent="0.35">
      <c r="A866" s="63">
        <f t="shared" si="27"/>
        <v>865</v>
      </c>
      <c r="B866" s="54" t="s">
        <v>2556</v>
      </c>
      <c r="C866" s="55" t="s">
        <v>2557</v>
      </c>
      <c r="D866" s="54" t="s">
        <v>1963</v>
      </c>
      <c r="E866" s="92">
        <v>750</v>
      </c>
      <c r="F866" s="57" t="s">
        <v>792</v>
      </c>
      <c r="G866" s="58">
        <v>3780</v>
      </c>
      <c r="H866" s="59">
        <v>3780</v>
      </c>
      <c r="I866" s="59">
        <f t="shared" si="26"/>
        <v>2835000</v>
      </c>
    </row>
    <row r="867" spans="1:9" customFormat="1" x14ac:dyDescent="0.35">
      <c r="A867" s="63">
        <f t="shared" si="27"/>
        <v>866</v>
      </c>
      <c r="B867" s="54" t="s">
        <v>2558</v>
      </c>
      <c r="C867" s="55" t="s">
        <v>2559</v>
      </c>
      <c r="D867" s="54" t="s">
        <v>1963</v>
      </c>
      <c r="E867" s="92">
        <v>150</v>
      </c>
      <c r="F867" s="57" t="s">
        <v>792</v>
      </c>
      <c r="G867" s="58">
        <v>0</v>
      </c>
      <c r="H867" s="59">
        <v>3990</v>
      </c>
      <c r="I867" s="59">
        <f t="shared" si="26"/>
        <v>598500</v>
      </c>
    </row>
    <row r="868" spans="1:9" customFormat="1" ht="23" x14ac:dyDescent="0.35">
      <c r="A868" s="63">
        <f t="shared" si="27"/>
        <v>867</v>
      </c>
      <c r="B868" s="54" t="s">
        <v>2560</v>
      </c>
      <c r="C868" s="55" t="s">
        <v>2561</v>
      </c>
      <c r="D868" s="54" t="s">
        <v>1963</v>
      </c>
      <c r="E868" s="92">
        <v>500</v>
      </c>
      <c r="F868" s="57" t="s">
        <v>792</v>
      </c>
      <c r="G868" s="58">
        <v>2530</v>
      </c>
      <c r="H868" s="59">
        <v>3000</v>
      </c>
      <c r="I868" s="59">
        <f t="shared" si="26"/>
        <v>1500000</v>
      </c>
    </row>
    <row r="869" spans="1:9" customFormat="1" ht="23" x14ac:dyDescent="0.35">
      <c r="A869" s="63">
        <f t="shared" si="27"/>
        <v>868</v>
      </c>
      <c r="B869" s="54" t="s">
        <v>2562</v>
      </c>
      <c r="C869" s="55" t="s">
        <v>2563</v>
      </c>
      <c r="D869" s="54" t="s">
        <v>1963</v>
      </c>
      <c r="E869" s="92">
        <v>1500</v>
      </c>
      <c r="F869" s="57" t="s">
        <v>792</v>
      </c>
      <c r="G869" s="58">
        <v>3100</v>
      </c>
      <c r="H869" s="59">
        <v>4200</v>
      </c>
      <c r="I869" s="59">
        <f t="shared" si="26"/>
        <v>6300000</v>
      </c>
    </row>
    <row r="870" spans="1:9" customFormat="1" ht="23" x14ac:dyDescent="0.35">
      <c r="A870" s="63">
        <f t="shared" si="27"/>
        <v>869</v>
      </c>
      <c r="B870" s="54" t="s">
        <v>2564</v>
      </c>
      <c r="C870" s="55" t="s">
        <v>2565</v>
      </c>
      <c r="D870" s="54" t="s">
        <v>1963</v>
      </c>
      <c r="E870" s="92">
        <v>1000</v>
      </c>
      <c r="F870" s="57" t="s">
        <v>792</v>
      </c>
      <c r="G870" s="58">
        <v>3600</v>
      </c>
      <c r="H870" s="59">
        <v>5400</v>
      </c>
      <c r="I870" s="59">
        <f t="shared" si="26"/>
        <v>5400000</v>
      </c>
    </row>
    <row r="871" spans="1:9" customFormat="1" x14ac:dyDescent="0.35">
      <c r="A871" s="63">
        <f t="shared" si="27"/>
        <v>870</v>
      </c>
      <c r="B871" s="54" t="s">
        <v>2566</v>
      </c>
      <c r="C871" s="55" t="s">
        <v>2567</v>
      </c>
      <c r="D871" s="54" t="s">
        <v>1963</v>
      </c>
      <c r="E871" s="92">
        <v>94</v>
      </c>
      <c r="F871" s="57" t="s">
        <v>792</v>
      </c>
      <c r="G871" s="58">
        <v>0</v>
      </c>
      <c r="H871" s="59">
        <v>989</v>
      </c>
      <c r="I871" s="59">
        <f t="shared" si="26"/>
        <v>92966</v>
      </c>
    </row>
    <row r="872" spans="1:9" customFormat="1" ht="23" x14ac:dyDescent="0.35">
      <c r="A872" s="63">
        <f t="shared" si="27"/>
        <v>871</v>
      </c>
      <c r="B872" s="54" t="s">
        <v>2568</v>
      </c>
      <c r="C872" s="55" t="s">
        <v>2569</v>
      </c>
      <c r="D872" s="54" t="s">
        <v>1963</v>
      </c>
      <c r="E872" s="92">
        <v>700</v>
      </c>
      <c r="F872" s="57" t="s">
        <v>792</v>
      </c>
      <c r="G872" s="58">
        <v>2050</v>
      </c>
      <c r="H872" s="59">
        <v>8100</v>
      </c>
      <c r="I872" s="59">
        <f t="shared" si="26"/>
        <v>5670000</v>
      </c>
    </row>
    <row r="873" spans="1:9" customFormat="1" ht="23" x14ac:dyDescent="0.35">
      <c r="A873" s="63">
        <f t="shared" si="27"/>
        <v>872</v>
      </c>
      <c r="B873" s="54" t="s">
        <v>2570</v>
      </c>
      <c r="C873" s="55" t="s">
        <v>2571</v>
      </c>
      <c r="D873" s="54" t="s">
        <v>1963</v>
      </c>
      <c r="E873" s="92">
        <v>125</v>
      </c>
      <c r="F873" s="57" t="s">
        <v>792</v>
      </c>
      <c r="G873" s="58">
        <v>2240</v>
      </c>
      <c r="H873" s="59">
        <v>3000</v>
      </c>
      <c r="I873" s="59">
        <f t="shared" si="26"/>
        <v>375000</v>
      </c>
    </row>
    <row r="874" spans="1:9" customFormat="1" x14ac:dyDescent="0.35">
      <c r="A874" s="63">
        <f t="shared" si="27"/>
        <v>873</v>
      </c>
      <c r="B874" s="54" t="s">
        <v>2572</v>
      </c>
      <c r="C874" s="55" t="s">
        <v>2573</v>
      </c>
      <c r="D874" s="54" t="s">
        <v>1963</v>
      </c>
      <c r="E874" s="92">
        <v>300</v>
      </c>
      <c r="F874" s="57" t="s">
        <v>792</v>
      </c>
      <c r="G874" s="58">
        <v>560</v>
      </c>
      <c r="H874" s="59">
        <v>888</v>
      </c>
      <c r="I874" s="59">
        <f t="shared" si="26"/>
        <v>266400</v>
      </c>
    </row>
    <row r="875" spans="1:9" customFormat="1" ht="23" x14ac:dyDescent="0.35">
      <c r="A875" s="63">
        <f t="shared" si="27"/>
        <v>874</v>
      </c>
      <c r="B875" s="54" t="s">
        <v>2574</v>
      </c>
      <c r="C875" s="55" t="s">
        <v>2575</v>
      </c>
      <c r="D875" s="54" t="s">
        <v>1963</v>
      </c>
      <c r="E875" s="92">
        <v>1200</v>
      </c>
      <c r="F875" s="57" t="s">
        <v>792</v>
      </c>
      <c r="G875" s="58">
        <v>3200</v>
      </c>
      <c r="H875" s="59">
        <v>6100</v>
      </c>
      <c r="I875" s="59">
        <f t="shared" si="26"/>
        <v>7320000</v>
      </c>
    </row>
    <row r="876" spans="1:9" customFormat="1" ht="23" x14ac:dyDescent="0.35">
      <c r="A876" s="63">
        <f t="shared" si="27"/>
        <v>875</v>
      </c>
      <c r="B876" s="54" t="s">
        <v>2576</v>
      </c>
      <c r="C876" s="55" t="s">
        <v>2577</v>
      </c>
      <c r="D876" s="54" t="s">
        <v>1963</v>
      </c>
      <c r="E876" s="92">
        <v>2500</v>
      </c>
      <c r="F876" s="57" t="s">
        <v>792</v>
      </c>
      <c r="G876" s="58">
        <v>570</v>
      </c>
      <c r="H876" s="59">
        <v>990</v>
      </c>
      <c r="I876" s="59">
        <f t="shared" si="26"/>
        <v>2475000</v>
      </c>
    </row>
    <row r="877" spans="1:9" customFormat="1" ht="23" x14ac:dyDescent="0.35">
      <c r="A877" s="63">
        <f t="shared" si="27"/>
        <v>876</v>
      </c>
      <c r="B877" s="54" t="s">
        <v>2578</v>
      </c>
      <c r="C877" s="55" t="s">
        <v>2579</v>
      </c>
      <c r="D877" s="54" t="s">
        <v>1963</v>
      </c>
      <c r="E877" s="92">
        <v>3400</v>
      </c>
      <c r="F877" s="57" t="s">
        <v>792</v>
      </c>
      <c r="G877" s="58">
        <v>980</v>
      </c>
      <c r="H877" s="59">
        <v>1344</v>
      </c>
      <c r="I877" s="59">
        <f t="shared" si="26"/>
        <v>4569600</v>
      </c>
    </row>
    <row r="878" spans="1:9" customFormat="1" ht="23" x14ac:dyDescent="0.35">
      <c r="A878" s="63">
        <f t="shared" si="27"/>
        <v>877</v>
      </c>
      <c r="B878" s="54" t="s">
        <v>2580</v>
      </c>
      <c r="C878" s="55" t="s">
        <v>2581</v>
      </c>
      <c r="D878" s="54" t="s">
        <v>1963</v>
      </c>
      <c r="E878" s="92">
        <v>2000</v>
      </c>
      <c r="F878" s="57" t="s">
        <v>792</v>
      </c>
      <c r="G878" s="58">
        <v>650</v>
      </c>
      <c r="H878" s="59">
        <v>1287</v>
      </c>
      <c r="I878" s="59">
        <f t="shared" si="26"/>
        <v>2574000</v>
      </c>
    </row>
    <row r="879" spans="1:9" customFormat="1" x14ac:dyDescent="0.35">
      <c r="A879" s="63">
        <f t="shared" si="27"/>
        <v>878</v>
      </c>
      <c r="B879" s="54" t="s">
        <v>2582</v>
      </c>
      <c r="C879" s="55" t="s">
        <v>2583</v>
      </c>
      <c r="D879" s="54" t="s">
        <v>1963</v>
      </c>
      <c r="E879" s="92">
        <v>2000</v>
      </c>
      <c r="F879" s="57" t="s">
        <v>792</v>
      </c>
      <c r="G879" s="58">
        <v>1050</v>
      </c>
      <c r="H879" s="59">
        <v>1485</v>
      </c>
      <c r="I879" s="59">
        <f t="shared" si="26"/>
        <v>2970000</v>
      </c>
    </row>
    <row r="880" spans="1:9" customFormat="1" ht="23" x14ac:dyDescent="0.35">
      <c r="A880" s="63">
        <f t="shared" si="27"/>
        <v>879</v>
      </c>
      <c r="B880" s="54" t="s">
        <v>2584</v>
      </c>
      <c r="C880" s="55" t="s">
        <v>2585</v>
      </c>
      <c r="D880" s="54" t="s">
        <v>1963</v>
      </c>
      <c r="E880" s="56">
        <v>0</v>
      </c>
      <c r="F880" s="57" t="s">
        <v>792</v>
      </c>
      <c r="G880" s="58">
        <v>0</v>
      </c>
      <c r="H880" s="59">
        <v>3230</v>
      </c>
      <c r="I880" s="59">
        <f t="shared" si="26"/>
        <v>0</v>
      </c>
    </row>
    <row r="881" spans="1:9" customFormat="1" ht="23" x14ac:dyDescent="0.35">
      <c r="A881" s="63">
        <f t="shared" si="27"/>
        <v>880</v>
      </c>
      <c r="B881" s="54" t="s">
        <v>2586</v>
      </c>
      <c r="C881" s="55" t="s">
        <v>2587</v>
      </c>
      <c r="D881" s="54" t="s">
        <v>1963</v>
      </c>
      <c r="E881" s="56">
        <v>0</v>
      </c>
      <c r="F881" s="57" t="s">
        <v>792</v>
      </c>
      <c r="G881" s="58">
        <v>0</v>
      </c>
      <c r="H881" s="59">
        <v>1085</v>
      </c>
      <c r="I881" s="59">
        <f t="shared" si="26"/>
        <v>0</v>
      </c>
    </row>
    <row r="882" spans="1:9" customFormat="1" x14ac:dyDescent="0.35">
      <c r="A882" s="63">
        <f t="shared" si="27"/>
        <v>881</v>
      </c>
      <c r="B882" s="54" t="s">
        <v>2588</v>
      </c>
      <c r="C882" s="55" t="s">
        <v>2589</v>
      </c>
      <c r="D882" s="54" t="s">
        <v>1963</v>
      </c>
      <c r="E882" s="92">
        <v>10</v>
      </c>
      <c r="F882" s="57" t="s">
        <v>792</v>
      </c>
      <c r="G882" s="58">
        <v>0</v>
      </c>
      <c r="H882" s="59">
        <v>3230</v>
      </c>
      <c r="I882" s="59">
        <f t="shared" si="26"/>
        <v>32300</v>
      </c>
    </row>
    <row r="883" spans="1:9" customFormat="1" ht="23" x14ac:dyDescent="0.35">
      <c r="A883" s="63">
        <f t="shared" si="27"/>
        <v>882</v>
      </c>
      <c r="B883" s="54" t="s">
        <v>2590</v>
      </c>
      <c r="C883" s="55" t="s">
        <v>2591</v>
      </c>
      <c r="D883" s="54" t="s">
        <v>1963</v>
      </c>
      <c r="E883" s="92">
        <v>1500</v>
      </c>
      <c r="F883" s="57" t="s">
        <v>792</v>
      </c>
      <c r="G883" s="58">
        <v>940</v>
      </c>
      <c r="H883" s="59">
        <v>1650</v>
      </c>
      <c r="I883" s="59">
        <f t="shared" si="26"/>
        <v>2475000</v>
      </c>
    </row>
    <row r="884" spans="1:9" customFormat="1" ht="23" x14ac:dyDescent="0.35">
      <c r="A884" s="63">
        <f t="shared" si="27"/>
        <v>883</v>
      </c>
      <c r="B884" s="54" t="s">
        <v>2592</v>
      </c>
      <c r="C884" s="55" t="s">
        <v>2593</v>
      </c>
      <c r="D884" s="54" t="s">
        <v>1963</v>
      </c>
      <c r="E884" s="92">
        <v>700</v>
      </c>
      <c r="F884" s="57" t="s">
        <v>792</v>
      </c>
      <c r="G884" s="58">
        <v>890</v>
      </c>
      <c r="H884" s="59">
        <v>891</v>
      </c>
      <c r="I884" s="59">
        <f t="shared" si="26"/>
        <v>623700</v>
      </c>
    </row>
    <row r="885" spans="1:9" customFormat="1" ht="23" x14ac:dyDescent="0.35">
      <c r="A885" s="63">
        <f t="shared" si="27"/>
        <v>884</v>
      </c>
      <c r="B885" s="54" t="s">
        <v>2594</v>
      </c>
      <c r="C885" s="55" t="s">
        <v>2595</v>
      </c>
      <c r="D885" s="54" t="s">
        <v>1963</v>
      </c>
      <c r="E885" s="92">
        <v>3000</v>
      </c>
      <c r="F885" s="57" t="s">
        <v>792</v>
      </c>
      <c r="G885" s="58">
        <v>1300</v>
      </c>
      <c r="H885" s="59">
        <v>1620</v>
      </c>
      <c r="I885" s="59">
        <f t="shared" si="26"/>
        <v>4860000</v>
      </c>
    </row>
    <row r="886" spans="1:9" customFormat="1" ht="23" x14ac:dyDescent="0.35">
      <c r="A886" s="63">
        <f t="shared" si="27"/>
        <v>885</v>
      </c>
      <c r="B886" s="54" t="s">
        <v>2596</v>
      </c>
      <c r="C886" s="55" t="s">
        <v>2597</v>
      </c>
      <c r="D886" s="54" t="s">
        <v>1963</v>
      </c>
      <c r="E886" s="92">
        <v>300</v>
      </c>
      <c r="F886" s="57" t="s">
        <v>792</v>
      </c>
      <c r="G886" s="58">
        <v>1270</v>
      </c>
      <c r="H886" s="59">
        <v>2228</v>
      </c>
      <c r="I886" s="59">
        <f t="shared" si="26"/>
        <v>668400</v>
      </c>
    </row>
    <row r="887" spans="1:9" customFormat="1" ht="23" x14ac:dyDescent="0.35">
      <c r="A887" s="63">
        <f t="shared" si="27"/>
        <v>886</v>
      </c>
      <c r="B887" s="54" t="s">
        <v>2598</v>
      </c>
      <c r="C887" s="55" t="s">
        <v>2599</v>
      </c>
      <c r="D887" s="54" t="s">
        <v>1963</v>
      </c>
      <c r="E887" s="56">
        <v>0</v>
      </c>
      <c r="F887" s="57" t="s">
        <v>792</v>
      </c>
      <c r="G887" s="58">
        <v>1227</v>
      </c>
      <c r="H887" s="59">
        <v>1227</v>
      </c>
      <c r="I887" s="59">
        <f t="shared" si="26"/>
        <v>0</v>
      </c>
    </row>
    <row r="888" spans="1:9" customFormat="1" ht="23" x14ac:dyDescent="0.35">
      <c r="A888" s="63">
        <f t="shared" si="27"/>
        <v>887</v>
      </c>
      <c r="B888" s="54" t="s">
        <v>2600</v>
      </c>
      <c r="C888" s="55" t="s">
        <v>2601</v>
      </c>
      <c r="D888" s="54" t="s">
        <v>1963</v>
      </c>
      <c r="E888" s="56">
        <v>0</v>
      </c>
      <c r="F888" s="57" t="s">
        <v>792</v>
      </c>
      <c r="G888" s="58">
        <v>0</v>
      </c>
      <c r="H888" s="59">
        <v>18392</v>
      </c>
      <c r="I888" s="59">
        <f t="shared" si="26"/>
        <v>0</v>
      </c>
    </row>
    <row r="889" spans="1:9" customFormat="1" ht="23" x14ac:dyDescent="0.35">
      <c r="A889" s="63">
        <f t="shared" si="27"/>
        <v>888</v>
      </c>
      <c r="B889" s="54" t="s">
        <v>2602</v>
      </c>
      <c r="C889" s="55" t="s">
        <v>2603</v>
      </c>
      <c r="D889" s="54" t="s">
        <v>1963</v>
      </c>
      <c r="E889" s="92">
        <v>1</v>
      </c>
      <c r="F889" s="57" t="s">
        <v>792</v>
      </c>
      <c r="G889" s="58">
        <v>185000</v>
      </c>
      <c r="H889" s="59">
        <v>195000</v>
      </c>
      <c r="I889" s="59">
        <f t="shared" si="26"/>
        <v>195000</v>
      </c>
    </row>
    <row r="890" spans="1:9" customFormat="1" ht="23" x14ac:dyDescent="0.35">
      <c r="A890" s="63">
        <f t="shared" si="27"/>
        <v>889</v>
      </c>
      <c r="B890" s="54" t="s">
        <v>2604</v>
      </c>
      <c r="C890" s="55" t="s">
        <v>2605</v>
      </c>
      <c r="D890" s="54" t="s">
        <v>1963</v>
      </c>
      <c r="E890" s="92">
        <v>7</v>
      </c>
      <c r="F890" s="57" t="s">
        <v>792</v>
      </c>
      <c r="G890" s="58">
        <v>328000</v>
      </c>
      <c r="H890" s="59">
        <v>328000</v>
      </c>
      <c r="I890" s="59">
        <f t="shared" si="26"/>
        <v>2296000</v>
      </c>
    </row>
    <row r="891" spans="1:9" customFormat="1" ht="23" x14ac:dyDescent="0.35">
      <c r="A891" s="63">
        <f t="shared" si="27"/>
        <v>890</v>
      </c>
      <c r="B891" s="54" t="s">
        <v>2606</v>
      </c>
      <c r="C891" s="55" t="s">
        <v>2607</v>
      </c>
      <c r="D891" s="54" t="s">
        <v>1963</v>
      </c>
      <c r="E891" s="92">
        <v>2</v>
      </c>
      <c r="F891" s="57" t="s">
        <v>792</v>
      </c>
      <c r="G891" s="58">
        <v>460000</v>
      </c>
      <c r="H891" s="59">
        <v>549990</v>
      </c>
      <c r="I891" s="59">
        <f t="shared" si="26"/>
        <v>1099980</v>
      </c>
    </row>
    <row r="892" spans="1:9" customFormat="1" ht="23" x14ac:dyDescent="0.35">
      <c r="A892" s="63">
        <f t="shared" si="27"/>
        <v>891</v>
      </c>
      <c r="B892" s="54" t="s">
        <v>2608</v>
      </c>
      <c r="C892" s="55" t="s">
        <v>2609</v>
      </c>
      <c r="D892" s="54" t="s">
        <v>1963</v>
      </c>
      <c r="E892" s="92">
        <v>2</v>
      </c>
      <c r="F892" s="57" t="s">
        <v>792</v>
      </c>
      <c r="G892" s="58">
        <v>400000</v>
      </c>
      <c r="H892" s="59">
        <v>428187</v>
      </c>
      <c r="I892" s="59">
        <f t="shared" si="26"/>
        <v>856374</v>
      </c>
    </row>
    <row r="893" spans="1:9" customFormat="1" x14ac:dyDescent="0.35">
      <c r="A893" s="63">
        <f t="shared" si="27"/>
        <v>892</v>
      </c>
      <c r="B893" s="54" t="s">
        <v>2610</v>
      </c>
      <c r="C893" s="55" t="s">
        <v>2611</v>
      </c>
      <c r="D893" s="54" t="s">
        <v>1963</v>
      </c>
      <c r="E893" s="92">
        <v>7</v>
      </c>
      <c r="F893" s="57" t="s">
        <v>792</v>
      </c>
      <c r="G893" s="58">
        <v>56950</v>
      </c>
      <c r="H893" s="59">
        <v>56950</v>
      </c>
      <c r="I893" s="59">
        <f t="shared" si="26"/>
        <v>398650</v>
      </c>
    </row>
    <row r="894" spans="1:9" customFormat="1" x14ac:dyDescent="0.35">
      <c r="A894" s="63">
        <f t="shared" si="27"/>
        <v>893</v>
      </c>
      <c r="B894" s="54" t="s">
        <v>2612</v>
      </c>
      <c r="C894" s="55" t="s">
        <v>2613</v>
      </c>
      <c r="D894" s="54" t="s">
        <v>1963</v>
      </c>
      <c r="E894" s="92">
        <v>2</v>
      </c>
      <c r="F894" s="57" t="s">
        <v>792</v>
      </c>
      <c r="G894" s="58">
        <v>181000</v>
      </c>
      <c r="H894" s="59">
        <v>200000</v>
      </c>
      <c r="I894" s="59">
        <f t="shared" si="26"/>
        <v>400000</v>
      </c>
    </row>
    <row r="895" spans="1:9" customFormat="1" ht="23" x14ac:dyDescent="0.35">
      <c r="A895" s="63">
        <f t="shared" si="27"/>
        <v>894</v>
      </c>
      <c r="B895" s="54" t="s">
        <v>2614</v>
      </c>
      <c r="C895" s="55" t="s">
        <v>2615</v>
      </c>
      <c r="D895" s="54" t="s">
        <v>1963</v>
      </c>
      <c r="E895" s="92">
        <v>31</v>
      </c>
      <c r="F895" s="57" t="s">
        <v>792</v>
      </c>
      <c r="G895" s="58">
        <v>189550</v>
      </c>
      <c r="H895" s="59">
        <v>187320</v>
      </c>
      <c r="I895" s="59">
        <f t="shared" si="26"/>
        <v>5806920</v>
      </c>
    </row>
    <row r="896" spans="1:9" customFormat="1" x14ac:dyDescent="0.35">
      <c r="A896" s="63">
        <f t="shared" si="27"/>
        <v>895</v>
      </c>
      <c r="B896" s="54" t="s">
        <v>2616</v>
      </c>
      <c r="C896" s="55" t="s">
        <v>2617</v>
      </c>
      <c r="D896" s="54" t="s">
        <v>1963</v>
      </c>
      <c r="E896" s="92">
        <v>2</v>
      </c>
      <c r="F896" s="57" t="s">
        <v>792</v>
      </c>
      <c r="G896" s="58">
        <v>355000</v>
      </c>
      <c r="H896" s="59">
        <v>434775</v>
      </c>
      <c r="I896" s="59">
        <f t="shared" si="26"/>
        <v>869550</v>
      </c>
    </row>
    <row r="897" spans="1:9" x14ac:dyDescent="0.35">
      <c r="A897" s="71">
        <f t="shared" si="27"/>
        <v>896</v>
      </c>
      <c r="B897" s="72" t="s">
        <v>2618</v>
      </c>
      <c r="C897" s="73" t="s">
        <v>2619</v>
      </c>
      <c r="D897" s="72" t="s">
        <v>1963</v>
      </c>
      <c r="E897" s="93">
        <v>10</v>
      </c>
      <c r="F897" s="74" t="s">
        <v>792</v>
      </c>
      <c r="G897" s="75">
        <v>7500</v>
      </c>
      <c r="H897" s="76">
        <v>10500</v>
      </c>
      <c r="I897" s="59">
        <f t="shared" si="26"/>
        <v>105000</v>
      </c>
    </row>
    <row r="898" spans="1:9" customFormat="1" ht="23" x14ac:dyDescent="0.35">
      <c r="A898" s="63">
        <f t="shared" si="27"/>
        <v>897</v>
      </c>
      <c r="B898" s="54" t="s">
        <v>2620</v>
      </c>
      <c r="C898" s="55" t="s">
        <v>2621</v>
      </c>
      <c r="D898" s="54" t="s">
        <v>1963</v>
      </c>
      <c r="E898" s="92">
        <v>500</v>
      </c>
      <c r="F898" s="57" t="s">
        <v>792</v>
      </c>
      <c r="G898" s="58">
        <v>2460</v>
      </c>
      <c r="H898" s="59">
        <v>3675</v>
      </c>
      <c r="I898" s="59">
        <f t="shared" si="26"/>
        <v>1837500</v>
      </c>
    </row>
    <row r="899" spans="1:9" customFormat="1" ht="23" x14ac:dyDescent="0.35">
      <c r="A899" s="63">
        <f t="shared" si="27"/>
        <v>898</v>
      </c>
      <c r="B899" s="54" t="s">
        <v>2622</v>
      </c>
      <c r="C899" s="55" t="s">
        <v>2623</v>
      </c>
      <c r="D899" s="54" t="s">
        <v>1963</v>
      </c>
      <c r="E899" s="92">
        <v>71</v>
      </c>
      <c r="F899" s="57" t="s">
        <v>792</v>
      </c>
      <c r="G899" s="58">
        <v>4112</v>
      </c>
      <c r="H899" s="59">
        <v>4112</v>
      </c>
      <c r="I899" s="59">
        <f t="shared" ref="I899:I962" si="28">H899*E899</f>
        <v>291952</v>
      </c>
    </row>
    <row r="900" spans="1:9" customFormat="1" ht="23" x14ac:dyDescent="0.35">
      <c r="A900" s="63">
        <f t="shared" ref="A900:A963" si="29">A899+1</f>
        <v>899</v>
      </c>
      <c r="B900" s="54" t="s">
        <v>2624</v>
      </c>
      <c r="C900" s="55" t="s">
        <v>2625</v>
      </c>
      <c r="D900" s="54" t="s">
        <v>1963</v>
      </c>
      <c r="E900" s="92">
        <v>1500</v>
      </c>
      <c r="F900" s="57" t="s">
        <v>870</v>
      </c>
      <c r="G900" s="58">
        <v>1263.5</v>
      </c>
      <c r="H900" s="59">
        <v>1465</v>
      </c>
      <c r="I900" s="59">
        <f t="shared" si="28"/>
        <v>2197500</v>
      </c>
    </row>
    <row r="901" spans="1:9" customFormat="1" ht="23" x14ac:dyDescent="0.35">
      <c r="A901" s="63">
        <f t="shared" si="29"/>
        <v>900</v>
      </c>
      <c r="B901" s="54" t="s">
        <v>2626</v>
      </c>
      <c r="C901" s="55" t="s">
        <v>2627</v>
      </c>
      <c r="D901" s="54" t="s">
        <v>1963</v>
      </c>
      <c r="E901" s="92">
        <v>2100</v>
      </c>
      <c r="F901" s="57" t="s">
        <v>870</v>
      </c>
      <c r="G901" s="58">
        <v>1276.8</v>
      </c>
      <c r="H901" s="59">
        <v>1263.5</v>
      </c>
      <c r="I901" s="59">
        <f t="shared" si="28"/>
        <v>2653350</v>
      </c>
    </row>
    <row r="902" spans="1:9" customFormat="1" ht="23" x14ac:dyDescent="0.35">
      <c r="A902" s="63">
        <f t="shared" si="29"/>
        <v>901</v>
      </c>
      <c r="B902" s="54" t="s">
        <v>2628</v>
      </c>
      <c r="C902" s="55" t="s">
        <v>2629</v>
      </c>
      <c r="D902" s="54" t="s">
        <v>1963</v>
      </c>
      <c r="E902" s="92">
        <v>100</v>
      </c>
      <c r="F902" s="57" t="s">
        <v>870</v>
      </c>
      <c r="G902" s="58">
        <v>1837</v>
      </c>
      <c r="H902" s="59">
        <v>2600</v>
      </c>
      <c r="I902" s="59">
        <f t="shared" si="28"/>
        <v>260000</v>
      </c>
    </row>
    <row r="903" spans="1:9" customFormat="1" x14ac:dyDescent="0.35">
      <c r="A903" s="63">
        <f t="shared" si="29"/>
        <v>902</v>
      </c>
      <c r="B903" s="54" t="s">
        <v>2630</v>
      </c>
      <c r="C903" s="55" t="s">
        <v>2631</v>
      </c>
      <c r="D903" s="54" t="s">
        <v>1963</v>
      </c>
      <c r="E903" s="92">
        <v>800</v>
      </c>
      <c r="F903" s="57" t="s">
        <v>870</v>
      </c>
      <c r="G903" s="58">
        <v>1877.5</v>
      </c>
      <c r="H903" s="59">
        <v>2600</v>
      </c>
      <c r="I903" s="59">
        <f t="shared" si="28"/>
        <v>2080000</v>
      </c>
    </row>
    <row r="904" spans="1:9" customFormat="1" ht="23" x14ac:dyDescent="0.35">
      <c r="A904" s="63">
        <f t="shared" si="29"/>
        <v>903</v>
      </c>
      <c r="B904" s="54" t="s">
        <v>2632</v>
      </c>
      <c r="C904" s="55" t="s">
        <v>2633</v>
      </c>
      <c r="D904" s="54" t="s">
        <v>1963</v>
      </c>
      <c r="E904" s="92">
        <v>200</v>
      </c>
      <c r="F904" s="57" t="s">
        <v>870</v>
      </c>
      <c r="G904" s="58">
        <v>1877.5</v>
      </c>
      <c r="H904" s="59">
        <v>2600</v>
      </c>
      <c r="I904" s="59">
        <f t="shared" si="28"/>
        <v>520000</v>
      </c>
    </row>
    <row r="905" spans="1:9" customFormat="1" x14ac:dyDescent="0.35">
      <c r="A905" s="63">
        <f t="shared" si="29"/>
        <v>904</v>
      </c>
      <c r="B905" s="54" t="s">
        <v>2634</v>
      </c>
      <c r="C905" s="55" t="s">
        <v>2635</v>
      </c>
      <c r="D905" s="54" t="s">
        <v>1963</v>
      </c>
      <c r="E905" s="92">
        <v>100</v>
      </c>
      <c r="F905" s="57" t="s">
        <v>870</v>
      </c>
      <c r="G905" s="58">
        <v>9292.7999999999993</v>
      </c>
      <c r="H905" s="59">
        <v>9292.7999999999993</v>
      </c>
      <c r="I905" s="59">
        <f t="shared" si="28"/>
        <v>929279.99999999988</v>
      </c>
    </row>
    <row r="906" spans="1:9" customFormat="1" ht="23" x14ac:dyDescent="0.35">
      <c r="A906" s="63">
        <f t="shared" si="29"/>
        <v>905</v>
      </c>
      <c r="B906" s="54" t="s">
        <v>2636</v>
      </c>
      <c r="C906" s="55" t="s">
        <v>2637</v>
      </c>
      <c r="D906" s="54" t="s">
        <v>1963</v>
      </c>
      <c r="E906" s="92">
        <v>300</v>
      </c>
      <c r="F906" s="57" t="s">
        <v>870</v>
      </c>
      <c r="G906" s="58">
        <v>5624</v>
      </c>
      <c r="H906" s="59">
        <v>5840</v>
      </c>
      <c r="I906" s="59">
        <f t="shared" si="28"/>
        <v>1752000</v>
      </c>
    </row>
    <row r="907" spans="1:9" customFormat="1" ht="23" x14ac:dyDescent="0.35">
      <c r="A907" s="63">
        <f t="shared" si="29"/>
        <v>906</v>
      </c>
      <c r="B907" s="54" t="s">
        <v>2638</v>
      </c>
      <c r="C907" s="55" t="s">
        <v>2639</v>
      </c>
      <c r="D907" s="54" t="s">
        <v>1963</v>
      </c>
      <c r="E907" s="92">
        <v>400</v>
      </c>
      <c r="F907" s="57" t="s">
        <v>870</v>
      </c>
      <c r="G907" s="58">
        <v>5836.8</v>
      </c>
      <c r="H907" s="59">
        <v>5840</v>
      </c>
      <c r="I907" s="59">
        <f t="shared" si="28"/>
        <v>2336000</v>
      </c>
    </row>
    <row r="908" spans="1:9" customFormat="1" ht="23" x14ac:dyDescent="0.35">
      <c r="A908" s="63">
        <f t="shared" si="29"/>
        <v>907</v>
      </c>
      <c r="B908" s="54" t="s">
        <v>2640</v>
      </c>
      <c r="C908" s="55" t="s">
        <v>2641</v>
      </c>
      <c r="D908" s="54" t="s">
        <v>1963</v>
      </c>
      <c r="E908" s="92">
        <v>300</v>
      </c>
      <c r="F908" s="57" t="s">
        <v>870</v>
      </c>
      <c r="G908" s="58">
        <v>5836.8</v>
      </c>
      <c r="H908" s="59">
        <v>5840</v>
      </c>
      <c r="I908" s="59">
        <f t="shared" si="28"/>
        <v>1752000</v>
      </c>
    </row>
    <row r="909" spans="1:9" customFormat="1" ht="23" x14ac:dyDescent="0.35">
      <c r="A909" s="63">
        <f t="shared" si="29"/>
        <v>908</v>
      </c>
      <c r="B909" s="54" t="s">
        <v>2642</v>
      </c>
      <c r="C909" s="55" t="s">
        <v>2643</v>
      </c>
      <c r="D909" s="54" t="s">
        <v>1963</v>
      </c>
      <c r="E909" s="92">
        <v>300</v>
      </c>
      <c r="F909" s="57" t="s">
        <v>870</v>
      </c>
      <c r="G909" s="58">
        <v>5836.8</v>
      </c>
      <c r="H909" s="59">
        <v>5840</v>
      </c>
      <c r="I909" s="59">
        <f t="shared" si="28"/>
        <v>1752000</v>
      </c>
    </row>
    <row r="910" spans="1:9" customFormat="1" ht="23" x14ac:dyDescent="0.35">
      <c r="A910" s="63">
        <f t="shared" si="29"/>
        <v>909</v>
      </c>
      <c r="B910" s="54" t="s">
        <v>2644</v>
      </c>
      <c r="C910" s="55" t="s">
        <v>2645</v>
      </c>
      <c r="D910" s="54" t="s">
        <v>1963</v>
      </c>
      <c r="E910" s="92">
        <v>100</v>
      </c>
      <c r="F910" s="57" t="s">
        <v>870</v>
      </c>
      <c r="G910" s="58">
        <v>8046.5</v>
      </c>
      <c r="H910" s="59">
        <v>7250</v>
      </c>
      <c r="I910" s="59">
        <f t="shared" si="28"/>
        <v>725000</v>
      </c>
    </row>
    <row r="911" spans="1:9" customFormat="1" ht="23" x14ac:dyDescent="0.35">
      <c r="A911" s="63">
        <f t="shared" si="29"/>
        <v>910</v>
      </c>
      <c r="B911" s="54" t="s">
        <v>2646</v>
      </c>
      <c r="C911" s="55" t="s">
        <v>2647</v>
      </c>
      <c r="D911" s="54" t="s">
        <v>1963</v>
      </c>
      <c r="E911" s="92">
        <v>100</v>
      </c>
      <c r="F911" s="57" t="s">
        <v>870</v>
      </c>
      <c r="G911" s="58">
        <v>7489</v>
      </c>
      <c r="H911" s="59">
        <v>7250</v>
      </c>
      <c r="I911" s="59">
        <f t="shared" si="28"/>
        <v>725000</v>
      </c>
    </row>
    <row r="912" spans="1:9" customFormat="1" ht="23" x14ac:dyDescent="0.35">
      <c r="A912" s="63">
        <f t="shared" si="29"/>
        <v>911</v>
      </c>
      <c r="B912" s="54" t="s">
        <v>2648</v>
      </c>
      <c r="C912" s="55" t="s">
        <v>2649</v>
      </c>
      <c r="D912" s="54" t="s">
        <v>1963</v>
      </c>
      <c r="E912" s="92">
        <v>200</v>
      </c>
      <c r="F912" s="57" t="s">
        <v>870</v>
      </c>
      <c r="G912" s="58">
        <v>0</v>
      </c>
      <c r="H912" s="59">
        <v>10890</v>
      </c>
      <c r="I912" s="59">
        <f t="shared" si="28"/>
        <v>2178000</v>
      </c>
    </row>
    <row r="913" spans="1:9" customFormat="1" x14ac:dyDescent="0.35">
      <c r="A913" s="63">
        <f t="shared" si="29"/>
        <v>912</v>
      </c>
      <c r="B913" s="54" t="s">
        <v>2650</v>
      </c>
      <c r="C913" s="55" t="s">
        <v>2651</v>
      </c>
      <c r="D913" s="54" t="s">
        <v>1963</v>
      </c>
      <c r="E913" s="92">
        <v>150</v>
      </c>
      <c r="F913" s="57" t="s">
        <v>1087</v>
      </c>
      <c r="G913" s="58">
        <v>11238</v>
      </c>
      <c r="H913" s="59">
        <v>21645</v>
      </c>
      <c r="I913" s="59">
        <f t="shared" si="28"/>
        <v>3246750</v>
      </c>
    </row>
    <row r="914" spans="1:9" customFormat="1" ht="23" x14ac:dyDescent="0.35">
      <c r="A914" s="63">
        <f t="shared" si="29"/>
        <v>913</v>
      </c>
      <c r="B914" s="54" t="s">
        <v>2652</v>
      </c>
      <c r="C914" s="55" t="s">
        <v>2653</v>
      </c>
      <c r="D914" s="54" t="s">
        <v>1963</v>
      </c>
      <c r="E914" s="92">
        <v>500</v>
      </c>
      <c r="F914" s="57" t="s">
        <v>792</v>
      </c>
      <c r="G914" s="58">
        <v>4150</v>
      </c>
      <c r="H914" s="59">
        <v>6435</v>
      </c>
      <c r="I914" s="59">
        <f t="shared" si="28"/>
        <v>3217500</v>
      </c>
    </row>
    <row r="915" spans="1:9" customFormat="1" ht="34.5" x14ac:dyDescent="0.35">
      <c r="A915" s="63">
        <f t="shared" si="29"/>
        <v>914</v>
      </c>
      <c r="B915" s="54" t="s">
        <v>2654</v>
      </c>
      <c r="C915" s="55" t="s">
        <v>2655</v>
      </c>
      <c r="D915" s="54" t="s">
        <v>1963</v>
      </c>
      <c r="E915" s="92">
        <v>241</v>
      </c>
      <c r="F915" s="57" t="s">
        <v>792</v>
      </c>
      <c r="G915" s="58">
        <v>19000</v>
      </c>
      <c r="H915" s="59">
        <v>25000</v>
      </c>
      <c r="I915" s="59">
        <f t="shared" si="28"/>
        <v>6025000</v>
      </c>
    </row>
    <row r="916" spans="1:9" customFormat="1" ht="23" x14ac:dyDescent="0.35">
      <c r="A916" s="63">
        <f t="shared" si="29"/>
        <v>915</v>
      </c>
      <c r="B916" s="54" t="s">
        <v>2656</v>
      </c>
      <c r="C916" s="55" t="s">
        <v>2657</v>
      </c>
      <c r="D916" s="54" t="s">
        <v>1963</v>
      </c>
      <c r="E916" s="92">
        <v>500</v>
      </c>
      <c r="F916" s="57" t="s">
        <v>792</v>
      </c>
      <c r="G916" s="58">
        <v>9000</v>
      </c>
      <c r="H916" s="59">
        <v>9000</v>
      </c>
      <c r="I916" s="59">
        <f t="shared" si="28"/>
        <v>4500000</v>
      </c>
    </row>
    <row r="917" spans="1:9" customFormat="1" ht="23" x14ac:dyDescent="0.35">
      <c r="A917" s="63">
        <f t="shared" si="29"/>
        <v>916</v>
      </c>
      <c r="B917" s="54" t="s">
        <v>2658</v>
      </c>
      <c r="C917" s="55" t="s">
        <v>2659</v>
      </c>
      <c r="D917" s="54" t="s">
        <v>1963</v>
      </c>
      <c r="E917" s="92">
        <v>400</v>
      </c>
      <c r="F917" s="57" t="s">
        <v>792</v>
      </c>
      <c r="G917" s="58">
        <v>6000</v>
      </c>
      <c r="H917" s="59">
        <v>7500</v>
      </c>
      <c r="I917" s="59">
        <f t="shared" si="28"/>
        <v>3000000</v>
      </c>
    </row>
    <row r="918" spans="1:9" customFormat="1" ht="23" x14ac:dyDescent="0.35">
      <c r="A918" s="63">
        <f t="shared" si="29"/>
        <v>917</v>
      </c>
      <c r="B918" s="54" t="s">
        <v>2660</v>
      </c>
      <c r="C918" s="55" t="s">
        <v>2661</v>
      </c>
      <c r="D918" s="54" t="s">
        <v>1963</v>
      </c>
      <c r="E918" s="92">
        <v>65</v>
      </c>
      <c r="F918" s="57" t="s">
        <v>792</v>
      </c>
      <c r="G918" s="58">
        <v>12750</v>
      </c>
      <c r="H918" s="59">
        <v>24960</v>
      </c>
      <c r="I918" s="59">
        <f t="shared" si="28"/>
        <v>1622400</v>
      </c>
    </row>
    <row r="919" spans="1:9" customFormat="1" ht="23" x14ac:dyDescent="0.35">
      <c r="A919" s="63">
        <f t="shared" si="29"/>
        <v>918</v>
      </c>
      <c r="B919" s="54" t="s">
        <v>2662</v>
      </c>
      <c r="C919" s="55" t="s">
        <v>2663</v>
      </c>
      <c r="D919" s="54" t="s">
        <v>1963</v>
      </c>
      <c r="E919" s="92">
        <v>710</v>
      </c>
      <c r="F919" s="57" t="s">
        <v>1087</v>
      </c>
      <c r="G919" s="58">
        <v>354</v>
      </c>
      <c r="H919" s="59">
        <v>352</v>
      </c>
      <c r="I919" s="59">
        <f t="shared" si="28"/>
        <v>249920</v>
      </c>
    </row>
    <row r="920" spans="1:9" customFormat="1" ht="23" x14ac:dyDescent="0.35">
      <c r="A920" s="63">
        <f t="shared" si="29"/>
        <v>919</v>
      </c>
      <c r="B920" s="54" t="s">
        <v>2664</v>
      </c>
      <c r="C920" s="55" t="s">
        <v>2665</v>
      </c>
      <c r="D920" s="54" t="s">
        <v>1963</v>
      </c>
      <c r="E920" s="92">
        <v>510</v>
      </c>
      <c r="F920" s="57" t="s">
        <v>1087</v>
      </c>
      <c r="G920" s="58">
        <v>374.04</v>
      </c>
      <c r="H920" s="59">
        <v>377</v>
      </c>
      <c r="I920" s="59">
        <f t="shared" si="28"/>
        <v>192270</v>
      </c>
    </row>
    <row r="921" spans="1:9" customFormat="1" ht="34.5" x14ac:dyDescent="0.35">
      <c r="A921" s="63">
        <f t="shared" si="29"/>
        <v>920</v>
      </c>
      <c r="B921" s="54" t="s">
        <v>2666</v>
      </c>
      <c r="C921" s="55" t="s">
        <v>2667</v>
      </c>
      <c r="D921" s="54" t="s">
        <v>1963</v>
      </c>
      <c r="E921" s="92">
        <v>150</v>
      </c>
      <c r="F921" s="57" t="s">
        <v>870</v>
      </c>
      <c r="G921" s="58">
        <v>1300</v>
      </c>
      <c r="H921" s="59">
        <v>1800</v>
      </c>
      <c r="I921" s="59">
        <f t="shared" si="28"/>
        <v>270000</v>
      </c>
    </row>
    <row r="922" spans="1:9" customFormat="1" x14ac:dyDescent="0.35">
      <c r="A922" s="63">
        <f t="shared" si="29"/>
        <v>921</v>
      </c>
      <c r="B922" s="54" t="s">
        <v>2668</v>
      </c>
      <c r="C922" s="55" t="s">
        <v>2669</v>
      </c>
      <c r="D922" s="54" t="s">
        <v>1963</v>
      </c>
      <c r="E922" s="92">
        <v>100</v>
      </c>
      <c r="F922" s="57" t="s">
        <v>977</v>
      </c>
      <c r="G922" s="58">
        <v>11346.56</v>
      </c>
      <c r="H922" s="59">
        <v>12150</v>
      </c>
      <c r="I922" s="59">
        <f t="shared" si="28"/>
        <v>1215000</v>
      </c>
    </row>
    <row r="923" spans="1:9" customFormat="1" x14ac:dyDescent="0.35">
      <c r="A923" s="63">
        <f t="shared" si="29"/>
        <v>922</v>
      </c>
      <c r="B923" s="54" t="s">
        <v>2670</v>
      </c>
      <c r="C923" s="55" t="s">
        <v>2671</v>
      </c>
      <c r="D923" s="54" t="s">
        <v>1963</v>
      </c>
      <c r="E923" s="92">
        <v>300</v>
      </c>
      <c r="F923" s="57" t="s">
        <v>792</v>
      </c>
      <c r="G923" s="58">
        <v>150</v>
      </c>
      <c r="H923" s="59">
        <v>400</v>
      </c>
      <c r="I923" s="59">
        <f t="shared" si="28"/>
        <v>120000</v>
      </c>
    </row>
    <row r="924" spans="1:9" customFormat="1" ht="23" x14ac:dyDescent="0.35">
      <c r="A924" s="63">
        <f t="shared" si="29"/>
        <v>923</v>
      </c>
      <c r="B924" s="54" t="s">
        <v>2672</v>
      </c>
      <c r="C924" s="55" t="s">
        <v>2673</v>
      </c>
      <c r="D924" s="54" t="s">
        <v>1963</v>
      </c>
      <c r="E924" s="92">
        <v>2</v>
      </c>
      <c r="F924" s="57" t="s">
        <v>815</v>
      </c>
      <c r="G924" s="58">
        <v>4500</v>
      </c>
      <c r="H924" s="59">
        <v>6412</v>
      </c>
      <c r="I924" s="59">
        <f t="shared" si="28"/>
        <v>12824</v>
      </c>
    </row>
    <row r="925" spans="1:9" customFormat="1" ht="23" x14ac:dyDescent="0.35">
      <c r="A925" s="63">
        <f t="shared" si="29"/>
        <v>924</v>
      </c>
      <c r="B925" s="54" t="s">
        <v>2674</v>
      </c>
      <c r="C925" s="55" t="s">
        <v>2675</v>
      </c>
      <c r="D925" s="54" t="s">
        <v>1963</v>
      </c>
      <c r="E925" s="92">
        <v>2</v>
      </c>
      <c r="F925" s="57" t="s">
        <v>815</v>
      </c>
      <c r="G925" s="58">
        <v>8500</v>
      </c>
      <c r="H925" s="59">
        <v>12113</v>
      </c>
      <c r="I925" s="59">
        <f t="shared" si="28"/>
        <v>24226</v>
      </c>
    </row>
    <row r="926" spans="1:9" customFormat="1" x14ac:dyDescent="0.35">
      <c r="A926" s="63">
        <f t="shared" si="29"/>
        <v>925</v>
      </c>
      <c r="B926" s="54" t="s">
        <v>2676</v>
      </c>
      <c r="C926" s="55" t="s">
        <v>2677</v>
      </c>
      <c r="D926" s="54" t="s">
        <v>1963</v>
      </c>
      <c r="E926" s="92">
        <v>8</v>
      </c>
      <c r="F926" s="57" t="s">
        <v>792</v>
      </c>
      <c r="G926" s="58">
        <v>0</v>
      </c>
      <c r="H926" s="59">
        <v>20800</v>
      </c>
      <c r="I926" s="59">
        <f t="shared" si="28"/>
        <v>166400</v>
      </c>
    </row>
    <row r="927" spans="1:9" customFormat="1" ht="23" x14ac:dyDescent="0.35">
      <c r="A927" s="63">
        <f t="shared" si="29"/>
        <v>926</v>
      </c>
      <c r="B927" s="54" t="s">
        <v>2678</v>
      </c>
      <c r="C927" s="55" t="s">
        <v>2679</v>
      </c>
      <c r="D927" s="54" t="s">
        <v>1963</v>
      </c>
      <c r="E927" s="92">
        <v>8</v>
      </c>
      <c r="F927" s="57" t="s">
        <v>792</v>
      </c>
      <c r="G927" s="58">
        <v>35000</v>
      </c>
      <c r="H927" s="59">
        <v>50400</v>
      </c>
      <c r="I927" s="59">
        <f t="shared" si="28"/>
        <v>403200</v>
      </c>
    </row>
    <row r="928" spans="1:9" customFormat="1" ht="23" x14ac:dyDescent="0.35">
      <c r="A928" s="63">
        <f t="shared" si="29"/>
        <v>927</v>
      </c>
      <c r="B928" s="54" t="s">
        <v>2680</v>
      </c>
      <c r="C928" s="55" t="s">
        <v>2681</v>
      </c>
      <c r="D928" s="54" t="s">
        <v>1963</v>
      </c>
      <c r="E928" s="56">
        <v>0</v>
      </c>
      <c r="F928" s="57" t="s">
        <v>792</v>
      </c>
      <c r="G928" s="58">
        <v>0</v>
      </c>
      <c r="H928" s="59">
        <v>78375</v>
      </c>
      <c r="I928" s="59">
        <f t="shared" si="28"/>
        <v>0</v>
      </c>
    </row>
    <row r="929" spans="1:9" customFormat="1" ht="23" x14ac:dyDescent="0.35">
      <c r="A929" s="63">
        <f t="shared" si="29"/>
        <v>928</v>
      </c>
      <c r="B929" s="54" t="s">
        <v>2682</v>
      </c>
      <c r="C929" s="55" t="s">
        <v>2683</v>
      </c>
      <c r="D929" s="54" t="s">
        <v>1963</v>
      </c>
      <c r="E929" s="92">
        <v>50</v>
      </c>
      <c r="F929" s="57" t="s">
        <v>792</v>
      </c>
      <c r="G929" s="58">
        <v>23273</v>
      </c>
      <c r="H929" s="59">
        <v>31346</v>
      </c>
      <c r="I929" s="59">
        <f t="shared" si="28"/>
        <v>1567300</v>
      </c>
    </row>
    <row r="930" spans="1:9" customFormat="1" ht="23" x14ac:dyDescent="0.35">
      <c r="A930" s="63">
        <f t="shared" si="29"/>
        <v>929</v>
      </c>
      <c r="B930" s="54" t="s">
        <v>2684</v>
      </c>
      <c r="C930" s="55" t="s">
        <v>2685</v>
      </c>
      <c r="D930" s="54" t="s">
        <v>1963</v>
      </c>
      <c r="E930" s="92">
        <v>23</v>
      </c>
      <c r="F930" s="57" t="s">
        <v>792</v>
      </c>
      <c r="G930" s="58">
        <v>128000</v>
      </c>
      <c r="H930" s="59">
        <v>175000</v>
      </c>
      <c r="I930" s="59">
        <f t="shared" si="28"/>
        <v>4025000</v>
      </c>
    </row>
    <row r="931" spans="1:9" customFormat="1" ht="23" x14ac:dyDescent="0.35">
      <c r="A931" s="63">
        <f t="shared" si="29"/>
        <v>930</v>
      </c>
      <c r="B931" s="54" t="s">
        <v>2686</v>
      </c>
      <c r="C931" s="55" t="s">
        <v>2687</v>
      </c>
      <c r="D931" s="54" t="s">
        <v>1963</v>
      </c>
      <c r="E931" s="92">
        <v>48</v>
      </c>
      <c r="F931" s="57" t="s">
        <v>792</v>
      </c>
      <c r="G931" s="58">
        <v>69840</v>
      </c>
      <c r="H931" s="59">
        <v>68060</v>
      </c>
      <c r="I931" s="59">
        <f t="shared" si="28"/>
        <v>3266880</v>
      </c>
    </row>
    <row r="932" spans="1:9" customFormat="1" ht="23" x14ac:dyDescent="0.35">
      <c r="A932" s="63">
        <f t="shared" si="29"/>
        <v>931</v>
      </c>
      <c r="B932" s="54" t="s">
        <v>2688</v>
      </c>
      <c r="C932" s="55" t="s">
        <v>2689</v>
      </c>
      <c r="D932" s="54" t="s">
        <v>1963</v>
      </c>
      <c r="E932" s="92">
        <v>600</v>
      </c>
      <c r="F932" s="57" t="s">
        <v>870</v>
      </c>
      <c r="G932" s="58">
        <v>8200</v>
      </c>
      <c r="H932" s="59">
        <v>8900</v>
      </c>
      <c r="I932" s="59">
        <f t="shared" si="28"/>
        <v>5340000</v>
      </c>
    </row>
    <row r="933" spans="1:9" customFormat="1" ht="23" x14ac:dyDescent="0.35">
      <c r="A933" s="63">
        <f t="shared" si="29"/>
        <v>932</v>
      </c>
      <c r="B933" s="54" t="s">
        <v>2690</v>
      </c>
      <c r="C933" s="55" t="s">
        <v>2691</v>
      </c>
      <c r="D933" s="54" t="s">
        <v>1963</v>
      </c>
      <c r="E933" s="92">
        <v>8</v>
      </c>
      <c r="F933" s="57" t="s">
        <v>792</v>
      </c>
      <c r="G933" s="58">
        <v>133000</v>
      </c>
      <c r="H933" s="59">
        <v>166560</v>
      </c>
      <c r="I933" s="59">
        <f t="shared" si="28"/>
        <v>1332480</v>
      </c>
    </row>
    <row r="934" spans="1:9" customFormat="1" ht="23" x14ac:dyDescent="0.35">
      <c r="A934" s="63">
        <f t="shared" si="29"/>
        <v>933</v>
      </c>
      <c r="B934" s="54" t="s">
        <v>2692</v>
      </c>
      <c r="C934" s="55" t="s">
        <v>2693</v>
      </c>
      <c r="D934" s="54" t="s">
        <v>1963</v>
      </c>
      <c r="E934" s="92">
        <v>10</v>
      </c>
      <c r="F934" s="57" t="s">
        <v>792</v>
      </c>
      <c r="G934" s="58">
        <v>0</v>
      </c>
      <c r="H934" s="59">
        <v>27645</v>
      </c>
      <c r="I934" s="59">
        <f t="shared" si="28"/>
        <v>276450</v>
      </c>
    </row>
    <row r="935" spans="1:9" customFormat="1" ht="23" x14ac:dyDescent="0.35">
      <c r="A935" s="63">
        <f t="shared" si="29"/>
        <v>934</v>
      </c>
      <c r="B935" s="54" t="s">
        <v>2694</v>
      </c>
      <c r="C935" s="55" t="s">
        <v>2695</v>
      </c>
      <c r="D935" s="54" t="s">
        <v>1963</v>
      </c>
      <c r="E935" s="92">
        <v>104</v>
      </c>
      <c r="F935" s="57" t="s">
        <v>792</v>
      </c>
      <c r="G935" s="58">
        <v>390</v>
      </c>
      <c r="H935" s="59">
        <v>390</v>
      </c>
      <c r="I935" s="59">
        <f t="shared" si="28"/>
        <v>40560</v>
      </c>
    </row>
    <row r="936" spans="1:9" customFormat="1" ht="23" x14ac:dyDescent="0.35">
      <c r="A936" s="63">
        <f t="shared" si="29"/>
        <v>935</v>
      </c>
      <c r="B936" s="54" t="s">
        <v>2696</v>
      </c>
      <c r="C936" s="55" t="s">
        <v>2697</v>
      </c>
      <c r="D936" s="54" t="s">
        <v>1963</v>
      </c>
      <c r="E936" s="92">
        <v>1000</v>
      </c>
      <c r="F936" s="57" t="s">
        <v>792</v>
      </c>
      <c r="G936" s="58">
        <v>287</v>
      </c>
      <c r="H936" s="59">
        <v>346</v>
      </c>
      <c r="I936" s="59">
        <f t="shared" si="28"/>
        <v>346000</v>
      </c>
    </row>
    <row r="937" spans="1:9" customFormat="1" ht="23" x14ac:dyDescent="0.35">
      <c r="A937" s="63">
        <f t="shared" si="29"/>
        <v>936</v>
      </c>
      <c r="B937" s="54" t="s">
        <v>2698</v>
      </c>
      <c r="C937" s="55" t="s">
        <v>2699</v>
      </c>
      <c r="D937" s="54" t="s">
        <v>1963</v>
      </c>
      <c r="E937" s="92">
        <v>60</v>
      </c>
      <c r="F937" s="57" t="s">
        <v>792</v>
      </c>
      <c r="G937" s="58">
        <v>350</v>
      </c>
      <c r="H937" s="59">
        <v>350</v>
      </c>
      <c r="I937" s="59">
        <f t="shared" si="28"/>
        <v>21000</v>
      </c>
    </row>
    <row r="938" spans="1:9" customFormat="1" ht="23" x14ac:dyDescent="0.35">
      <c r="A938" s="63">
        <f t="shared" si="29"/>
        <v>937</v>
      </c>
      <c r="B938" s="54" t="s">
        <v>2700</v>
      </c>
      <c r="C938" s="55" t="s">
        <v>2701</v>
      </c>
      <c r="D938" s="54" t="s">
        <v>1963</v>
      </c>
      <c r="E938" s="92">
        <v>6000</v>
      </c>
      <c r="F938" s="57" t="s">
        <v>792</v>
      </c>
      <c r="G938" s="58">
        <v>27</v>
      </c>
      <c r="H938" s="59">
        <v>44</v>
      </c>
      <c r="I938" s="59">
        <f t="shared" si="28"/>
        <v>264000</v>
      </c>
    </row>
    <row r="939" spans="1:9" customFormat="1" ht="23" x14ac:dyDescent="0.35">
      <c r="A939" s="63">
        <f t="shared" si="29"/>
        <v>938</v>
      </c>
      <c r="B939" s="54" t="s">
        <v>2702</v>
      </c>
      <c r="C939" s="55" t="s">
        <v>2703</v>
      </c>
      <c r="D939" s="54" t="s">
        <v>1963</v>
      </c>
      <c r="E939" s="92">
        <v>960</v>
      </c>
      <c r="F939" s="57" t="s">
        <v>792</v>
      </c>
      <c r="G939" s="58">
        <v>25</v>
      </c>
      <c r="H939" s="59">
        <v>48</v>
      </c>
      <c r="I939" s="59">
        <f t="shared" si="28"/>
        <v>46080</v>
      </c>
    </row>
    <row r="940" spans="1:9" customFormat="1" ht="23" x14ac:dyDescent="0.35">
      <c r="A940" s="63">
        <f t="shared" si="29"/>
        <v>939</v>
      </c>
      <c r="B940" s="54" t="s">
        <v>2704</v>
      </c>
      <c r="C940" s="55" t="s">
        <v>2705</v>
      </c>
      <c r="D940" s="54" t="s">
        <v>1963</v>
      </c>
      <c r="E940" s="92">
        <v>1300</v>
      </c>
      <c r="F940" s="57" t="s">
        <v>792</v>
      </c>
      <c r="G940" s="58">
        <v>200</v>
      </c>
      <c r="H940" s="59">
        <v>400</v>
      </c>
      <c r="I940" s="59">
        <f t="shared" si="28"/>
        <v>520000</v>
      </c>
    </row>
    <row r="941" spans="1:9" ht="23" x14ac:dyDescent="0.35">
      <c r="A941" s="71">
        <f t="shared" si="29"/>
        <v>940</v>
      </c>
      <c r="B941" s="72" t="s">
        <v>2706</v>
      </c>
      <c r="C941" s="73" t="s">
        <v>2707</v>
      </c>
      <c r="D941" s="72" t="s">
        <v>1963</v>
      </c>
      <c r="E941" s="93">
        <v>4200</v>
      </c>
      <c r="F941" s="74" t="s">
        <v>792</v>
      </c>
      <c r="G941" s="75">
        <v>60</v>
      </c>
      <c r="H941" s="76">
        <v>70</v>
      </c>
      <c r="I941" s="59">
        <f t="shared" si="28"/>
        <v>294000</v>
      </c>
    </row>
    <row r="942" spans="1:9" customFormat="1" x14ac:dyDescent="0.35">
      <c r="A942" s="63">
        <f t="shared" si="29"/>
        <v>941</v>
      </c>
      <c r="B942" s="54" t="s">
        <v>2708</v>
      </c>
      <c r="C942" s="55" t="s">
        <v>2709</v>
      </c>
      <c r="D942" s="54" t="s">
        <v>1963</v>
      </c>
      <c r="E942" s="92">
        <v>2000</v>
      </c>
      <c r="F942" s="57" t="s">
        <v>792</v>
      </c>
      <c r="G942" s="58">
        <v>357</v>
      </c>
      <c r="H942" s="59">
        <v>357</v>
      </c>
      <c r="I942" s="59">
        <f t="shared" si="28"/>
        <v>714000</v>
      </c>
    </row>
    <row r="943" spans="1:9" customFormat="1" ht="23" x14ac:dyDescent="0.35">
      <c r="A943" s="63">
        <f t="shared" si="29"/>
        <v>942</v>
      </c>
      <c r="B943" s="54" t="s">
        <v>2710</v>
      </c>
      <c r="C943" s="55" t="s">
        <v>2711</v>
      </c>
      <c r="D943" s="54" t="s">
        <v>1963</v>
      </c>
      <c r="E943" s="92">
        <v>30</v>
      </c>
      <c r="F943" s="57" t="s">
        <v>792</v>
      </c>
      <c r="G943" s="58">
        <v>1100</v>
      </c>
      <c r="H943" s="59">
        <v>1100</v>
      </c>
      <c r="I943" s="59">
        <f t="shared" si="28"/>
        <v>33000</v>
      </c>
    </row>
    <row r="944" spans="1:9" customFormat="1" ht="23" x14ac:dyDescent="0.35">
      <c r="A944" s="63">
        <f t="shared" si="29"/>
        <v>943</v>
      </c>
      <c r="B944" s="54" t="s">
        <v>2712</v>
      </c>
      <c r="C944" s="55" t="s">
        <v>2713</v>
      </c>
      <c r="D944" s="54" t="s">
        <v>1963</v>
      </c>
      <c r="E944" s="92">
        <v>1200</v>
      </c>
      <c r="F944" s="57" t="s">
        <v>792</v>
      </c>
      <c r="G944" s="58">
        <v>675</v>
      </c>
      <c r="H944" s="59">
        <v>1410</v>
      </c>
      <c r="I944" s="59">
        <f t="shared" si="28"/>
        <v>1692000</v>
      </c>
    </row>
    <row r="945" spans="1:9" customFormat="1" ht="23" x14ac:dyDescent="0.35">
      <c r="A945" s="63">
        <f t="shared" si="29"/>
        <v>944</v>
      </c>
      <c r="B945" s="54" t="s">
        <v>2714</v>
      </c>
      <c r="C945" s="55" t="s">
        <v>2715</v>
      </c>
      <c r="D945" s="54" t="s">
        <v>1963</v>
      </c>
      <c r="E945" s="92">
        <v>16000</v>
      </c>
      <c r="F945" s="57" t="s">
        <v>792</v>
      </c>
      <c r="G945" s="58">
        <v>125</v>
      </c>
      <c r="H945" s="59">
        <v>247</v>
      </c>
      <c r="I945" s="59">
        <f t="shared" si="28"/>
        <v>3952000</v>
      </c>
    </row>
    <row r="946" spans="1:9" customFormat="1" x14ac:dyDescent="0.35">
      <c r="A946" s="63">
        <f t="shared" si="29"/>
        <v>945</v>
      </c>
      <c r="B946" s="54" t="s">
        <v>2716</v>
      </c>
      <c r="C946" s="55" t="s">
        <v>2717</v>
      </c>
      <c r="D946" s="54" t="s">
        <v>1963</v>
      </c>
      <c r="E946" s="92">
        <v>5000</v>
      </c>
      <c r="F946" s="57" t="s">
        <v>792</v>
      </c>
      <c r="G946" s="58">
        <v>176</v>
      </c>
      <c r="H946" s="59">
        <v>400</v>
      </c>
      <c r="I946" s="59">
        <f t="shared" si="28"/>
        <v>2000000</v>
      </c>
    </row>
    <row r="947" spans="1:9" customFormat="1" ht="23" x14ac:dyDescent="0.35">
      <c r="A947" s="63">
        <f t="shared" si="29"/>
        <v>946</v>
      </c>
      <c r="B947" s="54" t="s">
        <v>2718</v>
      </c>
      <c r="C947" s="55" t="s">
        <v>2719</v>
      </c>
      <c r="D947" s="54" t="s">
        <v>1963</v>
      </c>
      <c r="E947" s="92">
        <v>2500</v>
      </c>
      <c r="F947" s="57" t="s">
        <v>792</v>
      </c>
      <c r="G947" s="58">
        <v>125</v>
      </c>
      <c r="H947" s="59">
        <v>125</v>
      </c>
      <c r="I947" s="59">
        <f t="shared" si="28"/>
        <v>312500</v>
      </c>
    </row>
    <row r="948" spans="1:9" customFormat="1" ht="23" x14ac:dyDescent="0.35">
      <c r="A948" s="63">
        <f t="shared" si="29"/>
        <v>947</v>
      </c>
      <c r="B948" s="54" t="s">
        <v>2720</v>
      </c>
      <c r="C948" s="55" t="s">
        <v>2721</v>
      </c>
      <c r="D948" s="54" t="s">
        <v>1963</v>
      </c>
      <c r="E948" s="92">
        <v>3500</v>
      </c>
      <c r="F948" s="57" t="s">
        <v>792</v>
      </c>
      <c r="G948" s="58">
        <v>150</v>
      </c>
      <c r="H948" s="59">
        <v>192</v>
      </c>
      <c r="I948" s="59">
        <f t="shared" si="28"/>
        <v>672000</v>
      </c>
    </row>
    <row r="949" spans="1:9" customFormat="1" ht="23" x14ac:dyDescent="0.35">
      <c r="A949" s="63">
        <f t="shared" si="29"/>
        <v>948</v>
      </c>
      <c r="B949" s="54" t="s">
        <v>2722</v>
      </c>
      <c r="C949" s="55" t="s">
        <v>2723</v>
      </c>
      <c r="D949" s="54" t="s">
        <v>1963</v>
      </c>
      <c r="E949" s="92">
        <v>4900</v>
      </c>
      <c r="F949" s="57" t="s">
        <v>792</v>
      </c>
      <c r="G949" s="58">
        <v>19</v>
      </c>
      <c r="H949" s="59">
        <v>34</v>
      </c>
      <c r="I949" s="59">
        <f t="shared" si="28"/>
        <v>166600</v>
      </c>
    </row>
    <row r="950" spans="1:9" customFormat="1" ht="23" x14ac:dyDescent="0.35">
      <c r="A950" s="63">
        <f t="shared" si="29"/>
        <v>949</v>
      </c>
      <c r="B950" s="54" t="s">
        <v>2724</v>
      </c>
      <c r="C950" s="55" t="s">
        <v>2725</v>
      </c>
      <c r="D950" s="54" t="s">
        <v>1963</v>
      </c>
      <c r="E950" s="92">
        <v>1000</v>
      </c>
      <c r="F950" s="57" t="s">
        <v>792</v>
      </c>
      <c r="G950" s="58">
        <v>20</v>
      </c>
      <c r="H950" s="59">
        <v>20</v>
      </c>
      <c r="I950" s="59">
        <f t="shared" si="28"/>
        <v>20000</v>
      </c>
    </row>
    <row r="951" spans="1:9" customFormat="1" ht="23" x14ac:dyDescent="0.35">
      <c r="A951" s="63">
        <f t="shared" si="29"/>
        <v>950</v>
      </c>
      <c r="B951" s="54" t="s">
        <v>2726</v>
      </c>
      <c r="C951" s="55" t="s">
        <v>2727</v>
      </c>
      <c r="D951" s="54" t="s">
        <v>1963</v>
      </c>
      <c r="E951" s="92">
        <v>7000</v>
      </c>
      <c r="F951" s="57" t="s">
        <v>792</v>
      </c>
      <c r="G951" s="58">
        <v>24</v>
      </c>
      <c r="H951" s="59">
        <v>24</v>
      </c>
      <c r="I951" s="59">
        <f t="shared" si="28"/>
        <v>168000</v>
      </c>
    </row>
    <row r="952" spans="1:9" customFormat="1" x14ac:dyDescent="0.35">
      <c r="A952" s="63">
        <f t="shared" si="29"/>
        <v>951</v>
      </c>
      <c r="B952" s="54" t="s">
        <v>2728</v>
      </c>
      <c r="C952" s="55" t="s">
        <v>2729</v>
      </c>
      <c r="D952" s="54" t="s">
        <v>1963</v>
      </c>
      <c r="E952" s="92">
        <v>209</v>
      </c>
      <c r="F952" s="57" t="s">
        <v>792</v>
      </c>
      <c r="G952" s="58">
        <v>325</v>
      </c>
      <c r="H952" s="59">
        <v>650</v>
      </c>
      <c r="I952" s="59">
        <f t="shared" si="28"/>
        <v>135850</v>
      </c>
    </row>
    <row r="953" spans="1:9" customFormat="1" x14ac:dyDescent="0.35">
      <c r="A953" s="63">
        <f t="shared" si="29"/>
        <v>952</v>
      </c>
      <c r="B953" s="54" t="s">
        <v>2730</v>
      </c>
      <c r="C953" s="55" t="s">
        <v>2731</v>
      </c>
      <c r="D953" s="54" t="s">
        <v>1963</v>
      </c>
      <c r="E953" s="92">
        <v>1000</v>
      </c>
      <c r="F953" s="57" t="s">
        <v>792</v>
      </c>
      <c r="G953" s="58">
        <v>60</v>
      </c>
      <c r="H953" s="59">
        <v>500</v>
      </c>
      <c r="I953" s="59">
        <f t="shared" si="28"/>
        <v>500000</v>
      </c>
    </row>
    <row r="954" spans="1:9" customFormat="1" ht="23" x14ac:dyDescent="0.35">
      <c r="A954" s="63">
        <f t="shared" si="29"/>
        <v>953</v>
      </c>
      <c r="B954" s="54" t="s">
        <v>2732</v>
      </c>
      <c r="C954" s="55" t="s">
        <v>2733</v>
      </c>
      <c r="D954" s="54" t="s">
        <v>1963</v>
      </c>
      <c r="E954" s="92">
        <v>10000</v>
      </c>
      <c r="F954" s="57" t="s">
        <v>792</v>
      </c>
      <c r="G954" s="58">
        <v>17</v>
      </c>
      <c r="H954" s="59">
        <v>128</v>
      </c>
      <c r="I954" s="59">
        <f t="shared" si="28"/>
        <v>1280000</v>
      </c>
    </row>
    <row r="955" spans="1:9" customFormat="1" x14ac:dyDescent="0.35">
      <c r="A955" s="63">
        <f t="shared" si="29"/>
        <v>954</v>
      </c>
      <c r="B955" s="54" t="s">
        <v>2734</v>
      </c>
      <c r="C955" s="55" t="s">
        <v>2735</v>
      </c>
      <c r="D955" s="54" t="s">
        <v>1963</v>
      </c>
      <c r="E955" s="92">
        <v>86</v>
      </c>
      <c r="F955" s="57" t="s">
        <v>792</v>
      </c>
      <c r="G955" s="58">
        <v>500</v>
      </c>
      <c r="H955" s="59">
        <v>720</v>
      </c>
      <c r="I955" s="59">
        <f t="shared" si="28"/>
        <v>61920</v>
      </c>
    </row>
    <row r="956" spans="1:9" customFormat="1" x14ac:dyDescent="0.35">
      <c r="A956" s="63">
        <f t="shared" si="29"/>
        <v>955</v>
      </c>
      <c r="B956" s="54" t="s">
        <v>2736</v>
      </c>
      <c r="C956" s="55" t="s">
        <v>2737</v>
      </c>
      <c r="D956" s="54" t="s">
        <v>1963</v>
      </c>
      <c r="E956" s="92">
        <v>7</v>
      </c>
      <c r="F956" s="57" t="s">
        <v>792</v>
      </c>
      <c r="G956" s="58">
        <v>15000</v>
      </c>
      <c r="H956" s="59">
        <v>19000</v>
      </c>
      <c r="I956" s="59">
        <f t="shared" si="28"/>
        <v>133000</v>
      </c>
    </row>
    <row r="957" spans="1:9" customFormat="1" ht="23" x14ac:dyDescent="0.35">
      <c r="A957" s="63">
        <f t="shared" si="29"/>
        <v>956</v>
      </c>
      <c r="B957" s="54" t="s">
        <v>2738</v>
      </c>
      <c r="C957" s="55" t="s">
        <v>2739</v>
      </c>
      <c r="D957" s="54" t="s">
        <v>1963</v>
      </c>
      <c r="E957" s="92">
        <v>4000</v>
      </c>
      <c r="F957" s="57" t="s">
        <v>792</v>
      </c>
      <c r="G957" s="58">
        <v>80</v>
      </c>
      <c r="H957" s="59">
        <v>79</v>
      </c>
      <c r="I957" s="59">
        <f t="shared" si="28"/>
        <v>316000</v>
      </c>
    </row>
    <row r="958" spans="1:9" customFormat="1" ht="23" x14ac:dyDescent="0.35">
      <c r="A958" s="63">
        <f t="shared" si="29"/>
        <v>957</v>
      </c>
      <c r="B958" s="54" t="s">
        <v>2740</v>
      </c>
      <c r="C958" s="55" t="s">
        <v>2741</v>
      </c>
      <c r="D958" s="54" t="s">
        <v>1963</v>
      </c>
      <c r="E958" s="92">
        <v>500</v>
      </c>
      <c r="F958" s="57" t="s">
        <v>792</v>
      </c>
      <c r="G958" s="58">
        <v>90</v>
      </c>
      <c r="H958" s="59">
        <v>190</v>
      </c>
      <c r="I958" s="59">
        <f t="shared" si="28"/>
        <v>95000</v>
      </c>
    </row>
    <row r="959" spans="1:9" customFormat="1" x14ac:dyDescent="0.35">
      <c r="A959" s="63">
        <f t="shared" si="29"/>
        <v>958</v>
      </c>
      <c r="B959" s="54" t="s">
        <v>2742</v>
      </c>
      <c r="C959" s="55" t="s">
        <v>2743</v>
      </c>
      <c r="D959" s="54" t="s">
        <v>1963</v>
      </c>
      <c r="E959" s="92">
        <v>500</v>
      </c>
      <c r="F959" s="57" t="s">
        <v>792</v>
      </c>
      <c r="G959" s="58">
        <v>540</v>
      </c>
      <c r="H959" s="59">
        <v>540</v>
      </c>
      <c r="I959" s="59">
        <f t="shared" si="28"/>
        <v>270000</v>
      </c>
    </row>
    <row r="960" spans="1:9" customFormat="1" ht="23" x14ac:dyDescent="0.35">
      <c r="A960" s="63">
        <f t="shared" si="29"/>
        <v>959</v>
      </c>
      <c r="B960" s="54" t="s">
        <v>2744</v>
      </c>
      <c r="C960" s="55" t="s">
        <v>2745</v>
      </c>
      <c r="D960" s="54" t="s">
        <v>1963</v>
      </c>
      <c r="E960" s="92">
        <v>50</v>
      </c>
      <c r="F960" s="57" t="s">
        <v>792</v>
      </c>
      <c r="G960" s="58">
        <v>1180</v>
      </c>
      <c r="H960" s="59">
        <v>26000</v>
      </c>
      <c r="I960" s="59">
        <f t="shared" si="28"/>
        <v>1300000</v>
      </c>
    </row>
    <row r="961" spans="1:9" customFormat="1" x14ac:dyDescent="0.35">
      <c r="A961" s="63">
        <f t="shared" si="29"/>
        <v>960</v>
      </c>
      <c r="B961" s="54" t="s">
        <v>2746</v>
      </c>
      <c r="C961" s="55" t="s">
        <v>2747</v>
      </c>
      <c r="D961" s="54" t="s">
        <v>1963</v>
      </c>
      <c r="E961" s="92">
        <v>1400</v>
      </c>
      <c r="F961" s="57" t="s">
        <v>792</v>
      </c>
      <c r="G961" s="58">
        <v>1158</v>
      </c>
      <c r="H961" s="59">
        <v>1344</v>
      </c>
      <c r="I961" s="59">
        <f t="shared" si="28"/>
        <v>1881600</v>
      </c>
    </row>
    <row r="962" spans="1:9" customFormat="1" x14ac:dyDescent="0.35">
      <c r="A962" s="63">
        <f t="shared" si="29"/>
        <v>961</v>
      </c>
      <c r="B962" s="54" t="s">
        <v>2748</v>
      </c>
      <c r="C962" s="55" t="s">
        <v>2749</v>
      </c>
      <c r="D962" s="54" t="s">
        <v>1963</v>
      </c>
      <c r="E962" s="92">
        <v>424</v>
      </c>
      <c r="F962" s="57" t="s">
        <v>792</v>
      </c>
      <c r="G962" s="58">
        <v>1910</v>
      </c>
      <c r="H962" s="59">
        <v>2914</v>
      </c>
      <c r="I962" s="59">
        <f t="shared" si="28"/>
        <v>1235536</v>
      </c>
    </row>
    <row r="963" spans="1:9" customFormat="1" x14ac:dyDescent="0.35">
      <c r="A963" s="63">
        <f t="shared" si="29"/>
        <v>962</v>
      </c>
      <c r="B963" s="54" t="s">
        <v>2750</v>
      </c>
      <c r="C963" s="55" t="s">
        <v>2751</v>
      </c>
      <c r="D963" s="54" t="s">
        <v>1963</v>
      </c>
      <c r="E963" s="92">
        <v>3000</v>
      </c>
      <c r="F963" s="57" t="s">
        <v>792</v>
      </c>
      <c r="G963" s="58">
        <v>523</v>
      </c>
      <c r="H963" s="59">
        <v>930</v>
      </c>
      <c r="I963" s="59">
        <f t="shared" ref="I963:I1026" si="30">H963*E963</f>
        <v>2790000</v>
      </c>
    </row>
    <row r="964" spans="1:9" customFormat="1" ht="23" x14ac:dyDescent="0.35">
      <c r="A964" s="63">
        <f t="shared" ref="A964:A1027" si="31">A963+1</f>
        <v>963</v>
      </c>
      <c r="B964" s="54" t="s">
        <v>2752</v>
      </c>
      <c r="C964" s="55" t="s">
        <v>2753</v>
      </c>
      <c r="D964" s="54" t="s">
        <v>1963</v>
      </c>
      <c r="E964" s="92">
        <v>2500</v>
      </c>
      <c r="F964" s="57" t="s">
        <v>792</v>
      </c>
      <c r="G964" s="58">
        <v>540</v>
      </c>
      <c r="H964" s="59">
        <v>605</v>
      </c>
      <c r="I964" s="59">
        <f t="shared" si="30"/>
        <v>1512500</v>
      </c>
    </row>
    <row r="965" spans="1:9" customFormat="1" ht="23" x14ac:dyDescent="0.35">
      <c r="A965" s="63">
        <f t="shared" si="31"/>
        <v>964</v>
      </c>
      <c r="B965" s="54" t="s">
        <v>2754</v>
      </c>
      <c r="C965" s="55" t="s">
        <v>2755</v>
      </c>
      <c r="D965" s="54" t="s">
        <v>1963</v>
      </c>
      <c r="E965" s="92">
        <v>595</v>
      </c>
      <c r="F965" s="57" t="s">
        <v>792</v>
      </c>
      <c r="G965" s="58">
        <v>350</v>
      </c>
      <c r="H965" s="59">
        <v>396</v>
      </c>
      <c r="I965" s="59">
        <f t="shared" si="30"/>
        <v>235620</v>
      </c>
    </row>
    <row r="966" spans="1:9" customFormat="1" x14ac:dyDescent="0.35">
      <c r="A966" s="63">
        <f t="shared" si="31"/>
        <v>965</v>
      </c>
      <c r="B966" s="54" t="s">
        <v>2756</v>
      </c>
      <c r="C966" s="55" t="s">
        <v>2757</v>
      </c>
      <c r="D966" s="54" t="s">
        <v>1963</v>
      </c>
      <c r="E966" s="92">
        <v>1700</v>
      </c>
      <c r="F966" s="57" t="s">
        <v>792</v>
      </c>
      <c r="G966" s="58">
        <v>65</v>
      </c>
      <c r="H966" s="59">
        <v>65</v>
      </c>
      <c r="I966" s="59">
        <f t="shared" si="30"/>
        <v>110500</v>
      </c>
    </row>
    <row r="967" spans="1:9" customFormat="1" ht="23" x14ac:dyDescent="0.35">
      <c r="A967" s="63">
        <f t="shared" si="31"/>
        <v>966</v>
      </c>
      <c r="B967" s="54" t="s">
        <v>2758</v>
      </c>
      <c r="C967" s="55" t="s">
        <v>2759</v>
      </c>
      <c r="D967" s="54" t="s">
        <v>1963</v>
      </c>
      <c r="E967" s="92">
        <v>3200</v>
      </c>
      <c r="F967" s="57" t="s">
        <v>792</v>
      </c>
      <c r="G967" s="58">
        <v>225</v>
      </c>
      <c r="H967" s="59">
        <v>585</v>
      </c>
      <c r="I967" s="59">
        <f t="shared" si="30"/>
        <v>1872000</v>
      </c>
    </row>
    <row r="968" spans="1:9" customFormat="1" ht="23" x14ac:dyDescent="0.35">
      <c r="A968" s="63">
        <f t="shared" si="31"/>
        <v>967</v>
      </c>
      <c r="B968" s="54" t="s">
        <v>2760</v>
      </c>
      <c r="C968" s="55" t="s">
        <v>2761</v>
      </c>
      <c r="D968" s="54" t="s">
        <v>1963</v>
      </c>
      <c r="E968" s="92">
        <v>24</v>
      </c>
      <c r="F968" s="57" t="s">
        <v>792</v>
      </c>
      <c r="G968" s="58">
        <v>110250</v>
      </c>
      <c r="H968" s="59">
        <v>113850</v>
      </c>
      <c r="I968" s="59">
        <f t="shared" si="30"/>
        <v>2732400</v>
      </c>
    </row>
    <row r="969" spans="1:9" customFormat="1" ht="23" x14ac:dyDescent="0.35">
      <c r="A969" s="63">
        <f t="shared" si="31"/>
        <v>968</v>
      </c>
      <c r="B969" s="54" t="s">
        <v>2762</v>
      </c>
      <c r="C969" s="55" t="s">
        <v>2763</v>
      </c>
      <c r="D969" s="54" t="s">
        <v>1963</v>
      </c>
      <c r="E969" s="92">
        <v>31</v>
      </c>
      <c r="F969" s="57" t="s">
        <v>792</v>
      </c>
      <c r="G969" s="58">
        <v>1000</v>
      </c>
      <c r="H969" s="59">
        <v>2000</v>
      </c>
      <c r="I969" s="59">
        <f t="shared" si="30"/>
        <v>62000</v>
      </c>
    </row>
    <row r="970" spans="1:9" customFormat="1" ht="23" x14ac:dyDescent="0.35">
      <c r="A970" s="63">
        <f t="shared" si="31"/>
        <v>969</v>
      </c>
      <c r="B970" s="54" t="s">
        <v>2764</v>
      </c>
      <c r="C970" s="55" t="s">
        <v>2765</v>
      </c>
      <c r="D970" s="54" t="s">
        <v>1963</v>
      </c>
      <c r="E970" s="92">
        <v>98</v>
      </c>
      <c r="F970" s="57" t="s">
        <v>792</v>
      </c>
      <c r="G970" s="58">
        <v>2500</v>
      </c>
      <c r="H970" s="59">
        <v>3638</v>
      </c>
      <c r="I970" s="59">
        <f t="shared" si="30"/>
        <v>356524</v>
      </c>
    </row>
    <row r="971" spans="1:9" customFormat="1" x14ac:dyDescent="0.35">
      <c r="A971" s="63">
        <f t="shared" si="31"/>
        <v>970</v>
      </c>
      <c r="B971" s="54" t="s">
        <v>2766</v>
      </c>
      <c r="C971" s="55" t="s">
        <v>2767</v>
      </c>
      <c r="D971" s="54" t="s">
        <v>1963</v>
      </c>
      <c r="E971" s="92">
        <v>700</v>
      </c>
      <c r="F971" s="57" t="s">
        <v>792</v>
      </c>
      <c r="G971" s="58">
        <v>365</v>
      </c>
      <c r="H971" s="59">
        <v>365</v>
      </c>
      <c r="I971" s="59">
        <f t="shared" si="30"/>
        <v>255500</v>
      </c>
    </row>
    <row r="972" spans="1:9" customFormat="1" x14ac:dyDescent="0.35">
      <c r="A972" s="63">
        <f t="shared" si="31"/>
        <v>971</v>
      </c>
      <c r="B972" s="54" t="s">
        <v>2768</v>
      </c>
      <c r="C972" s="55" t="s">
        <v>2769</v>
      </c>
      <c r="D972" s="54" t="s">
        <v>1963</v>
      </c>
      <c r="E972" s="92">
        <v>510</v>
      </c>
      <c r="F972" s="57" t="s">
        <v>792</v>
      </c>
      <c r="G972" s="58">
        <v>381</v>
      </c>
      <c r="H972" s="59">
        <v>381</v>
      </c>
      <c r="I972" s="59">
        <f t="shared" si="30"/>
        <v>194310</v>
      </c>
    </row>
    <row r="973" spans="1:9" customFormat="1" x14ac:dyDescent="0.35">
      <c r="A973" s="63">
        <f t="shared" si="31"/>
        <v>972</v>
      </c>
      <c r="B973" s="54" t="s">
        <v>2770</v>
      </c>
      <c r="C973" s="55" t="s">
        <v>2771</v>
      </c>
      <c r="D973" s="54" t="s">
        <v>1963</v>
      </c>
      <c r="E973" s="92">
        <v>200</v>
      </c>
      <c r="F973" s="57" t="s">
        <v>815</v>
      </c>
      <c r="G973" s="58">
        <v>4525</v>
      </c>
      <c r="H973" s="59">
        <v>5000</v>
      </c>
      <c r="I973" s="59">
        <f t="shared" si="30"/>
        <v>1000000</v>
      </c>
    </row>
    <row r="974" spans="1:9" customFormat="1" x14ac:dyDescent="0.35">
      <c r="A974" s="63">
        <f t="shared" si="31"/>
        <v>973</v>
      </c>
      <c r="B974" s="54" t="s">
        <v>2772</v>
      </c>
      <c r="C974" s="55" t="s">
        <v>2773</v>
      </c>
      <c r="D974" s="54" t="s">
        <v>1963</v>
      </c>
      <c r="E974" s="92">
        <v>72</v>
      </c>
      <c r="F974" s="57" t="s">
        <v>792</v>
      </c>
      <c r="G974" s="58">
        <v>8000</v>
      </c>
      <c r="H974" s="59">
        <v>11377.778</v>
      </c>
      <c r="I974" s="59">
        <f t="shared" si="30"/>
        <v>819200.01600000006</v>
      </c>
    </row>
    <row r="975" spans="1:9" customFormat="1" ht="23" x14ac:dyDescent="0.35">
      <c r="A975" s="63">
        <f t="shared" si="31"/>
        <v>974</v>
      </c>
      <c r="B975" s="54" t="s">
        <v>2774</v>
      </c>
      <c r="C975" s="55" t="s">
        <v>2775</v>
      </c>
      <c r="D975" s="54" t="s">
        <v>1963</v>
      </c>
      <c r="E975" s="92">
        <v>1000</v>
      </c>
      <c r="F975" s="57" t="s">
        <v>870</v>
      </c>
      <c r="G975" s="58">
        <v>1157</v>
      </c>
      <c r="H975" s="59">
        <v>1804</v>
      </c>
      <c r="I975" s="59">
        <f t="shared" si="30"/>
        <v>1804000</v>
      </c>
    </row>
    <row r="976" spans="1:9" customFormat="1" ht="23" x14ac:dyDescent="0.35">
      <c r="A976" s="63">
        <f t="shared" si="31"/>
        <v>975</v>
      </c>
      <c r="B976" s="54" t="s">
        <v>2776</v>
      </c>
      <c r="C976" s="55" t="s">
        <v>2777</v>
      </c>
      <c r="D976" s="54" t="s">
        <v>1963</v>
      </c>
      <c r="E976" s="92">
        <v>1000</v>
      </c>
      <c r="F976" s="57" t="s">
        <v>870</v>
      </c>
      <c r="G976" s="58">
        <v>2016</v>
      </c>
      <c r="H976" s="59">
        <v>3627</v>
      </c>
      <c r="I976" s="59">
        <f t="shared" si="30"/>
        <v>3627000</v>
      </c>
    </row>
    <row r="977" spans="1:9" customFormat="1" x14ac:dyDescent="0.35">
      <c r="A977" s="63">
        <f t="shared" si="31"/>
        <v>976</v>
      </c>
      <c r="B977" s="54" t="s">
        <v>2778</v>
      </c>
      <c r="C977" s="55" t="s">
        <v>2779</v>
      </c>
      <c r="D977" s="54" t="s">
        <v>1963</v>
      </c>
      <c r="E977" s="92">
        <v>19</v>
      </c>
      <c r="F977" s="57" t="s">
        <v>1563</v>
      </c>
      <c r="G977" s="58">
        <v>15000</v>
      </c>
      <c r="H977" s="59">
        <v>39500</v>
      </c>
      <c r="I977" s="59">
        <f t="shared" si="30"/>
        <v>750500</v>
      </c>
    </row>
    <row r="978" spans="1:9" customFormat="1" ht="23" x14ac:dyDescent="0.35">
      <c r="A978" s="63">
        <f t="shared" si="31"/>
        <v>977</v>
      </c>
      <c r="B978" s="54" t="s">
        <v>2780</v>
      </c>
      <c r="C978" s="55" t="s">
        <v>2781</v>
      </c>
      <c r="D978" s="54" t="s">
        <v>1963</v>
      </c>
      <c r="E978" s="92">
        <v>4</v>
      </c>
      <c r="F978" s="57" t="s">
        <v>792</v>
      </c>
      <c r="G978" s="58">
        <v>95000</v>
      </c>
      <c r="H978" s="59">
        <v>130200</v>
      </c>
      <c r="I978" s="59">
        <f t="shared" si="30"/>
        <v>520800</v>
      </c>
    </row>
    <row r="979" spans="1:9" customFormat="1" ht="34.5" x14ac:dyDescent="0.35">
      <c r="A979" s="63">
        <f t="shared" si="31"/>
        <v>978</v>
      </c>
      <c r="B979" s="54" t="s">
        <v>2782</v>
      </c>
      <c r="C979" s="55" t="s">
        <v>2783</v>
      </c>
      <c r="D979" s="54" t="s">
        <v>1963</v>
      </c>
      <c r="E979" s="92">
        <v>2</v>
      </c>
      <c r="F979" s="57" t="s">
        <v>792</v>
      </c>
      <c r="G979" s="58">
        <v>90000</v>
      </c>
      <c r="H979" s="59">
        <v>130200</v>
      </c>
      <c r="I979" s="59">
        <f t="shared" si="30"/>
        <v>260400</v>
      </c>
    </row>
    <row r="980" spans="1:9" customFormat="1" ht="34.5" x14ac:dyDescent="0.35">
      <c r="A980" s="63">
        <f t="shared" si="31"/>
        <v>979</v>
      </c>
      <c r="B980" s="54" t="s">
        <v>2784</v>
      </c>
      <c r="C980" s="55" t="s">
        <v>2785</v>
      </c>
      <c r="D980" s="54" t="s">
        <v>1963</v>
      </c>
      <c r="E980" s="92">
        <v>2</v>
      </c>
      <c r="F980" s="57" t="s">
        <v>792</v>
      </c>
      <c r="G980" s="58">
        <v>95000</v>
      </c>
      <c r="H980" s="59">
        <v>95000</v>
      </c>
      <c r="I980" s="59">
        <f t="shared" si="30"/>
        <v>190000</v>
      </c>
    </row>
    <row r="981" spans="1:9" customFormat="1" ht="23" x14ac:dyDescent="0.35">
      <c r="A981" s="63">
        <f t="shared" si="31"/>
        <v>980</v>
      </c>
      <c r="B981" s="54" t="s">
        <v>2786</v>
      </c>
      <c r="C981" s="55" t="s">
        <v>2787</v>
      </c>
      <c r="D981" s="54" t="s">
        <v>1963</v>
      </c>
      <c r="E981" s="92">
        <v>100</v>
      </c>
      <c r="F981" s="57" t="s">
        <v>792</v>
      </c>
      <c r="G981" s="58">
        <v>1800</v>
      </c>
      <c r="H981" s="59">
        <v>2800</v>
      </c>
      <c r="I981" s="59">
        <f t="shared" si="30"/>
        <v>280000</v>
      </c>
    </row>
    <row r="982" spans="1:9" customFormat="1" ht="23" x14ac:dyDescent="0.35">
      <c r="A982" s="63">
        <f t="shared" si="31"/>
        <v>981</v>
      </c>
      <c r="B982" s="54" t="s">
        <v>2788</v>
      </c>
      <c r="C982" s="55" t="s">
        <v>2789</v>
      </c>
      <c r="D982" s="54" t="s">
        <v>1963</v>
      </c>
      <c r="E982" s="92">
        <v>40</v>
      </c>
      <c r="F982" s="57" t="s">
        <v>1087</v>
      </c>
      <c r="G982" s="58">
        <v>5000</v>
      </c>
      <c r="H982" s="59">
        <v>6100</v>
      </c>
      <c r="I982" s="59">
        <f t="shared" si="30"/>
        <v>244000</v>
      </c>
    </row>
    <row r="983" spans="1:9" customFormat="1" ht="23" x14ac:dyDescent="0.35">
      <c r="A983" s="63">
        <f t="shared" si="31"/>
        <v>982</v>
      </c>
      <c r="B983" s="54" t="s">
        <v>2790</v>
      </c>
      <c r="C983" s="55" t="s">
        <v>2791</v>
      </c>
      <c r="D983" s="54" t="s">
        <v>1963</v>
      </c>
      <c r="E983" s="92">
        <v>8</v>
      </c>
      <c r="F983" s="57" t="s">
        <v>1087</v>
      </c>
      <c r="G983" s="58">
        <v>25000</v>
      </c>
      <c r="H983" s="59">
        <v>25000</v>
      </c>
      <c r="I983" s="59">
        <f t="shared" si="30"/>
        <v>200000</v>
      </c>
    </row>
    <row r="984" spans="1:9" customFormat="1" x14ac:dyDescent="0.35">
      <c r="A984" s="63">
        <f t="shared" si="31"/>
        <v>983</v>
      </c>
      <c r="B984" s="54" t="s">
        <v>2792</v>
      </c>
      <c r="C984" s="55" t="s">
        <v>2793</v>
      </c>
      <c r="D984" s="54" t="s">
        <v>1963</v>
      </c>
      <c r="E984" s="92">
        <v>16</v>
      </c>
      <c r="F984" s="57" t="s">
        <v>1087</v>
      </c>
      <c r="G984" s="58">
        <v>38299</v>
      </c>
      <c r="H984" s="59">
        <v>44550</v>
      </c>
      <c r="I984" s="59">
        <f t="shared" si="30"/>
        <v>712800</v>
      </c>
    </row>
    <row r="985" spans="1:9" customFormat="1" x14ac:dyDescent="0.35">
      <c r="A985" s="63">
        <f t="shared" si="31"/>
        <v>984</v>
      </c>
      <c r="B985" s="54" t="s">
        <v>2794</v>
      </c>
      <c r="C985" s="55" t="s">
        <v>2795</v>
      </c>
      <c r="D985" s="54" t="s">
        <v>1963</v>
      </c>
      <c r="E985" s="92">
        <v>10</v>
      </c>
      <c r="F985" s="57" t="s">
        <v>969</v>
      </c>
      <c r="G985" s="58">
        <v>120000</v>
      </c>
      <c r="H985" s="59">
        <v>150000</v>
      </c>
      <c r="I985" s="59">
        <f t="shared" si="30"/>
        <v>1500000</v>
      </c>
    </row>
    <row r="986" spans="1:9" customFormat="1" ht="23" x14ac:dyDescent="0.35">
      <c r="A986" s="63">
        <f t="shared" si="31"/>
        <v>985</v>
      </c>
      <c r="B986" s="54" t="s">
        <v>2796</v>
      </c>
      <c r="C986" s="55" t="s">
        <v>2797</v>
      </c>
      <c r="D986" s="54" t="s">
        <v>1963</v>
      </c>
      <c r="E986" s="92">
        <v>2</v>
      </c>
      <c r="F986" s="57" t="s">
        <v>1217</v>
      </c>
      <c r="G986" s="58">
        <v>300000</v>
      </c>
      <c r="H986" s="59">
        <v>300000</v>
      </c>
      <c r="I986" s="59">
        <f t="shared" si="30"/>
        <v>600000</v>
      </c>
    </row>
    <row r="987" spans="1:9" customFormat="1" ht="23" x14ac:dyDescent="0.35">
      <c r="A987" s="63">
        <f t="shared" si="31"/>
        <v>986</v>
      </c>
      <c r="B987" s="54" t="s">
        <v>2798</v>
      </c>
      <c r="C987" s="55" t="s">
        <v>2799</v>
      </c>
      <c r="D987" s="54" t="s">
        <v>1963</v>
      </c>
      <c r="E987" s="92">
        <v>10</v>
      </c>
      <c r="F987" s="57" t="s">
        <v>792</v>
      </c>
      <c r="G987" s="58">
        <v>89475</v>
      </c>
      <c r="H987" s="59">
        <v>90000</v>
      </c>
      <c r="I987" s="59">
        <f t="shared" si="30"/>
        <v>900000</v>
      </c>
    </row>
    <row r="988" spans="1:9" customFormat="1" x14ac:dyDescent="0.35">
      <c r="A988" s="63">
        <f t="shared" si="31"/>
        <v>987</v>
      </c>
      <c r="B988" s="54" t="s">
        <v>2800</v>
      </c>
      <c r="C988" s="55" t="s">
        <v>2801</v>
      </c>
      <c r="D988" s="54" t="s">
        <v>1963</v>
      </c>
      <c r="E988" s="92">
        <v>4</v>
      </c>
      <c r="F988" s="57" t="s">
        <v>792</v>
      </c>
      <c r="G988" s="58">
        <v>118000</v>
      </c>
      <c r="H988" s="59">
        <v>214600</v>
      </c>
      <c r="I988" s="59">
        <f t="shared" si="30"/>
        <v>858400</v>
      </c>
    </row>
    <row r="989" spans="1:9" customFormat="1" ht="23" x14ac:dyDescent="0.35">
      <c r="A989" s="63">
        <f t="shared" si="31"/>
        <v>988</v>
      </c>
      <c r="B989" s="54" t="s">
        <v>2802</v>
      </c>
      <c r="C989" s="55" t="s">
        <v>2803</v>
      </c>
      <c r="D989" s="54" t="s">
        <v>1963</v>
      </c>
      <c r="E989" s="92">
        <v>180</v>
      </c>
      <c r="F989" s="57" t="s">
        <v>1087</v>
      </c>
      <c r="G989" s="58">
        <v>18200</v>
      </c>
      <c r="H989" s="59">
        <v>23100</v>
      </c>
      <c r="I989" s="59">
        <f t="shared" si="30"/>
        <v>4158000</v>
      </c>
    </row>
    <row r="990" spans="1:9" customFormat="1" x14ac:dyDescent="0.35">
      <c r="A990" s="63">
        <f t="shared" si="31"/>
        <v>989</v>
      </c>
      <c r="B990" s="54" t="s">
        <v>2804</v>
      </c>
      <c r="C990" s="55" t="s">
        <v>2805</v>
      </c>
      <c r="D990" s="54" t="s">
        <v>1963</v>
      </c>
      <c r="E990" s="92">
        <v>4</v>
      </c>
      <c r="F990" s="57" t="s">
        <v>1563</v>
      </c>
      <c r="G990" s="58">
        <v>75000</v>
      </c>
      <c r="H990" s="59">
        <v>103230</v>
      </c>
      <c r="I990" s="59">
        <f t="shared" si="30"/>
        <v>412920</v>
      </c>
    </row>
    <row r="991" spans="1:9" customFormat="1" x14ac:dyDescent="0.35">
      <c r="A991" s="63">
        <f t="shared" si="31"/>
        <v>990</v>
      </c>
      <c r="B991" s="54" t="s">
        <v>2806</v>
      </c>
      <c r="C991" s="55" t="s">
        <v>2807</v>
      </c>
      <c r="D991" s="54" t="s">
        <v>1963</v>
      </c>
      <c r="E991" s="92">
        <v>200</v>
      </c>
      <c r="F991" s="57" t="s">
        <v>792</v>
      </c>
      <c r="G991" s="58">
        <v>250</v>
      </c>
      <c r="H991" s="59">
        <v>297</v>
      </c>
      <c r="I991" s="59">
        <f t="shared" si="30"/>
        <v>59400</v>
      </c>
    </row>
    <row r="992" spans="1:9" customFormat="1" ht="23" x14ac:dyDescent="0.35">
      <c r="A992" s="63">
        <f t="shared" si="31"/>
        <v>991</v>
      </c>
      <c r="B992" s="54" t="s">
        <v>2808</v>
      </c>
      <c r="C992" s="55" t="s">
        <v>2809</v>
      </c>
      <c r="D992" s="54" t="s">
        <v>1963</v>
      </c>
      <c r="E992" s="92">
        <v>1</v>
      </c>
      <c r="F992" s="57" t="s">
        <v>870</v>
      </c>
      <c r="G992" s="58">
        <v>10000</v>
      </c>
      <c r="H992" s="59">
        <v>25500</v>
      </c>
      <c r="I992" s="59">
        <f t="shared" si="30"/>
        <v>25500</v>
      </c>
    </row>
    <row r="993" spans="1:9" customFormat="1" x14ac:dyDescent="0.35">
      <c r="A993" s="63">
        <f t="shared" si="31"/>
        <v>992</v>
      </c>
      <c r="B993" s="54" t="s">
        <v>2810</v>
      </c>
      <c r="C993" s="55" t="s">
        <v>2811</v>
      </c>
      <c r="D993" s="54" t="s">
        <v>1963</v>
      </c>
      <c r="E993" s="92">
        <v>150</v>
      </c>
      <c r="F993" s="57" t="s">
        <v>870</v>
      </c>
      <c r="G993" s="58">
        <v>1400</v>
      </c>
      <c r="H993" s="59">
        <v>4867</v>
      </c>
      <c r="I993" s="59">
        <f t="shared" si="30"/>
        <v>730050</v>
      </c>
    </row>
    <row r="994" spans="1:9" customFormat="1" ht="23" x14ac:dyDescent="0.35">
      <c r="A994" s="63">
        <f t="shared" si="31"/>
        <v>993</v>
      </c>
      <c r="B994" s="54" t="s">
        <v>2812</v>
      </c>
      <c r="C994" s="55" t="s">
        <v>2813</v>
      </c>
      <c r="D994" s="54" t="s">
        <v>1963</v>
      </c>
      <c r="E994" s="56">
        <v>0</v>
      </c>
      <c r="F994" s="57" t="s">
        <v>969</v>
      </c>
      <c r="G994" s="58">
        <v>230000</v>
      </c>
      <c r="H994" s="59">
        <v>289344</v>
      </c>
      <c r="I994" s="59">
        <f t="shared" si="30"/>
        <v>0</v>
      </c>
    </row>
    <row r="995" spans="1:9" customFormat="1" x14ac:dyDescent="0.35">
      <c r="A995" s="63">
        <f t="shared" si="31"/>
        <v>994</v>
      </c>
      <c r="B995" s="54" t="s">
        <v>2814</v>
      </c>
      <c r="C995" s="55" t="s">
        <v>2815</v>
      </c>
      <c r="D995" s="54" t="s">
        <v>1963</v>
      </c>
      <c r="E995" s="92">
        <v>150</v>
      </c>
      <c r="F995" s="57" t="s">
        <v>1087</v>
      </c>
      <c r="G995" s="58">
        <v>11250</v>
      </c>
      <c r="H995" s="59">
        <v>15456</v>
      </c>
      <c r="I995" s="59">
        <f t="shared" si="30"/>
        <v>2318400</v>
      </c>
    </row>
    <row r="996" spans="1:9" customFormat="1" ht="23" x14ac:dyDescent="0.35">
      <c r="A996" s="63">
        <f t="shared" si="31"/>
        <v>995</v>
      </c>
      <c r="B996" s="54" t="s">
        <v>2816</v>
      </c>
      <c r="C996" s="55" t="s">
        <v>2817</v>
      </c>
      <c r="D996" s="54" t="s">
        <v>1963</v>
      </c>
      <c r="E996" s="92">
        <v>115</v>
      </c>
      <c r="F996" s="57" t="s">
        <v>792</v>
      </c>
      <c r="G996" s="58">
        <v>42000</v>
      </c>
      <c r="H996" s="59">
        <v>49536</v>
      </c>
      <c r="I996" s="59">
        <f t="shared" si="30"/>
        <v>5696640</v>
      </c>
    </row>
    <row r="997" spans="1:9" customFormat="1" x14ac:dyDescent="0.35">
      <c r="A997" s="63">
        <f t="shared" si="31"/>
        <v>996</v>
      </c>
      <c r="B997" s="54" t="s">
        <v>2818</v>
      </c>
      <c r="C997" s="55" t="s">
        <v>2819</v>
      </c>
      <c r="D997" s="54" t="s">
        <v>1963</v>
      </c>
      <c r="E997" s="92">
        <v>1500</v>
      </c>
      <c r="F997" s="57" t="s">
        <v>792</v>
      </c>
      <c r="G997" s="58">
        <v>1800</v>
      </c>
      <c r="H997" s="59">
        <v>2250</v>
      </c>
      <c r="I997" s="59">
        <f t="shared" si="30"/>
        <v>3375000</v>
      </c>
    </row>
    <row r="998" spans="1:9" customFormat="1" x14ac:dyDescent="0.35">
      <c r="A998" s="63">
        <f t="shared" si="31"/>
        <v>997</v>
      </c>
      <c r="B998" s="54" t="s">
        <v>2820</v>
      </c>
      <c r="C998" s="55" t="s">
        <v>2821</v>
      </c>
      <c r="D998" s="54" t="s">
        <v>1963</v>
      </c>
      <c r="E998" s="92">
        <v>1500</v>
      </c>
      <c r="F998" s="57" t="s">
        <v>792</v>
      </c>
      <c r="G998" s="58">
        <v>1800</v>
      </c>
      <c r="H998" s="59">
        <v>2250</v>
      </c>
      <c r="I998" s="59">
        <f t="shared" si="30"/>
        <v>3375000</v>
      </c>
    </row>
    <row r="999" spans="1:9" customFormat="1" x14ac:dyDescent="0.35">
      <c r="A999" s="63">
        <f t="shared" si="31"/>
        <v>998</v>
      </c>
      <c r="B999" s="54" t="s">
        <v>2822</v>
      </c>
      <c r="C999" s="55" t="s">
        <v>2823</v>
      </c>
      <c r="D999" s="54" t="s">
        <v>1963</v>
      </c>
      <c r="E999" s="92">
        <v>73</v>
      </c>
      <c r="F999" s="57" t="s">
        <v>1087</v>
      </c>
      <c r="G999" s="58">
        <v>22500</v>
      </c>
      <c r="H999" s="59">
        <v>29000</v>
      </c>
      <c r="I999" s="59">
        <f t="shared" si="30"/>
        <v>2117000</v>
      </c>
    </row>
    <row r="1000" spans="1:9" customFormat="1" ht="23" x14ac:dyDescent="0.35">
      <c r="A1000" s="63">
        <f t="shared" si="31"/>
        <v>999</v>
      </c>
      <c r="B1000" s="54" t="s">
        <v>2824</v>
      </c>
      <c r="C1000" s="55" t="s">
        <v>2825</v>
      </c>
      <c r="D1000" s="54" t="s">
        <v>1963</v>
      </c>
      <c r="E1000" s="92">
        <v>50</v>
      </c>
      <c r="F1000" s="57" t="s">
        <v>792</v>
      </c>
      <c r="G1000" s="58">
        <v>0</v>
      </c>
      <c r="H1000" s="59">
        <v>900</v>
      </c>
      <c r="I1000" s="59">
        <f t="shared" si="30"/>
        <v>45000</v>
      </c>
    </row>
    <row r="1001" spans="1:9" customFormat="1" ht="23" x14ac:dyDescent="0.35">
      <c r="A1001" s="63">
        <f t="shared" si="31"/>
        <v>1000</v>
      </c>
      <c r="B1001" s="54" t="s">
        <v>2826</v>
      </c>
      <c r="C1001" s="55" t="s">
        <v>2827</v>
      </c>
      <c r="D1001" s="54" t="s">
        <v>1963</v>
      </c>
      <c r="E1001" s="92">
        <v>32</v>
      </c>
      <c r="F1001" s="57" t="s">
        <v>792</v>
      </c>
      <c r="G1001" s="58">
        <v>450</v>
      </c>
      <c r="H1001" s="59">
        <v>550</v>
      </c>
      <c r="I1001" s="59">
        <f t="shared" si="30"/>
        <v>17600</v>
      </c>
    </row>
    <row r="1002" spans="1:9" customFormat="1" x14ac:dyDescent="0.35">
      <c r="A1002" s="63">
        <f t="shared" si="31"/>
        <v>1001</v>
      </c>
      <c r="B1002" s="54" t="s">
        <v>2828</v>
      </c>
      <c r="C1002" s="55" t="s">
        <v>2829</v>
      </c>
      <c r="D1002" s="54" t="s">
        <v>1963</v>
      </c>
      <c r="E1002" s="92">
        <v>1500</v>
      </c>
      <c r="F1002" s="57" t="s">
        <v>792</v>
      </c>
      <c r="G1002" s="58">
        <v>66</v>
      </c>
      <c r="H1002" s="59">
        <v>66</v>
      </c>
      <c r="I1002" s="59">
        <f t="shared" si="30"/>
        <v>99000</v>
      </c>
    </row>
    <row r="1003" spans="1:9" customFormat="1" ht="23" x14ac:dyDescent="0.35">
      <c r="A1003" s="63">
        <f t="shared" si="31"/>
        <v>1002</v>
      </c>
      <c r="B1003" s="54" t="s">
        <v>2830</v>
      </c>
      <c r="C1003" s="55" t="s">
        <v>2831</v>
      </c>
      <c r="D1003" s="54" t="s">
        <v>1963</v>
      </c>
      <c r="E1003" s="92">
        <v>6900</v>
      </c>
      <c r="F1003" s="57" t="s">
        <v>792</v>
      </c>
      <c r="G1003" s="58">
        <v>65</v>
      </c>
      <c r="H1003" s="59">
        <v>65</v>
      </c>
      <c r="I1003" s="59">
        <f t="shared" si="30"/>
        <v>448500</v>
      </c>
    </row>
    <row r="1004" spans="1:9" customFormat="1" ht="23" x14ac:dyDescent="0.35">
      <c r="A1004" s="63">
        <f t="shared" si="31"/>
        <v>1003</v>
      </c>
      <c r="B1004" s="54" t="s">
        <v>2832</v>
      </c>
      <c r="C1004" s="55" t="s">
        <v>2833</v>
      </c>
      <c r="D1004" s="54" t="s">
        <v>1963</v>
      </c>
      <c r="E1004" s="92">
        <v>5000</v>
      </c>
      <c r="F1004" s="57" t="s">
        <v>792</v>
      </c>
      <c r="G1004" s="58">
        <v>0</v>
      </c>
      <c r="H1004" s="59">
        <v>192</v>
      </c>
      <c r="I1004" s="59">
        <f t="shared" si="30"/>
        <v>960000</v>
      </c>
    </row>
    <row r="1005" spans="1:9" customFormat="1" ht="23" x14ac:dyDescent="0.35">
      <c r="A1005" s="63">
        <f t="shared" si="31"/>
        <v>1004</v>
      </c>
      <c r="B1005" s="54" t="s">
        <v>2834</v>
      </c>
      <c r="C1005" s="55" t="s">
        <v>2835</v>
      </c>
      <c r="D1005" s="54" t="s">
        <v>1963</v>
      </c>
      <c r="E1005" s="92">
        <v>6000</v>
      </c>
      <c r="F1005" s="57" t="s">
        <v>792</v>
      </c>
      <c r="G1005" s="58">
        <v>38</v>
      </c>
      <c r="H1005" s="59">
        <v>38</v>
      </c>
      <c r="I1005" s="59">
        <f t="shared" si="30"/>
        <v>228000</v>
      </c>
    </row>
    <row r="1006" spans="1:9" customFormat="1" ht="23" x14ac:dyDescent="0.35">
      <c r="A1006" s="63">
        <f t="shared" si="31"/>
        <v>1005</v>
      </c>
      <c r="B1006" s="54" t="s">
        <v>2836</v>
      </c>
      <c r="C1006" s="55" t="s">
        <v>2837</v>
      </c>
      <c r="D1006" s="54" t="s">
        <v>1963</v>
      </c>
      <c r="E1006" s="92">
        <v>2000</v>
      </c>
      <c r="F1006" s="57" t="s">
        <v>792</v>
      </c>
      <c r="G1006" s="58">
        <v>0</v>
      </c>
      <c r="H1006" s="59">
        <v>513</v>
      </c>
      <c r="I1006" s="59">
        <f t="shared" si="30"/>
        <v>1026000</v>
      </c>
    </row>
    <row r="1007" spans="1:9" customFormat="1" ht="23" x14ac:dyDescent="0.35">
      <c r="A1007" s="63">
        <f t="shared" si="31"/>
        <v>1006</v>
      </c>
      <c r="B1007" s="54" t="s">
        <v>2838</v>
      </c>
      <c r="C1007" s="55" t="s">
        <v>2839</v>
      </c>
      <c r="D1007" s="54" t="s">
        <v>1963</v>
      </c>
      <c r="E1007" s="92">
        <v>4800</v>
      </c>
      <c r="F1007" s="57" t="s">
        <v>792</v>
      </c>
      <c r="G1007" s="58">
        <v>170</v>
      </c>
      <c r="H1007" s="59">
        <v>192</v>
      </c>
      <c r="I1007" s="59">
        <f t="shared" si="30"/>
        <v>921600</v>
      </c>
    </row>
    <row r="1008" spans="1:9" customFormat="1" ht="23" x14ac:dyDescent="0.35">
      <c r="A1008" s="63">
        <f t="shared" si="31"/>
        <v>1007</v>
      </c>
      <c r="B1008" s="54" t="s">
        <v>2840</v>
      </c>
      <c r="C1008" s="55" t="s">
        <v>2841</v>
      </c>
      <c r="D1008" s="54" t="s">
        <v>1963</v>
      </c>
      <c r="E1008" s="92">
        <v>924</v>
      </c>
      <c r="F1008" s="57" t="s">
        <v>792</v>
      </c>
      <c r="G1008" s="58">
        <v>616</v>
      </c>
      <c r="H1008" s="59">
        <v>1128</v>
      </c>
      <c r="I1008" s="59">
        <f t="shared" si="30"/>
        <v>1042272</v>
      </c>
    </row>
    <row r="1009" spans="1:9" customFormat="1" ht="23" x14ac:dyDescent="0.35">
      <c r="A1009" s="63">
        <f t="shared" si="31"/>
        <v>1008</v>
      </c>
      <c r="B1009" s="54" t="s">
        <v>2842</v>
      </c>
      <c r="C1009" s="55" t="s">
        <v>2843</v>
      </c>
      <c r="D1009" s="54" t="s">
        <v>1963</v>
      </c>
      <c r="E1009" s="92">
        <v>7000</v>
      </c>
      <c r="F1009" s="57" t="s">
        <v>792</v>
      </c>
      <c r="G1009" s="58">
        <v>60</v>
      </c>
      <c r="H1009" s="59">
        <v>128</v>
      </c>
      <c r="I1009" s="59">
        <f t="shared" si="30"/>
        <v>896000</v>
      </c>
    </row>
    <row r="1010" spans="1:9" customFormat="1" ht="23" x14ac:dyDescent="0.35">
      <c r="A1010" s="63">
        <f t="shared" si="31"/>
        <v>1009</v>
      </c>
      <c r="B1010" s="54" t="s">
        <v>2844</v>
      </c>
      <c r="C1010" s="55" t="s">
        <v>2845</v>
      </c>
      <c r="D1010" s="54" t="s">
        <v>1963</v>
      </c>
      <c r="E1010" s="92">
        <v>8900</v>
      </c>
      <c r="F1010" s="57" t="s">
        <v>792</v>
      </c>
      <c r="G1010" s="58">
        <v>27</v>
      </c>
      <c r="H1010" s="59">
        <v>44</v>
      </c>
      <c r="I1010" s="59">
        <f t="shared" si="30"/>
        <v>391600</v>
      </c>
    </row>
    <row r="1011" spans="1:9" customFormat="1" ht="23" x14ac:dyDescent="0.35">
      <c r="A1011" s="63">
        <f t="shared" si="31"/>
        <v>1010</v>
      </c>
      <c r="B1011" s="54" t="s">
        <v>2846</v>
      </c>
      <c r="C1011" s="55" t="s">
        <v>2847</v>
      </c>
      <c r="D1011" s="54" t="s">
        <v>1963</v>
      </c>
      <c r="E1011" s="92">
        <v>3500</v>
      </c>
      <c r="F1011" s="57" t="s">
        <v>792</v>
      </c>
      <c r="G1011" s="58">
        <v>31</v>
      </c>
      <c r="H1011" s="59">
        <v>48</v>
      </c>
      <c r="I1011" s="59">
        <f t="shared" si="30"/>
        <v>168000</v>
      </c>
    </row>
    <row r="1012" spans="1:9" customFormat="1" x14ac:dyDescent="0.35">
      <c r="A1012" s="63">
        <f t="shared" si="31"/>
        <v>1011</v>
      </c>
      <c r="B1012" s="54" t="s">
        <v>2848</v>
      </c>
      <c r="C1012" s="55" t="s">
        <v>2849</v>
      </c>
      <c r="D1012" s="54" t="s">
        <v>1963</v>
      </c>
      <c r="E1012" s="92">
        <v>3460</v>
      </c>
      <c r="F1012" s="57" t="s">
        <v>792</v>
      </c>
      <c r="G1012" s="58">
        <v>100</v>
      </c>
      <c r="H1012" s="59">
        <v>247</v>
      </c>
      <c r="I1012" s="59">
        <f t="shared" si="30"/>
        <v>854620</v>
      </c>
    </row>
    <row r="1013" spans="1:9" customFormat="1" ht="23" x14ac:dyDescent="0.35">
      <c r="A1013" s="63">
        <f t="shared" si="31"/>
        <v>1012</v>
      </c>
      <c r="B1013" s="54" t="s">
        <v>2850</v>
      </c>
      <c r="C1013" s="55" t="s">
        <v>2851</v>
      </c>
      <c r="D1013" s="54" t="s">
        <v>1963</v>
      </c>
      <c r="E1013" s="92">
        <v>2500</v>
      </c>
      <c r="F1013" s="57" t="s">
        <v>792</v>
      </c>
      <c r="G1013" s="58">
        <v>45</v>
      </c>
      <c r="H1013" s="59">
        <v>69</v>
      </c>
      <c r="I1013" s="59">
        <f t="shared" si="30"/>
        <v>172500</v>
      </c>
    </row>
    <row r="1014" spans="1:9" customFormat="1" ht="23" x14ac:dyDescent="0.35">
      <c r="A1014" s="63">
        <f t="shared" si="31"/>
        <v>1013</v>
      </c>
      <c r="B1014" s="54" t="s">
        <v>2852</v>
      </c>
      <c r="C1014" s="55" t="s">
        <v>2853</v>
      </c>
      <c r="D1014" s="54" t="s">
        <v>1963</v>
      </c>
      <c r="E1014" s="92">
        <v>108</v>
      </c>
      <c r="F1014" s="57" t="s">
        <v>792</v>
      </c>
      <c r="G1014" s="58">
        <v>400</v>
      </c>
      <c r="H1014" s="59">
        <v>400</v>
      </c>
      <c r="I1014" s="59">
        <f t="shared" si="30"/>
        <v>43200</v>
      </c>
    </row>
    <row r="1015" spans="1:9" customFormat="1" ht="23" x14ac:dyDescent="0.35">
      <c r="A1015" s="63">
        <f t="shared" si="31"/>
        <v>1014</v>
      </c>
      <c r="B1015" s="54" t="s">
        <v>2854</v>
      </c>
      <c r="C1015" s="55" t="s">
        <v>2855</v>
      </c>
      <c r="D1015" s="54" t="s">
        <v>1963</v>
      </c>
      <c r="E1015" s="92">
        <v>4</v>
      </c>
      <c r="F1015" s="57" t="s">
        <v>815</v>
      </c>
      <c r="G1015" s="58">
        <v>205000</v>
      </c>
      <c r="H1015" s="59">
        <v>269664</v>
      </c>
      <c r="I1015" s="59">
        <f t="shared" si="30"/>
        <v>1078656</v>
      </c>
    </row>
    <row r="1016" spans="1:9" customFormat="1" ht="23" x14ac:dyDescent="0.35">
      <c r="A1016" s="63">
        <f t="shared" si="31"/>
        <v>1015</v>
      </c>
      <c r="B1016" s="54" t="s">
        <v>2856</v>
      </c>
      <c r="C1016" s="55" t="s">
        <v>2857</v>
      </c>
      <c r="D1016" s="54" t="s">
        <v>1963</v>
      </c>
      <c r="E1016" s="92">
        <v>2562</v>
      </c>
      <c r="F1016" s="57" t="s">
        <v>792</v>
      </c>
      <c r="G1016" s="58">
        <v>1950</v>
      </c>
      <c r="H1016" s="59">
        <v>2350</v>
      </c>
      <c r="I1016" s="59">
        <f t="shared" si="30"/>
        <v>6020700</v>
      </c>
    </row>
    <row r="1017" spans="1:9" customFormat="1" ht="23" x14ac:dyDescent="0.35">
      <c r="A1017" s="63">
        <f t="shared" si="31"/>
        <v>1016</v>
      </c>
      <c r="B1017" s="54" t="s">
        <v>2858</v>
      </c>
      <c r="C1017" s="55" t="s">
        <v>2859</v>
      </c>
      <c r="D1017" s="54" t="s">
        <v>1963</v>
      </c>
      <c r="E1017" s="92">
        <v>13</v>
      </c>
      <c r="F1017" s="57" t="s">
        <v>792</v>
      </c>
      <c r="G1017" s="58">
        <v>139000</v>
      </c>
      <c r="H1017" s="59">
        <v>153000</v>
      </c>
      <c r="I1017" s="59">
        <f t="shared" si="30"/>
        <v>1989000</v>
      </c>
    </row>
    <row r="1018" spans="1:9" customFormat="1" ht="23" x14ac:dyDescent="0.35">
      <c r="A1018" s="63">
        <f t="shared" si="31"/>
        <v>1017</v>
      </c>
      <c r="B1018" s="54" t="s">
        <v>2860</v>
      </c>
      <c r="C1018" s="55" t="s">
        <v>2861</v>
      </c>
      <c r="D1018" s="54" t="s">
        <v>1963</v>
      </c>
      <c r="E1018" s="92">
        <v>1</v>
      </c>
      <c r="F1018" s="57" t="s">
        <v>792</v>
      </c>
      <c r="G1018" s="58">
        <v>295000</v>
      </c>
      <c r="H1018" s="59">
        <v>318000</v>
      </c>
      <c r="I1018" s="59">
        <f t="shared" si="30"/>
        <v>318000</v>
      </c>
    </row>
    <row r="1019" spans="1:9" customFormat="1" ht="23" x14ac:dyDescent="0.35">
      <c r="A1019" s="63">
        <f t="shared" si="31"/>
        <v>1018</v>
      </c>
      <c r="B1019" s="54" t="s">
        <v>2862</v>
      </c>
      <c r="C1019" s="55" t="s">
        <v>2863</v>
      </c>
      <c r="D1019" s="54" t="s">
        <v>1963</v>
      </c>
      <c r="E1019" s="92">
        <v>1</v>
      </c>
      <c r="F1019" s="57" t="s">
        <v>792</v>
      </c>
      <c r="G1019" s="58">
        <v>230350</v>
      </c>
      <c r="H1019" s="59">
        <v>230350</v>
      </c>
      <c r="I1019" s="59">
        <f t="shared" si="30"/>
        <v>230350</v>
      </c>
    </row>
    <row r="1020" spans="1:9" customFormat="1" x14ac:dyDescent="0.35">
      <c r="A1020" s="63">
        <f t="shared" si="31"/>
        <v>1019</v>
      </c>
      <c r="B1020" s="54" t="s">
        <v>2864</v>
      </c>
      <c r="C1020" s="55" t="s">
        <v>2865</v>
      </c>
      <c r="D1020" s="54" t="s">
        <v>1963</v>
      </c>
      <c r="E1020" s="92">
        <v>10000</v>
      </c>
      <c r="F1020" s="57" t="s">
        <v>792</v>
      </c>
      <c r="G1020" s="58">
        <v>62</v>
      </c>
      <c r="H1020" s="59">
        <v>60</v>
      </c>
      <c r="I1020" s="59">
        <f t="shared" si="30"/>
        <v>600000</v>
      </c>
    </row>
    <row r="1021" spans="1:9" customFormat="1" ht="23" x14ac:dyDescent="0.35">
      <c r="A1021" s="63">
        <f t="shared" si="31"/>
        <v>1020</v>
      </c>
      <c r="B1021" s="54" t="s">
        <v>2866</v>
      </c>
      <c r="C1021" s="55" t="s">
        <v>2867</v>
      </c>
      <c r="D1021" s="54" t="s">
        <v>1963</v>
      </c>
      <c r="E1021" s="92">
        <v>7</v>
      </c>
      <c r="F1021" s="57" t="s">
        <v>792</v>
      </c>
      <c r="G1021" s="58">
        <v>0</v>
      </c>
      <c r="H1021" s="59">
        <v>10687</v>
      </c>
      <c r="I1021" s="59">
        <f t="shared" si="30"/>
        <v>74809</v>
      </c>
    </row>
    <row r="1022" spans="1:9" customFormat="1" ht="23" x14ac:dyDescent="0.35">
      <c r="A1022" s="63">
        <f t="shared" si="31"/>
        <v>1021</v>
      </c>
      <c r="B1022" s="54" t="s">
        <v>2868</v>
      </c>
      <c r="C1022" s="55" t="s">
        <v>2869</v>
      </c>
      <c r="D1022" s="54" t="s">
        <v>1963</v>
      </c>
      <c r="E1022" s="92">
        <v>280</v>
      </c>
      <c r="F1022" s="57" t="s">
        <v>792</v>
      </c>
      <c r="G1022" s="58">
        <v>5227</v>
      </c>
      <c r="H1022" s="59">
        <v>6835</v>
      </c>
      <c r="I1022" s="59">
        <f t="shared" si="30"/>
        <v>1913800</v>
      </c>
    </row>
    <row r="1023" spans="1:9" customFormat="1" x14ac:dyDescent="0.35">
      <c r="A1023" s="63">
        <f t="shared" si="31"/>
        <v>1022</v>
      </c>
      <c r="B1023" s="54" t="s">
        <v>2870</v>
      </c>
      <c r="C1023" s="55" t="s">
        <v>2871</v>
      </c>
      <c r="D1023" s="54" t="s">
        <v>1963</v>
      </c>
      <c r="E1023" s="92">
        <v>1000</v>
      </c>
      <c r="F1023" s="57" t="s">
        <v>792</v>
      </c>
      <c r="G1023" s="58">
        <v>3250</v>
      </c>
      <c r="H1023" s="59">
        <v>5000</v>
      </c>
      <c r="I1023" s="59">
        <f t="shared" si="30"/>
        <v>5000000</v>
      </c>
    </row>
    <row r="1024" spans="1:9" customFormat="1" x14ac:dyDescent="0.35">
      <c r="A1024" s="63">
        <f t="shared" si="31"/>
        <v>1023</v>
      </c>
      <c r="B1024" s="54" t="s">
        <v>2872</v>
      </c>
      <c r="C1024" s="55" t="s">
        <v>2873</v>
      </c>
      <c r="D1024" s="54" t="s">
        <v>1963</v>
      </c>
      <c r="E1024" s="92">
        <v>200</v>
      </c>
      <c r="F1024" s="57" t="s">
        <v>792</v>
      </c>
      <c r="G1024" s="58">
        <v>3217</v>
      </c>
      <c r="H1024" s="59">
        <v>4950</v>
      </c>
      <c r="I1024" s="59">
        <f t="shared" si="30"/>
        <v>990000</v>
      </c>
    </row>
    <row r="1025" spans="1:9" customFormat="1" x14ac:dyDescent="0.35">
      <c r="A1025" s="63">
        <f t="shared" si="31"/>
        <v>1024</v>
      </c>
      <c r="B1025" s="54" t="s">
        <v>2874</v>
      </c>
      <c r="C1025" s="55" t="s">
        <v>2875</v>
      </c>
      <c r="D1025" s="54" t="s">
        <v>1963</v>
      </c>
      <c r="E1025" s="92">
        <v>4400</v>
      </c>
      <c r="F1025" s="57" t="s">
        <v>792</v>
      </c>
      <c r="G1025" s="58">
        <v>270</v>
      </c>
      <c r="H1025" s="59">
        <v>506</v>
      </c>
      <c r="I1025" s="59">
        <f t="shared" si="30"/>
        <v>2226400</v>
      </c>
    </row>
    <row r="1026" spans="1:9" customFormat="1" x14ac:dyDescent="0.35">
      <c r="A1026" s="63">
        <f t="shared" si="31"/>
        <v>1025</v>
      </c>
      <c r="B1026" s="54" t="s">
        <v>2876</v>
      </c>
      <c r="C1026" s="55" t="s">
        <v>2877</v>
      </c>
      <c r="D1026" s="54" t="s">
        <v>1963</v>
      </c>
      <c r="E1026" s="92">
        <v>6200</v>
      </c>
      <c r="F1026" s="57" t="s">
        <v>792</v>
      </c>
      <c r="G1026" s="58">
        <v>280</v>
      </c>
      <c r="H1026" s="59">
        <v>506</v>
      </c>
      <c r="I1026" s="59">
        <f t="shared" si="30"/>
        <v>3137200</v>
      </c>
    </row>
    <row r="1027" spans="1:9" customFormat="1" ht="34.5" x14ac:dyDescent="0.35">
      <c r="A1027" s="63">
        <f t="shared" si="31"/>
        <v>1026</v>
      </c>
      <c r="B1027" s="54" t="s">
        <v>2878</v>
      </c>
      <c r="C1027" s="55" t="s">
        <v>2879</v>
      </c>
      <c r="D1027" s="54" t="s">
        <v>1963</v>
      </c>
      <c r="E1027" s="92">
        <v>800</v>
      </c>
      <c r="F1027" s="57" t="s">
        <v>792</v>
      </c>
      <c r="G1027" s="58">
        <v>325</v>
      </c>
      <c r="H1027" s="59">
        <v>333</v>
      </c>
      <c r="I1027" s="59">
        <f t="shared" ref="I1027:I1090" si="32">H1027*E1027</f>
        <v>266400</v>
      </c>
    </row>
    <row r="1028" spans="1:9" customFormat="1" ht="34.5" x14ac:dyDescent="0.35">
      <c r="A1028" s="63">
        <f t="shared" ref="A1028:A1091" si="33">A1027+1</f>
        <v>1027</v>
      </c>
      <c r="B1028" s="54" t="s">
        <v>2880</v>
      </c>
      <c r="C1028" s="55" t="s">
        <v>2881</v>
      </c>
      <c r="D1028" s="54" t="s">
        <v>1963</v>
      </c>
      <c r="E1028" s="92">
        <v>7400</v>
      </c>
      <c r="F1028" s="57" t="s">
        <v>792</v>
      </c>
      <c r="G1028" s="58">
        <v>490.51</v>
      </c>
      <c r="H1028" s="59">
        <v>450</v>
      </c>
      <c r="I1028" s="59">
        <f t="shared" si="32"/>
        <v>3330000</v>
      </c>
    </row>
    <row r="1029" spans="1:9" customFormat="1" ht="23" x14ac:dyDescent="0.35">
      <c r="A1029" s="63">
        <f t="shared" si="33"/>
        <v>1028</v>
      </c>
      <c r="B1029" s="54" t="s">
        <v>2882</v>
      </c>
      <c r="C1029" s="55" t="s">
        <v>2883</v>
      </c>
      <c r="D1029" s="54" t="s">
        <v>1963</v>
      </c>
      <c r="E1029" s="92">
        <v>30</v>
      </c>
      <c r="F1029" s="57" t="s">
        <v>792</v>
      </c>
      <c r="G1029" s="58">
        <v>0</v>
      </c>
      <c r="H1029" s="59">
        <v>31100</v>
      </c>
      <c r="I1029" s="59">
        <f t="shared" si="32"/>
        <v>933000</v>
      </c>
    </row>
    <row r="1030" spans="1:9" customFormat="1" ht="23" x14ac:dyDescent="0.35">
      <c r="A1030" s="63">
        <f t="shared" si="33"/>
        <v>1029</v>
      </c>
      <c r="B1030" s="54" t="s">
        <v>2884</v>
      </c>
      <c r="C1030" s="55" t="s">
        <v>2885</v>
      </c>
      <c r="D1030" s="54" t="s">
        <v>1963</v>
      </c>
      <c r="E1030" s="92">
        <v>48</v>
      </c>
      <c r="F1030" s="57" t="s">
        <v>792</v>
      </c>
      <c r="G1030" s="58">
        <v>0</v>
      </c>
      <c r="H1030" s="59">
        <v>157439</v>
      </c>
      <c r="I1030" s="59">
        <f t="shared" si="32"/>
        <v>7557072</v>
      </c>
    </row>
    <row r="1031" spans="1:9" x14ac:dyDescent="0.35">
      <c r="A1031" s="71">
        <f t="shared" si="33"/>
        <v>1030</v>
      </c>
      <c r="B1031" s="72" t="s">
        <v>2886</v>
      </c>
      <c r="C1031" s="73" t="s">
        <v>2887</v>
      </c>
      <c r="D1031" s="72" t="s">
        <v>1963</v>
      </c>
      <c r="E1031" s="93">
        <v>1</v>
      </c>
      <c r="F1031" s="74" t="s">
        <v>792</v>
      </c>
      <c r="G1031" s="75">
        <v>8755</v>
      </c>
      <c r="H1031" s="76">
        <v>13500</v>
      </c>
      <c r="I1031" s="59">
        <f t="shared" si="32"/>
        <v>13500</v>
      </c>
    </row>
    <row r="1032" spans="1:9" customFormat="1" ht="34.5" x14ac:dyDescent="0.35">
      <c r="A1032" s="63">
        <f t="shared" si="33"/>
        <v>1031</v>
      </c>
      <c r="B1032" s="54" t="s">
        <v>2888</v>
      </c>
      <c r="C1032" s="55" t="s">
        <v>2889</v>
      </c>
      <c r="D1032" s="54" t="s">
        <v>1963</v>
      </c>
      <c r="E1032" s="92">
        <v>1</v>
      </c>
      <c r="F1032" s="57" t="s">
        <v>792</v>
      </c>
      <c r="G1032" s="58">
        <v>765000</v>
      </c>
      <c r="H1032" s="59">
        <v>765000</v>
      </c>
      <c r="I1032" s="59">
        <f t="shared" si="32"/>
        <v>765000</v>
      </c>
    </row>
    <row r="1033" spans="1:9" customFormat="1" ht="34.5" x14ac:dyDescent="0.35">
      <c r="A1033" s="63">
        <f t="shared" si="33"/>
        <v>1032</v>
      </c>
      <c r="B1033" s="54" t="s">
        <v>2890</v>
      </c>
      <c r="C1033" s="55" t="s">
        <v>2891</v>
      </c>
      <c r="D1033" s="54" t="s">
        <v>1963</v>
      </c>
      <c r="E1033" s="92">
        <v>1</v>
      </c>
      <c r="F1033" s="57" t="s">
        <v>792</v>
      </c>
      <c r="G1033" s="58">
        <v>926250</v>
      </c>
      <c r="H1033" s="59">
        <v>926250</v>
      </c>
      <c r="I1033" s="59">
        <f t="shared" si="32"/>
        <v>926250</v>
      </c>
    </row>
    <row r="1034" spans="1:9" customFormat="1" ht="23" x14ac:dyDescent="0.35">
      <c r="A1034" s="63">
        <f t="shared" si="33"/>
        <v>1033</v>
      </c>
      <c r="B1034" s="54" t="s">
        <v>2892</v>
      </c>
      <c r="C1034" s="55" t="s">
        <v>2893</v>
      </c>
      <c r="D1034" s="54" t="s">
        <v>1963</v>
      </c>
      <c r="E1034" s="92">
        <v>200</v>
      </c>
      <c r="F1034" s="57" t="s">
        <v>792</v>
      </c>
      <c r="G1034" s="58">
        <v>2460</v>
      </c>
      <c r="H1034" s="59">
        <v>3900</v>
      </c>
      <c r="I1034" s="59">
        <f t="shared" si="32"/>
        <v>780000</v>
      </c>
    </row>
    <row r="1035" spans="1:9" customFormat="1" ht="23" x14ac:dyDescent="0.35">
      <c r="A1035" s="63">
        <f t="shared" si="33"/>
        <v>1034</v>
      </c>
      <c r="B1035" s="54" t="s">
        <v>2894</v>
      </c>
      <c r="C1035" s="55" t="s">
        <v>2895</v>
      </c>
      <c r="D1035" s="54" t="s">
        <v>1963</v>
      </c>
      <c r="E1035" s="92">
        <v>30</v>
      </c>
      <c r="F1035" s="57" t="s">
        <v>792</v>
      </c>
      <c r="G1035" s="58">
        <v>1996</v>
      </c>
      <c r="H1035" s="59">
        <v>3900</v>
      </c>
      <c r="I1035" s="59">
        <f t="shared" si="32"/>
        <v>117000</v>
      </c>
    </row>
    <row r="1036" spans="1:9" customFormat="1" ht="23" x14ac:dyDescent="0.35">
      <c r="A1036" s="63">
        <f t="shared" si="33"/>
        <v>1035</v>
      </c>
      <c r="B1036" s="54" t="s">
        <v>2896</v>
      </c>
      <c r="C1036" s="55" t="s">
        <v>2897</v>
      </c>
      <c r="D1036" s="54" t="s">
        <v>1963</v>
      </c>
      <c r="E1036" s="92">
        <v>100</v>
      </c>
      <c r="F1036" s="57" t="s">
        <v>792</v>
      </c>
      <c r="G1036" s="58">
        <v>2860</v>
      </c>
      <c r="H1036" s="59">
        <v>3515</v>
      </c>
      <c r="I1036" s="59">
        <f t="shared" si="32"/>
        <v>351500</v>
      </c>
    </row>
    <row r="1037" spans="1:9" customFormat="1" ht="34.5" x14ac:dyDescent="0.35">
      <c r="A1037" s="63">
        <f t="shared" si="33"/>
        <v>1036</v>
      </c>
      <c r="B1037" s="54" t="s">
        <v>2898</v>
      </c>
      <c r="C1037" s="55" t="s">
        <v>2899</v>
      </c>
      <c r="D1037" s="54" t="s">
        <v>1963</v>
      </c>
      <c r="E1037" s="92">
        <v>9</v>
      </c>
      <c r="F1037" s="57" t="s">
        <v>792</v>
      </c>
      <c r="G1037" s="58">
        <v>133000</v>
      </c>
      <c r="H1037" s="59">
        <v>144000</v>
      </c>
      <c r="I1037" s="59">
        <f t="shared" si="32"/>
        <v>1296000</v>
      </c>
    </row>
    <row r="1038" spans="1:9" customFormat="1" ht="23" x14ac:dyDescent="0.35">
      <c r="A1038" s="63">
        <f t="shared" si="33"/>
        <v>1037</v>
      </c>
      <c r="B1038" s="54" t="s">
        <v>2900</v>
      </c>
      <c r="C1038" s="55" t="s">
        <v>2901</v>
      </c>
      <c r="D1038" s="54" t="s">
        <v>1963</v>
      </c>
      <c r="E1038" s="92">
        <v>200</v>
      </c>
      <c r="F1038" s="57" t="s">
        <v>792</v>
      </c>
      <c r="G1038" s="58">
        <v>0</v>
      </c>
      <c r="H1038" s="59">
        <v>897</v>
      </c>
      <c r="I1038" s="59">
        <f t="shared" si="32"/>
        <v>179400</v>
      </c>
    </row>
    <row r="1039" spans="1:9" customFormat="1" ht="23" x14ac:dyDescent="0.35">
      <c r="A1039" s="63">
        <f t="shared" si="33"/>
        <v>1038</v>
      </c>
      <c r="B1039" s="54" t="s">
        <v>2902</v>
      </c>
      <c r="C1039" s="55" t="s">
        <v>2903</v>
      </c>
      <c r="D1039" s="54" t="s">
        <v>1963</v>
      </c>
      <c r="E1039" s="92">
        <v>200</v>
      </c>
      <c r="F1039" s="57" t="s">
        <v>792</v>
      </c>
      <c r="G1039" s="58">
        <v>0</v>
      </c>
      <c r="H1039" s="59">
        <v>897</v>
      </c>
      <c r="I1039" s="59">
        <f t="shared" si="32"/>
        <v>179400</v>
      </c>
    </row>
    <row r="1040" spans="1:9" customFormat="1" ht="23" x14ac:dyDescent="0.35">
      <c r="A1040" s="63">
        <f t="shared" si="33"/>
        <v>1039</v>
      </c>
      <c r="B1040" s="54" t="s">
        <v>2904</v>
      </c>
      <c r="C1040" s="55" t="s">
        <v>2905</v>
      </c>
      <c r="D1040" s="54" t="s">
        <v>1963</v>
      </c>
      <c r="E1040" s="92">
        <v>62</v>
      </c>
      <c r="F1040" s="57" t="s">
        <v>792</v>
      </c>
      <c r="G1040" s="58">
        <v>74880</v>
      </c>
      <c r="H1040" s="59">
        <v>76050</v>
      </c>
      <c r="I1040" s="59">
        <f t="shared" si="32"/>
        <v>4715100</v>
      </c>
    </row>
    <row r="1041" spans="1:9" customFormat="1" ht="23" x14ac:dyDescent="0.35">
      <c r="A1041" s="63">
        <f t="shared" si="33"/>
        <v>1040</v>
      </c>
      <c r="B1041" s="54" t="s">
        <v>2906</v>
      </c>
      <c r="C1041" s="55" t="s">
        <v>2907</v>
      </c>
      <c r="D1041" s="54" t="s">
        <v>1963</v>
      </c>
      <c r="E1041" s="92">
        <v>21</v>
      </c>
      <c r="F1041" s="57" t="s">
        <v>792</v>
      </c>
      <c r="G1041" s="58">
        <v>35734</v>
      </c>
      <c r="H1041" s="59">
        <v>49125</v>
      </c>
      <c r="I1041" s="59">
        <f t="shared" si="32"/>
        <v>1031625</v>
      </c>
    </row>
    <row r="1042" spans="1:9" customFormat="1" x14ac:dyDescent="0.35">
      <c r="A1042" s="63">
        <f t="shared" si="33"/>
        <v>1041</v>
      </c>
      <c r="B1042" s="54" t="s">
        <v>2908</v>
      </c>
      <c r="C1042" s="55" t="s">
        <v>2909</v>
      </c>
      <c r="D1042" s="54" t="s">
        <v>1963</v>
      </c>
      <c r="E1042" s="92">
        <v>1700</v>
      </c>
      <c r="F1042" s="57" t="s">
        <v>792</v>
      </c>
      <c r="G1042" s="58">
        <v>4225</v>
      </c>
      <c r="H1042" s="59">
        <v>4950</v>
      </c>
      <c r="I1042" s="59">
        <f t="shared" si="32"/>
        <v>8415000</v>
      </c>
    </row>
    <row r="1043" spans="1:9" customFormat="1" ht="23" x14ac:dyDescent="0.35">
      <c r="A1043" s="63">
        <f t="shared" si="33"/>
        <v>1042</v>
      </c>
      <c r="B1043" s="54" t="s">
        <v>2910</v>
      </c>
      <c r="C1043" s="55" t="s">
        <v>2911</v>
      </c>
      <c r="D1043" s="54" t="s">
        <v>1963</v>
      </c>
      <c r="E1043" s="92">
        <v>1400</v>
      </c>
      <c r="F1043" s="57" t="s">
        <v>792</v>
      </c>
      <c r="G1043" s="58">
        <v>1025</v>
      </c>
      <c r="H1043" s="59">
        <v>2208</v>
      </c>
      <c r="I1043" s="59">
        <f t="shared" si="32"/>
        <v>3091200</v>
      </c>
    </row>
    <row r="1044" spans="1:9" customFormat="1" ht="23" x14ac:dyDescent="0.35">
      <c r="A1044" s="63">
        <f t="shared" si="33"/>
        <v>1043</v>
      </c>
      <c r="B1044" s="54" t="s">
        <v>2912</v>
      </c>
      <c r="C1044" s="55" t="s">
        <v>2913</v>
      </c>
      <c r="D1044" s="54" t="s">
        <v>1963</v>
      </c>
      <c r="E1044" s="92">
        <v>7800</v>
      </c>
      <c r="F1044" s="57" t="s">
        <v>870</v>
      </c>
      <c r="G1044" s="58">
        <v>800</v>
      </c>
      <c r="H1044" s="59">
        <v>1170</v>
      </c>
      <c r="I1044" s="59">
        <f t="shared" si="32"/>
        <v>9126000</v>
      </c>
    </row>
    <row r="1045" spans="1:9" customFormat="1" ht="23" x14ac:dyDescent="0.35">
      <c r="A1045" s="63">
        <f t="shared" si="33"/>
        <v>1044</v>
      </c>
      <c r="B1045" s="54" t="s">
        <v>2914</v>
      </c>
      <c r="C1045" s="55" t="s">
        <v>2915</v>
      </c>
      <c r="D1045" s="54" t="s">
        <v>1963</v>
      </c>
      <c r="E1045" s="92">
        <v>460</v>
      </c>
      <c r="F1045" s="57" t="s">
        <v>792</v>
      </c>
      <c r="G1045" s="58">
        <v>13351</v>
      </c>
      <c r="H1045" s="59">
        <v>20295</v>
      </c>
      <c r="I1045" s="59">
        <f t="shared" si="32"/>
        <v>9335700</v>
      </c>
    </row>
    <row r="1046" spans="1:9" customFormat="1" ht="23" x14ac:dyDescent="0.35">
      <c r="A1046" s="63">
        <f t="shared" si="33"/>
        <v>1045</v>
      </c>
      <c r="B1046" s="54" t="s">
        <v>2916</v>
      </c>
      <c r="C1046" s="55" t="s">
        <v>2917</v>
      </c>
      <c r="D1046" s="54" t="s">
        <v>1963</v>
      </c>
      <c r="E1046" s="92">
        <v>77</v>
      </c>
      <c r="F1046" s="57" t="s">
        <v>792</v>
      </c>
      <c r="G1046" s="58">
        <v>100000</v>
      </c>
      <c r="H1046" s="59">
        <v>128500</v>
      </c>
      <c r="I1046" s="59">
        <f t="shared" si="32"/>
        <v>9894500</v>
      </c>
    </row>
    <row r="1047" spans="1:9" customFormat="1" ht="46" x14ac:dyDescent="0.35">
      <c r="A1047" s="63">
        <f t="shared" si="33"/>
        <v>1046</v>
      </c>
      <c r="B1047" s="54" t="s">
        <v>2918</v>
      </c>
      <c r="C1047" s="55" t="s">
        <v>2919</v>
      </c>
      <c r="D1047" s="54" t="s">
        <v>1963</v>
      </c>
      <c r="E1047" s="92">
        <v>13</v>
      </c>
      <c r="F1047" s="57" t="s">
        <v>792</v>
      </c>
      <c r="G1047" s="58">
        <v>765000</v>
      </c>
      <c r="H1047" s="59">
        <v>765000</v>
      </c>
      <c r="I1047" s="59">
        <f t="shared" si="32"/>
        <v>9945000</v>
      </c>
    </row>
    <row r="1048" spans="1:9" customFormat="1" ht="23" x14ac:dyDescent="0.35">
      <c r="A1048" s="63">
        <f t="shared" si="33"/>
        <v>1047</v>
      </c>
      <c r="B1048" s="54" t="s">
        <v>2920</v>
      </c>
      <c r="C1048" s="55" t="s">
        <v>2921</v>
      </c>
      <c r="D1048" s="54" t="s">
        <v>1963</v>
      </c>
      <c r="E1048" s="92">
        <v>1020</v>
      </c>
      <c r="F1048" s="57" t="s">
        <v>792</v>
      </c>
      <c r="G1048" s="58">
        <v>7713</v>
      </c>
      <c r="H1048" s="59">
        <v>9975</v>
      </c>
      <c r="I1048" s="59">
        <f t="shared" si="32"/>
        <v>10174500</v>
      </c>
    </row>
    <row r="1049" spans="1:9" customFormat="1" ht="23" x14ac:dyDescent="0.35">
      <c r="A1049" s="63">
        <f t="shared" si="33"/>
        <v>1048</v>
      </c>
      <c r="B1049" s="54" t="s">
        <v>2922</v>
      </c>
      <c r="C1049" s="55" t="s">
        <v>2923</v>
      </c>
      <c r="D1049" s="54" t="s">
        <v>1963</v>
      </c>
      <c r="E1049" s="92">
        <v>300</v>
      </c>
      <c r="F1049" s="57" t="s">
        <v>792</v>
      </c>
      <c r="G1049" s="58">
        <v>0</v>
      </c>
      <c r="H1049" s="59">
        <v>13680</v>
      </c>
      <c r="I1049" s="59">
        <f t="shared" si="32"/>
        <v>4104000</v>
      </c>
    </row>
    <row r="1050" spans="1:9" customFormat="1" ht="23" x14ac:dyDescent="0.35">
      <c r="A1050" s="63">
        <f t="shared" si="33"/>
        <v>1049</v>
      </c>
      <c r="B1050" s="54" t="s">
        <v>2924</v>
      </c>
      <c r="C1050" s="55" t="s">
        <v>2925</v>
      </c>
      <c r="D1050" s="54" t="s">
        <v>1963</v>
      </c>
      <c r="E1050" s="92">
        <v>62</v>
      </c>
      <c r="F1050" s="57" t="s">
        <v>2241</v>
      </c>
      <c r="G1050" s="58">
        <v>100000</v>
      </c>
      <c r="H1050" s="59">
        <v>150000</v>
      </c>
      <c r="I1050" s="59">
        <f t="shared" si="32"/>
        <v>9300000</v>
      </c>
    </row>
    <row r="1051" spans="1:9" customFormat="1" ht="34.5" x14ac:dyDescent="0.35">
      <c r="A1051" s="63">
        <f t="shared" si="33"/>
        <v>1050</v>
      </c>
      <c r="B1051" s="54" t="s">
        <v>2926</v>
      </c>
      <c r="C1051" s="55" t="s">
        <v>2927</v>
      </c>
      <c r="D1051" s="54" t="s">
        <v>1963</v>
      </c>
      <c r="E1051" s="92">
        <v>13</v>
      </c>
      <c r="F1051" s="57" t="s">
        <v>792</v>
      </c>
      <c r="G1051" s="58">
        <v>765000</v>
      </c>
      <c r="H1051" s="59">
        <v>900000</v>
      </c>
      <c r="I1051" s="59">
        <f t="shared" si="32"/>
        <v>11700000</v>
      </c>
    </row>
    <row r="1052" spans="1:9" customFormat="1" x14ac:dyDescent="0.35">
      <c r="A1052" s="63">
        <f t="shared" si="33"/>
        <v>1051</v>
      </c>
      <c r="B1052" s="54" t="s">
        <v>2928</v>
      </c>
      <c r="C1052" s="55" t="s">
        <v>2929</v>
      </c>
      <c r="D1052" s="54" t="s">
        <v>1963</v>
      </c>
      <c r="E1052" s="92">
        <v>176</v>
      </c>
      <c r="F1052" s="57" t="s">
        <v>792</v>
      </c>
      <c r="G1052" s="58">
        <v>0</v>
      </c>
      <c r="H1052" s="59">
        <v>14100</v>
      </c>
      <c r="I1052" s="59">
        <f t="shared" si="32"/>
        <v>2481600</v>
      </c>
    </row>
    <row r="1053" spans="1:9" customFormat="1" ht="23" x14ac:dyDescent="0.35">
      <c r="A1053" s="63">
        <f t="shared" si="33"/>
        <v>1052</v>
      </c>
      <c r="B1053" s="54" t="s">
        <v>2930</v>
      </c>
      <c r="C1053" s="55" t="s">
        <v>2931</v>
      </c>
      <c r="D1053" s="54" t="s">
        <v>1963</v>
      </c>
      <c r="E1053" s="92">
        <v>600</v>
      </c>
      <c r="F1053" s="57" t="s">
        <v>870</v>
      </c>
      <c r="G1053" s="58">
        <v>14250</v>
      </c>
      <c r="H1053" s="59">
        <v>16900</v>
      </c>
      <c r="I1053" s="59">
        <f t="shared" si="32"/>
        <v>10140000</v>
      </c>
    </row>
    <row r="1054" spans="1:9" customFormat="1" ht="23" x14ac:dyDescent="0.35">
      <c r="A1054" s="63">
        <f t="shared" si="33"/>
        <v>1053</v>
      </c>
      <c r="B1054" s="54" t="s">
        <v>2932</v>
      </c>
      <c r="C1054" s="55" t="s">
        <v>2933</v>
      </c>
      <c r="D1054" s="54" t="s">
        <v>1963</v>
      </c>
      <c r="E1054" s="92">
        <v>610</v>
      </c>
      <c r="F1054" s="57" t="s">
        <v>792</v>
      </c>
      <c r="G1054" s="58">
        <v>8057</v>
      </c>
      <c r="H1054" s="59">
        <v>32000</v>
      </c>
      <c r="I1054" s="59">
        <f t="shared" si="32"/>
        <v>19520000</v>
      </c>
    </row>
    <row r="1055" spans="1:9" customFormat="1" x14ac:dyDescent="0.35">
      <c r="A1055" s="63">
        <f t="shared" si="33"/>
        <v>1054</v>
      </c>
      <c r="B1055" s="54" t="s">
        <v>2934</v>
      </c>
      <c r="C1055" s="55" t="s">
        <v>2935</v>
      </c>
      <c r="D1055" s="54" t="s">
        <v>1963</v>
      </c>
      <c r="E1055" s="92">
        <v>2476</v>
      </c>
      <c r="F1055" s="57" t="s">
        <v>792</v>
      </c>
      <c r="G1055" s="58">
        <v>2316</v>
      </c>
      <c r="H1055" s="59">
        <v>3564</v>
      </c>
      <c r="I1055" s="59">
        <f t="shared" si="32"/>
        <v>8824464</v>
      </c>
    </row>
    <row r="1056" spans="1:9" customFormat="1" ht="34.5" x14ac:dyDescent="0.35">
      <c r="A1056" s="63">
        <f t="shared" si="33"/>
        <v>1055</v>
      </c>
      <c r="B1056" s="54" t="s">
        <v>2936</v>
      </c>
      <c r="C1056" s="55" t="s">
        <v>2937</v>
      </c>
      <c r="D1056" s="54" t="s">
        <v>1963</v>
      </c>
      <c r="E1056" s="92">
        <v>9</v>
      </c>
      <c r="F1056" s="57" t="s">
        <v>792</v>
      </c>
      <c r="G1056" s="58">
        <v>1225000</v>
      </c>
      <c r="H1056" s="59">
        <v>1583175</v>
      </c>
      <c r="I1056" s="59">
        <f t="shared" si="32"/>
        <v>14248575</v>
      </c>
    </row>
    <row r="1057" spans="1:9" customFormat="1" x14ac:dyDescent="0.35">
      <c r="A1057" s="63">
        <f t="shared" si="33"/>
        <v>1056</v>
      </c>
      <c r="B1057" s="54" t="s">
        <v>2938</v>
      </c>
      <c r="C1057" s="55" t="s">
        <v>2939</v>
      </c>
      <c r="D1057" s="54" t="s">
        <v>1963</v>
      </c>
      <c r="E1057" s="92">
        <v>2000</v>
      </c>
      <c r="F1057" s="57" t="s">
        <v>792</v>
      </c>
      <c r="G1057" s="58">
        <v>1350</v>
      </c>
      <c r="H1057" s="59">
        <v>1732</v>
      </c>
      <c r="I1057" s="59">
        <f t="shared" si="32"/>
        <v>3464000</v>
      </c>
    </row>
    <row r="1058" spans="1:9" customFormat="1" ht="34.5" x14ac:dyDescent="0.35">
      <c r="A1058" s="63">
        <f t="shared" si="33"/>
        <v>1057</v>
      </c>
      <c r="B1058" s="54" t="s">
        <v>2940</v>
      </c>
      <c r="C1058" s="55" t="s">
        <v>2941</v>
      </c>
      <c r="D1058" s="54" t="s">
        <v>1963</v>
      </c>
      <c r="E1058" s="92">
        <v>150</v>
      </c>
      <c r="F1058" s="57" t="s">
        <v>792</v>
      </c>
      <c r="G1058" s="58">
        <v>70000</v>
      </c>
      <c r="H1058" s="59">
        <v>98746</v>
      </c>
      <c r="I1058" s="59">
        <f t="shared" si="32"/>
        <v>14811900</v>
      </c>
    </row>
    <row r="1059" spans="1:9" ht="34.5" x14ac:dyDescent="0.35">
      <c r="A1059" s="71">
        <f t="shared" si="33"/>
        <v>1058</v>
      </c>
      <c r="B1059" s="72" t="s">
        <v>2942</v>
      </c>
      <c r="C1059" s="73" t="s">
        <v>2943</v>
      </c>
      <c r="D1059" s="72" t="s">
        <v>1963</v>
      </c>
      <c r="E1059" s="93">
        <v>2316</v>
      </c>
      <c r="F1059" s="74" t="s">
        <v>792</v>
      </c>
      <c r="G1059" s="75">
        <v>2002</v>
      </c>
      <c r="H1059" s="76">
        <v>6412</v>
      </c>
      <c r="I1059" s="59">
        <f t="shared" si="32"/>
        <v>14850192</v>
      </c>
    </row>
    <row r="1060" spans="1:9" customFormat="1" ht="23" x14ac:dyDescent="0.35">
      <c r="A1060" s="63">
        <f t="shared" si="33"/>
        <v>1059</v>
      </c>
      <c r="B1060" s="54" t="s">
        <v>2944</v>
      </c>
      <c r="C1060" s="55" t="s">
        <v>2945</v>
      </c>
      <c r="D1060" s="54" t="s">
        <v>1963</v>
      </c>
      <c r="E1060" s="92">
        <v>96</v>
      </c>
      <c r="F1060" s="57" t="s">
        <v>792</v>
      </c>
      <c r="G1060" s="58">
        <v>123000</v>
      </c>
      <c r="H1060" s="59">
        <v>160500</v>
      </c>
      <c r="I1060" s="59">
        <f t="shared" si="32"/>
        <v>15408000</v>
      </c>
    </row>
    <row r="1061" spans="1:9" customFormat="1" x14ac:dyDescent="0.35">
      <c r="A1061" s="63">
        <f t="shared" si="33"/>
        <v>1060</v>
      </c>
      <c r="B1061" s="54" t="s">
        <v>2946</v>
      </c>
      <c r="C1061" s="55" t="s">
        <v>2947</v>
      </c>
      <c r="D1061" s="54" t="s">
        <v>1963</v>
      </c>
      <c r="E1061" s="92">
        <v>2500</v>
      </c>
      <c r="F1061" s="57" t="s">
        <v>792</v>
      </c>
      <c r="G1061" s="58">
        <v>4500</v>
      </c>
      <c r="H1061" s="59">
        <v>6700</v>
      </c>
      <c r="I1061" s="59">
        <f t="shared" si="32"/>
        <v>16750000</v>
      </c>
    </row>
    <row r="1062" spans="1:9" customFormat="1" ht="34.5" x14ac:dyDescent="0.35">
      <c r="A1062" s="63">
        <f t="shared" si="33"/>
        <v>1061</v>
      </c>
      <c r="B1062" s="54" t="s">
        <v>2948</v>
      </c>
      <c r="C1062" s="55" t="s">
        <v>2949</v>
      </c>
      <c r="D1062" s="54" t="s">
        <v>1963</v>
      </c>
      <c r="E1062" s="92">
        <v>115</v>
      </c>
      <c r="F1062" s="57" t="s">
        <v>792</v>
      </c>
      <c r="G1062" s="58">
        <v>77805</v>
      </c>
      <c r="H1062" s="59">
        <v>91500</v>
      </c>
      <c r="I1062" s="59">
        <f t="shared" si="32"/>
        <v>10522500</v>
      </c>
    </row>
    <row r="1063" spans="1:9" customFormat="1" x14ac:dyDescent="0.35">
      <c r="A1063" s="63">
        <f t="shared" si="33"/>
        <v>1062</v>
      </c>
      <c r="B1063" s="54" t="s">
        <v>2950</v>
      </c>
      <c r="C1063" s="55" t="s">
        <v>2951</v>
      </c>
      <c r="D1063" s="54" t="s">
        <v>1963</v>
      </c>
      <c r="E1063" s="92">
        <v>170</v>
      </c>
      <c r="F1063" s="57" t="s">
        <v>792</v>
      </c>
      <c r="G1063" s="58">
        <v>20000</v>
      </c>
      <c r="H1063" s="59">
        <v>32800</v>
      </c>
      <c r="I1063" s="59">
        <f t="shared" si="32"/>
        <v>5576000</v>
      </c>
    </row>
    <row r="1064" spans="1:9" customFormat="1" x14ac:dyDescent="0.35">
      <c r="A1064" s="63">
        <f t="shared" si="33"/>
        <v>1063</v>
      </c>
      <c r="B1064" s="54" t="s">
        <v>2952</v>
      </c>
      <c r="C1064" s="55" t="s">
        <v>2953</v>
      </c>
      <c r="D1064" s="54" t="s">
        <v>1963</v>
      </c>
      <c r="E1064" s="92">
        <v>110</v>
      </c>
      <c r="F1064" s="57" t="s">
        <v>2241</v>
      </c>
      <c r="G1064" s="58">
        <v>138000</v>
      </c>
      <c r="H1064" s="59">
        <v>165000</v>
      </c>
      <c r="I1064" s="59">
        <f t="shared" si="32"/>
        <v>18150000</v>
      </c>
    </row>
    <row r="1065" spans="1:9" customFormat="1" ht="23" x14ac:dyDescent="0.35">
      <c r="A1065" s="63">
        <f t="shared" si="33"/>
        <v>1064</v>
      </c>
      <c r="B1065" s="54" t="s">
        <v>2954</v>
      </c>
      <c r="C1065" s="55" t="s">
        <v>2955</v>
      </c>
      <c r="D1065" s="54" t="s">
        <v>1963</v>
      </c>
      <c r="E1065" s="92">
        <v>660</v>
      </c>
      <c r="F1065" s="57" t="s">
        <v>792</v>
      </c>
      <c r="G1065" s="58">
        <v>3302.4</v>
      </c>
      <c r="H1065" s="59">
        <v>29000</v>
      </c>
      <c r="I1065" s="59">
        <f t="shared" si="32"/>
        <v>19140000</v>
      </c>
    </row>
    <row r="1066" spans="1:9" customFormat="1" ht="23" x14ac:dyDescent="0.35">
      <c r="A1066" s="63">
        <f t="shared" si="33"/>
        <v>1065</v>
      </c>
      <c r="B1066" s="54" t="s">
        <v>2956</v>
      </c>
      <c r="C1066" s="55" t="s">
        <v>2957</v>
      </c>
      <c r="D1066" s="54" t="s">
        <v>1963</v>
      </c>
      <c r="E1066" s="92">
        <v>1250</v>
      </c>
      <c r="F1066" s="57" t="s">
        <v>792</v>
      </c>
      <c r="G1066" s="58">
        <v>1950</v>
      </c>
      <c r="H1066" s="59">
        <v>2750</v>
      </c>
      <c r="I1066" s="59">
        <f t="shared" si="32"/>
        <v>3437500</v>
      </c>
    </row>
    <row r="1067" spans="1:9" customFormat="1" ht="34.5" x14ac:dyDescent="0.35">
      <c r="A1067" s="63">
        <f t="shared" si="33"/>
        <v>1066</v>
      </c>
      <c r="B1067" s="54" t="s">
        <v>2958</v>
      </c>
      <c r="C1067" s="55" t="s">
        <v>2959</v>
      </c>
      <c r="D1067" s="54" t="s">
        <v>1963</v>
      </c>
      <c r="E1067" s="92">
        <v>150</v>
      </c>
      <c r="F1067" s="57" t="s">
        <v>792</v>
      </c>
      <c r="G1067" s="58">
        <v>91100</v>
      </c>
      <c r="H1067" s="59">
        <v>131532</v>
      </c>
      <c r="I1067" s="59">
        <f t="shared" si="32"/>
        <v>19729800</v>
      </c>
    </row>
    <row r="1068" spans="1:9" customFormat="1" ht="23" x14ac:dyDescent="0.35">
      <c r="A1068" s="63">
        <f t="shared" si="33"/>
        <v>1067</v>
      </c>
      <c r="B1068" s="54" t="s">
        <v>2960</v>
      </c>
      <c r="C1068" s="55" t="s">
        <v>2961</v>
      </c>
      <c r="D1068" s="54" t="s">
        <v>1963</v>
      </c>
      <c r="E1068" s="92">
        <v>2500</v>
      </c>
      <c r="F1068" s="57" t="s">
        <v>792</v>
      </c>
      <c r="G1068" s="58">
        <v>2710</v>
      </c>
      <c r="H1068" s="59">
        <v>4320</v>
      </c>
      <c r="I1068" s="59">
        <f t="shared" si="32"/>
        <v>10800000</v>
      </c>
    </row>
    <row r="1069" spans="1:9" customFormat="1" ht="23" x14ac:dyDescent="0.35">
      <c r="A1069" s="63">
        <f t="shared" si="33"/>
        <v>1068</v>
      </c>
      <c r="B1069" s="54" t="s">
        <v>2962</v>
      </c>
      <c r="C1069" s="55" t="s">
        <v>2963</v>
      </c>
      <c r="D1069" s="54" t="s">
        <v>1963</v>
      </c>
      <c r="E1069" s="92">
        <v>350</v>
      </c>
      <c r="F1069" s="57" t="s">
        <v>977</v>
      </c>
      <c r="G1069" s="58">
        <v>45000</v>
      </c>
      <c r="H1069" s="59">
        <v>60500</v>
      </c>
      <c r="I1069" s="59">
        <f t="shared" si="32"/>
        <v>21175000</v>
      </c>
    </row>
    <row r="1070" spans="1:9" ht="23" x14ac:dyDescent="0.35">
      <c r="A1070" s="71">
        <f t="shared" si="33"/>
        <v>1069</v>
      </c>
      <c r="B1070" s="72" t="s">
        <v>2964</v>
      </c>
      <c r="C1070" s="73" t="s">
        <v>2965</v>
      </c>
      <c r="D1070" s="72" t="s">
        <v>1963</v>
      </c>
      <c r="E1070" s="93">
        <v>148</v>
      </c>
      <c r="F1070" s="74" t="s">
        <v>792</v>
      </c>
      <c r="G1070" s="75">
        <v>115000</v>
      </c>
      <c r="H1070" s="76">
        <v>157439</v>
      </c>
      <c r="I1070" s="59">
        <f t="shared" si="32"/>
        <v>23300972</v>
      </c>
    </row>
    <row r="1071" spans="1:9" customFormat="1" x14ac:dyDescent="0.35">
      <c r="A1071" s="63">
        <f t="shared" si="33"/>
        <v>1070</v>
      </c>
      <c r="B1071" s="54" t="s">
        <v>2966</v>
      </c>
      <c r="C1071" s="55" t="s">
        <v>2967</v>
      </c>
      <c r="D1071" s="54" t="s">
        <v>1963</v>
      </c>
      <c r="E1071" s="92">
        <v>7</v>
      </c>
      <c r="F1071" s="57" t="s">
        <v>1087</v>
      </c>
      <c r="G1071" s="58">
        <v>34450</v>
      </c>
      <c r="H1071" s="59">
        <v>52000</v>
      </c>
      <c r="I1071" s="59">
        <f t="shared" si="32"/>
        <v>364000</v>
      </c>
    </row>
    <row r="1072" spans="1:9" customFormat="1" ht="23" x14ac:dyDescent="0.35">
      <c r="A1072" s="63">
        <f t="shared" si="33"/>
        <v>1071</v>
      </c>
      <c r="B1072" s="54" t="s">
        <v>2968</v>
      </c>
      <c r="C1072" s="55" t="s">
        <v>2969</v>
      </c>
      <c r="D1072" s="54" t="s">
        <v>1963</v>
      </c>
      <c r="E1072" s="92">
        <v>348</v>
      </c>
      <c r="F1072" s="57" t="s">
        <v>792</v>
      </c>
      <c r="G1072" s="58">
        <v>65000</v>
      </c>
      <c r="H1072" s="59">
        <v>73500</v>
      </c>
      <c r="I1072" s="59">
        <f t="shared" si="32"/>
        <v>25578000</v>
      </c>
    </row>
    <row r="1073" spans="1:9" customFormat="1" ht="23" x14ac:dyDescent="0.35">
      <c r="A1073" s="63">
        <f t="shared" si="33"/>
        <v>1072</v>
      </c>
      <c r="B1073" s="54" t="s">
        <v>2970</v>
      </c>
      <c r="C1073" s="55" t="s">
        <v>2971</v>
      </c>
      <c r="D1073" s="54" t="s">
        <v>1963</v>
      </c>
      <c r="E1073" s="92">
        <v>176</v>
      </c>
      <c r="F1073" s="57" t="s">
        <v>792</v>
      </c>
      <c r="G1073" s="58">
        <v>130000</v>
      </c>
      <c r="H1073" s="59">
        <v>150081.30100000001</v>
      </c>
      <c r="I1073" s="59">
        <f t="shared" si="32"/>
        <v>26414308.976</v>
      </c>
    </row>
    <row r="1074" spans="1:9" ht="34.5" x14ac:dyDescent="0.35">
      <c r="A1074" s="71">
        <f t="shared" si="33"/>
        <v>1073</v>
      </c>
      <c r="B1074" s="72" t="s">
        <v>2972</v>
      </c>
      <c r="C1074" s="73" t="s">
        <v>2973</v>
      </c>
      <c r="D1074" s="72" t="s">
        <v>1963</v>
      </c>
      <c r="E1074" s="93">
        <v>3960</v>
      </c>
      <c r="F1074" s="74" t="s">
        <v>792</v>
      </c>
      <c r="G1074" s="75">
        <v>2096</v>
      </c>
      <c r="H1074" s="76">
        <v>7000</v>
      </c>
      <c r="I1074" s="59">
        <f t="shared" si="32"/>
        <v>27720000</v>
      </c>
    </row>
    <row r="1075" spans="1:9" customFormat="1" ht="34.5" x14ac:dyDescent="0.35">
      <c r="A1075" s="63">
        <f t="shared" si="33"/>
        <v>1074</v>
      </c>
      <c r="B1075" s="54" t="s">
        <v>2974</v>
      </c>
      <c r="C1075" s="55" t="s">
        <v>2975</v>
      </c>
      <c r="D1075" s="54" t="s">
        <v>1963</v>
      </c>
      <c r="E1075" s="92">
        <v>4550</v>
      </c>
      <c r="F1075" s="57" t="s">
        <v>792</v>
      </c>
      <c r="G1075" s="58">
        <v>4150</v>
      </c>
      <c r="H1075" s="59">
        <v>6435</v>
      </c>
      <c r="I1075" s="59">
        <f t="shared" si="32"/>
        <v>29279250</v>
      </c>
    </row>
    <row r="1076" spans="1:9" customFormat="1" x14ac:dyDescent="0.35">
      <c r="A1076" s="63">
        <f t="shared" si="33"/>
        <v>1075</v>
      </c>
      <c r="B1076" s="54" t="s">
        <v>2976</v>
      </c>
      <c r="C1076" s="55" t="s">
        <v>2977</v>
      </c>
      <c r="D1076" s="54" t="s">
        <v>1963</v>
      </c>
      <c r="E1076" s="92">
        <v>12</v>
      </c>
      <c r="F1076" s="57" t="s">
        <v>792</v>
      </c>
      <c r="G1076" s="58">
        <v>150000</v>
      </c>
      <c r="H1076" s="59">
        <v>190000</v>
      </c>
      <c r="I1076" s="59">
        <f t="shared" si="32"/>
        <v>2280000</v>
      </c>
    </row>
    <row r="1077" spans="1:9" customFormat="1" ht="23" x14ac:dyDescent="0.35">
      <c r="A1077" s="63">
        <f t="shared" si="33"/>
        <v>1076</v>
      </c>
      <c r="B1077" s="54" t="s">
        <v>2978</v>
      </c>
      <c r="C1077" s="55" t="s">
        <v>2979</v>
      </c>
      <c r="D1077" s="54" t="s">
        <v>1963</v>
      </c>
      <c r="E1077" s="92">
        <v>7350</v>
      </c>
      <c r="F1077" s="57" t="s">
        <v>792</v>
      </c>
      <c r="G1077" s="58">
        <v>5500</v>
      </c>
      <c r="H1077" s="59">
        <v>6500</v>
      </c>
      <c r="I1077" s="59">
        <f t="shared" si="32"/>
        <v>47775000</v>
      </c>
    </row>
    <row r="1078" spans="1:9" customFormat="1" ht="23" x14ac:dyDescent="0.35">
      <c r="A1078" s="63">
        <f t="shared" si="33"/>
        <v>1077</v>
      </c>
      <c r="B1078" s="54" t="s">
        <v>2980</v>
      </c>
      <c r="C1078" s="55" t="s">
        <v>2981</v>
      </c>
      <c r="D1078" s="54" t="s">
        <v>1963</v>
      </c>
      <c r="E1078" s="92">
        <v>614</v>
      </c>
      <c r="F1078" s="57" t="s">
        <v>792</v>
      </c>
      <c r="G1078" s="58">
        <v>63000</v>
      </c>
      <c r="H1078" s="59">
        <v>83160</v>
      </c>
      <c r="I1078" s="59">
        <f t="shared" si="32"/>
        <v>51060240</v>
      </c>
    </row>
    <row r="1079" spans="1:9" customFormat="1" ht="23" x14ac:dyDescent="0.35">
      <c r="A1079" s="63">
        <f t="shared" si="33"/>
        <v>1078</v>
      </c>
      <c r="B1079" s="54" t="s">
        <v>2982</v>
      </c>
      <c r="C1079" s="55" t="s">
        <v>2983</v>
      </c>
      <c r="D1079" s="54" t="s">
        <v>1963</v>
      </c>
      <c r="E1079" s="92">
        <v>5700</v>
      </c>
      <c r="F1079" s="57" t="s">
        <v>792</v>
      </c>
      <c r="G1079" s="58">
        <v>5900</v>
      </c>
      <c r="H1079" s="59">
        <v>9216</v>
      </c>
      <c r="I1079" s="59">
        <f t="shared" si="32"/>
        <v>52531200</v>
      </c>
    </row>
    <row r="1080" spans="1:9" customFormat="1" ht="23" x14ac:dyDescent="0.35">
      <c r="A1080" s="63">
        <f t="shared" si="33"/>
        <v>1079</v>
      </c>
      <c r="B1080" s="54" t="s">
        <v>2984</v>
      </c>
      <c r="C1080" s="55" t="s">
        <v>2985</v>
      </c>
      <c r="D1080" s="54" t="s">
        <v>1963</v>
      </c>
      <c r="E1080" s="92">
        <v>200</v>
      </c>
      <c r="F1080" s="57" t="s">
        <v>792</v>
      </c>
      <c r="G1080" s="58">
        <v>0</v>
      </c>
      <c r="H1080" s="59">
        <v>351500</v>
      </c>
      <c r="I1080" s="59">
        <f t="shared" si="32"/>
        <v>70300000</v>
      </c>
    </row>
    <row r="1081" spans="1:9" customFormat="1" ht="23" x14ac:dyDescent="0.35">
      <c r="A1081" s="63">
        <f t="shared" si="33"/>
        <v>1080</v>
      </c>
      <c r="B1081" s="54" t="s">
        <v>2986</v>
      </c>
      <c r="C1081" s="55" t="s">
        <v>2987</v>
      </c>
      <c r="D1081" s="54" t="s">
        <v>1963</v>
      </c>
      <c r="E1081" s="92">
        <v>626</v>
      </c>
      <c r="F1081" s="57" t="s">
        <v>878</v>
      </c>
      <c r="G1081" s="58">
        <v>68060</v>
      </c>
      <c r="H1081" s="59">
        <v>117000</v>
      </c>
      <c r="I1081" s="59">
        <f t="shared" si="32"/>
        <v>73242000</v>
      </c>
    </row>
    <row r="1082" spans="1:9" customFormat="1" x14ac:dyDescent="0.35">
      <c r="A1082" s="63">
        <f t="shared" si="33"/>
        <v>1081</v>
      </c>
      <c r="B1082" s="54" t="s">
        <v>2988</v>
      </c>
      <c r="C1082" s="55" t="s">
        <v>2989</v>
      </c>
      <c r="D1082" s="54" t="s">
        <v>2990</v>
      </c>
      <c r="E1082" s="56">
        <v>0</v>
      </c>
      <c r="F1082" s="57" t="s">
        <v>870</v>
      </c>
      <c r="G1082" s="58">
        <v>20000</v>
      </c>
      <c r="H1082" s="59">
        <v>145350</v>
      </c>
      <c r="I1082" s="59">
        <f t="shared" si="32"/>
        <v>0</v>
      </c>
    </row>
    <row r="1083" spans="1:9" customFormat="1" x14ac:dyDescent="0.35">
      <c r="A1083" s="63">
        <f t="shared" si="33"/>
        <v>1082</v>
      </c>
      <c r="B1083" s="54" t="s">
        <v>2991</v>
      </c>
      <c r="C1083" s="55" t="s">
        <v>2992</v>
      </c>
      <c r="D1083" s="54" t="s">
        <v>2990</v>
      </c>
      <c r="E1083" s="56">
        <v>0</v>
      </c>
      <c r="F1083" s="57" t="s">
        <v>792</v>
      </c>
      <c r="G1083" s="58">
        <v>462000</v>
      </c>
      <c r="H1083" s="59">
        <v>671250</v>
      </c>
      <c r="I1083" s="59">
        <f t="shared" si="32"/>
        <v>0</v>
      </c>
    </row>
    <row r="1084" spans="1:9" customFormat="1" ht="23" x14ac:dyDescent="0.35">
      <c r="A1084" s="63">
        <f t="shared" si="33"/>
        <v>1083</v>
      </c>
      <c r="B1084" s="54" t="s">
        <v>2993</v>
      </c>
      <c r="C1084" s="55" t="s">
        <v>2994</v>
      </c>
      <c r="D1084" s="54" t="s">
        <v>2990</v>
      </c>
      <c r="E1084" s="56">
        <v>0</v>
      </c>
      <c r="F1084" s="57" t="s">
        <v>792</v>
      </c>
      <c r="G1084" s="58">
        <v>67500</v>
      </c>
      <c r="H1084" s="59">
        <v>98111.25</v>
      </c>
      <c r="I1084" s="59">
        <f t="shared" si="32"/>
        <v>0</v>
      </c>
    </row>
    <row r="1085" spans="1:9" customFormat="1" x14ac:dyDescent="0.35">
      <c r="A1085" s="63">
        <f t="shared" si="33"/>
        <v>1084</v>
      </c>
      <c r="B1085" s="54" t="s">
        <v>2995</v>
      </c>
      <c r="C1085" s="55" t="s">
        <v>2996</v>
      </c>
      <c r="D1085" s="54" t="s">
        <v>2990</v>
      </c>
      <c r="E1085" s="56">
        <v>0</v>
      </c>
      <c r="F1085" s="57" t="s">
        <v>792</v>
      </c>
      <c r="G1085" s="58">
        <v>37500</v>
      </c>
      <c r="H1085" s="59">
        <v>54517</v>
      </c>
      <c r="I1085" s="59">
        <f t="shared" si="32"/>
        <v>0</v>
      </c>
    </row>
    <row r="1086" spans="1:9" customFormat="1" x14ac:dyDescent="0.35">
      <c r="A1086" s="63">
        <f t="shared" si="33"/>
        <v>1085</v>
      </c>
      <c r="B1086" s="54" t="s">
        <v>2997</v>
      </c>
      <c r="C1086" s="55" t="s">
        <v>2998</v>
      </c>
      <c r="D1086" s="54" t="s">
        <v>2990</v>
      </c>
      <c r="E1086" s="56">
        <v>0</v>
      </c>
      <c r="F1086" s="57" t="s">
        <v>977</v>
      </c>
      <c r="G1086" s="58">
        <v>65000</v>
      </c>
      <c r="H1086" s="59">
        <v>94470</v>
      </c>
      <c r="I1086" s="59">
        <f t="shared" si="32"/>
        <v>0</v>
      </c>
    </row>
    <row r="1087" spans="1:9" customFormat="1" x14ac:dyDescent="0.35">
      <c r="A1087" s="63">
        <f t="shared" si="33"/>
        <v>1086</v>
      </c>
      <c r="B1087" s="54" t="s">
        <v>2999</v>
      </c>
      <c r="C1087" s="55" t="s">
        <v>3000</v>
      </c>
      <c r="D1087" s="54" t="s">
        <v>2990</v>
      </c>
      <c r="E1087" s="56">
        <v>0</v>
      </c>
      <c r="F1087" s="57" t="s">
        <v>792</v>
      </c>
      <c r="G1087" s="58">
        <v>0</v>
      </c>
      <c r="H1087" s="59">
        <v>319600</v>
      </c>
      <c r="I1087" s="59">
        <f t="shared" si="32"/>
        <v>0</v>
      </c>
    </row>
    <row r="1088" spans="1:9" customFormat="1" ht="23" x14ac:dyDescent="0.35">
      <c r="A1088" s="63">
        <f t="shared" si="33"/>
        <v>1087</v>
      </c>
      <c r="B1088" s="54" t="s">
        <v>3001</v>
      </c>
      <c r="C1088" s="55" t="s">
        <v>3002</v>
      </c>
      <c r="D1088" s="54" t="s">
        <v>2990</v>
      </c>
      <c r="E1088" s="56">
        <v>0</v>
      </c>
      <c r="F1088" s="57" t="s">
        <v>792</v>
      </c>
      <c r="G1088" s="58">
        <v>32725</v>
      </c>
      <c r="H1088" s="59">
        <v>46750</v>
      </c>
      <c r="I1088" s="59">
        <f t="shared" si="32"/>
        <v>0</v>
      </c>
    </row>
    <row r="1089" spans="1:9" customFormat="1" ht="23" x14ac:dyDescent="0.35">
      <c r="A1089" s="63">
        <f t="shared" si="33"/>
        <v>1088</v>
      </c>
      <c r="B1089" s="54" t="s">
        <v>3003</v>
      </c>
      <c r="C1089" s="55" t="s">
        <v>3004</v>
      </c>
      <c r="D1089" s="54" t="s">
        <v>2990</v>
      </c>
      <c r="E1089" s="56">
        <v>0</v>
      </c>
      <c r="F1089" s="57" t="s">
        <v>792</v>
      </c>
      <c r="G1089" s="58">
        <v>38675</v>
      </c>
      <c r="H1089" s="59">
        <v>55260</v>
      </c>
      <c r="I1089" s="59">
        <f t="shared" si="32"/>
        <v>0</v>
      </c>
    </row>
    <row r="1090" spans="1:9" customFormat="1" ht="23" x14ac:dyDescent="0.35">
      <c r="A1090" s="63">
        <f t="shared" si="33"/>
        <v>1089</v>
      </c>
      <c r="B1090" s="54" t="s">
        <v>3005</v>
      </c>
      <c r="C1090" s="55" t="s">
        <v>3006</v>
      </c>
      <c r="D1090" s="54" t="s">
        <v>2990</v>
      </c>
      <c r="E1090" s="56">
        <v>0</v>
      </c>
      <c r="F1090" s="57" t="s">
        <v>792</v>
      </c>
      <c r="G1090" s="58">
        <v>35700</v>
      </c>
      <c r="H1090" s="59">
        <v>51000</v>
      </c>
      <c r="I1090" s="59">
        <f t="shared" si="32"/>
        <v>0</v>
      </c>
    </row>
    <row r="1091" spans="1:9" customFormat="1" ht="23" x14ac:dyDescent="0.35">
      <c r="A1091" s="63">
        <f t="shared" si="33"/>
        <v>1090</v>
      </c>
      <c r="B1091" s="54" t="s">
        <v>3007</v>
      </c>
      <c r="C1091" s="55" t="s">
        <v>3008</v>
      </c>
      <c r="D1091" s="54" t="s">
        <v>2990</v>
      </c>
      <c r="E1091" s="56">
        <v>0</v>
      </c>
      <c r="F1091" s="57" t="s">
        <v>792</v>
      </c>
      <c r="G1091" s="58">
        <v>35700</v>
      </c>
      <c r="H1091" s="59">
        <v>51000</v>
      </c>
      <c r="I1091" s="59">
        <f t="shared" ref="I1091:I1154" si="34">H1091*E1091</f>
        <v>0</v>
      </c>
    </row>
    <row r="1092" spans="1:9" customFormat="1" x14ac:dyDescent="0.35">
      <c r="A1092" s="63">
        <f t="shared" ref="A1092:A1155" si="35">A1091+1</f>
        <v>1091</v>
      </c>
      <c r="B1092" s="54" t="s">
        <v>3009</v>
      </c>
      <c r="C1092" s="55" t="s">
        <v>3010</v>
      </c>
      <c r="D1092" s="54" t="s">
        <v>2990</v>
      </c>
      <c r="E1092" s="56">
        <v>0</v>
      </c>
      <c r="F1092" s="57" t="s">
        <v>792</v>
      </c>
      <c r="G1092" s="58">
        <v>42000</v>
      </c>
      <c r="H1092" s="59">
        <v>60000</v>
      </c>
      <c r="I1092" s="59">
        <f t="shared" si="34"/>
        <v>0</v>
      </c>
    </row>
    <row r="1093" spans="1:9" customFormat="1" x14ac:dyDescent="0.35">
      <c r="A1093" s="63">
        <f t="shared" si="35"/>
        <v>1092</v>
      </c>
      <c r="B1093" s="54" t="s">
        <v>3011</v>
      </c>
      <c r="C1093" s="55" t="s">
        <v>3012</v>
      </c>
      <c r="D1093" s="54" t="s">
        <v>2990</v>
      </c>
      <c r="E1093" s="56">
        <v>0</v>
      </c>
      <c r="F1093" s="57" t="s">
        <v>1217</v>
      </c>
      <c r="G1093" s="58">
        <v>129000</v>
      </c>
      <c r="H1093" s="59">
        <v>202300</v>
      </c>
      <c r="I1093" s="59">
        <f t="shared" si="34"/>
        <v>0</v>
      </c>
    </row>
    <row r="1094" spans="1:9" customFormat="1" x14ac:dyDescent="0.35">
      <c r="A1094" s="63">
        <f t="shared" si="35"/>
        <v>1093</v>
      </c>
      <c r="B1094" s="54" t="s">
        <v>3013</v>
      </c>
      <c r="C1094" s="55" t="s">
        <v>3014</v>
      </c>
      <c r="D1094" s="54" t="s">
        <v>2990</v>
      </c>
      <c r="E1094" s="56">
        <v>0</v>
      </c>
      <c r="F1094" s="57" t="s">
        <v>792</v>
      </c>
      <c r="G1094" s="58">
        <v>38000</v>
      </c>
      <c r="H1094" s="59">
        <v>4796.05</v>
      </c>
      <c r="I1094" s="59">
        <f t="shared" si="34"/>
        <v>0</v>
      </c>
    </row>
    <row r="1095" spans="1:9" customFormat="1" ht="23" x14ac:dyDescent="0.35">
      <c r="A1095" s="63">
        <f t="shared" si="35"/>
        <v>1094</v>
      </c>
      <c r="B1095" s="54" t="s">
        <v>3015</v>
      </c>
      <c r="C1095" s="55" t="s">
        <v>3016</v>
      </c>
      <c r="D1095" s="54" t="s">
        <v>2990</v>
      </c>
      <c r="E1095" s="56">
        <v>0</v>
      </c>
      <c r="F1095" s="57" t="s">
        <v>792</v>
      </c>
      <c r="G1095" s="58">
        <v>103000</v>
      </c>
      <c r="H1095" s="59">
        <v>149711</v>
      </c>
      <c r="I1095" s="59">
        <f t="shared" si="34"/>
        <v>0</v>
      </c>
    </row>
    <row r="1096" spans="1:9" customFormat="1" x14ac:dyDescent="0.35">
      <c r="A1096" s="63">
        <f t="shared" si="35"/>
        <v>1095</v>
      </c>
      <c r="B1096" s="54" t="s">
        <v>3017</v>
      </c>
      <c r="C1096" s="55" t="s">
        <v>3018</v>
      </c>
      <c r="D1096" s="54" t="s">
        <v>2990</v>
      </c>
      <c r="E1096" s="56">
        <v>0</v>
      </c>
      <c r="F1096" s="57" t="s">
        <v>792</v>
      </c>
      <c r="G1096" s="58">
        <v>0</v>
      </c>
      <c r="H1096" s="59">
        <v>25510</v>
      </c>
      <c r="I1096" s="59">
        <f t="shared" si="34"/>
        <v>0</v>
      </c>
    </row>
    <row r="1097" spans="1:9" customFormat="1" x14ac:dyDescent="0.35">
      <c r="A1097" s="63">
        <f t="shared" si="35"/>
        <v>1096</v>
      </c>
      <c r="B1097" s="54" t="s">
        <v>3019</v>
      </c>
      <c r="C1097" s="55" t="s">
        <v>3020</v>
      </c>
      <c r="D1097" s="54" t="s">
        <v>2990</v>
      </c>
      <c r="E1097" s="56">
        <v>0</v>
      </c>
      <c r="F1097" s="57" t="s">
        <v>792</v>
      </c>
      <c r="G1097" s="58">
        <v>0</v>
      </c>
      <c r="H1097" s="59">
        <v>163875</v>
      </c>
      <c r="I1097" s="59">
        <f t="shared" si="34"/>
        <v>0</v>
      </c>
    </row>
    <row r="1098" spans="1:9" customFormat="1" x14ac:dyDescent="0.35">
      <c r="A1098" s="63">
        <f t="shared" si="35"/>
        <v>1097</v>
      </c>
      <c r="B1098" s="54" t="s">
        <v>3021</v>
      </c>
      <c r="C1098" s="55" t="s">
        <v>3022</v>
      </c>
      <c r="D1098" s="54" t="s">
        <v>2990</v>
      </c>
      <c r="E1098" s="56">
        <v>0</v>
      </c>
      <c r="F1098" s="57" t="s">
        <v>792</v>
      </c>
      <c r="G1098" s="58">
        <v>7850</v>
      </c>
      <c r="H1098" s="59">
        <v>12500</v>
      </c>
      <c r="I1098" s="59">
        <f t="shared" si="34"/>
        <v>0</v>
      </c>
    </row>
    <row r="1099" spans="1:9" customFormat="1" x14ac:dyDescent="0.35">
      <c r="A1099" s="63">
        <f t="shared" si="35"/>
        <v>1098</v>
      </c>
      <c r="B1099" s="54" t="s">
        <v>3023</v>
      </c>
      <c r="C1099" s="55" t="s">
        <v>3024</v>
      </c>
      <c r="D1099" s="54" t="s">
        <v>2990</v>
      </c>
      <c r="E1099" s="56">
        <v>0</v>
      </c>
      <c r="F1099" s="57" t="s">
        <v>792</v>
      </c>
      <c r="G1099" s="58">
        <v>158750</v>
      </c>
      <c r="H1099" s="59">
        <v>233750</v>
      </c>
      <c r="I1099" s="59">
        <f t="shared" si="34"/>
        <v>0</v>
      </c>
    </row>
    <row r="1100" spans="1:9" customFormat="1" x14ac:dyDescent="0.35">
      <c r="A1100" s="63">
        <f t="shared" si="35"/>
        <v>1099</v>
      </c>
      <c r="B1100" s="54" t="s">
        <v>3025</v>
      </c>
      <c r="C1100" s="55" t="s">
        <v>3026</v>
      </c>
      <c r="D1100" s="54" t="s">
        <v>2990</v>
      </c>
      <c r="E1100" s="56">
        <v>0</v>
      </c>
      <c r="F1100" s="57" t="s">
        <v>792</v>
      </c>
      <c r="G1100" s="58">
        <v>158750</v>
      </c>
      <c r="H1100" s="59">
        <v>233750</v>
      </c>
      <c r="I1100" s="59">
        <f t="shared" si="34"/>
        <v>0</v>
      </c>
    </row>
    <row r="1101" spans="1:9" customFormat="1" x14ac:dyDescent="0.35">
      <c r="A1101" s="63">
        <f t="shared" si="35"/>
        <v>1100</v>
      </c>
      <c r="B1101" s="54" t="s">
        <v>3027</v>
      </c>
      <c r="C1101" s="55" t="s">
        <v>3028</v>
      </c>
      <c r="D1101" s="54" t="s">
        <v>2990</v>
      </c>
      <c r="E1101" s="56">
        <v>0</v>
      </c>
      <c r="F1101" s="57" t="s">
        <v>792</v>
      </c>
      <c r="G1101" s="58">
        <v>120750</v>
      </c>
      <c r="H1101" s="59">
        <v>170000</v>
      </c>
      <c r="I1101" s="59">
        <f t="shared" si="34"/>
        <v>0</v>
      </c>
    </row>
    <row r="1102" spans="1:9" customFormat="1" x14ac:dyDescent="0.35">
      <c r="A1102" s="63">
        <f t="shared" si="35"/>
        <v>1101</v>
      </c>
      <c r="B1102" s="54" t="s">
        <v>3029</v>
      </c>
      <c r="C1102" s="55" t="s">
        <v>3030</v>
      </c>
      <c r="D1102" s="54" t="s">
        <v>2990</v>
      </c>
      <c r="E1102" s="56">
        <v>0</v>
      </c>
      <c r="F1102" s="57" t="s">
        <v>792</v>
      </c>
      <c r="G1102" s="58">
        <v>150000</v>
      </c>
      <c r="H1102" s="59">
        <v>170000</v>
      </c>
      <c r="I1102" s="59">
        <f t="shared" si="34"/>
        <v>0</v>
      </c>
    </row>
    <row r="1103" spans="1:9" customFormat="1" x14ac:dyDescent="0.35">
      <c r="A1103" s="63">
        <f t="shared" si="35"/>
        <v>1102</v>
      </c>
      <c r="B1103" s="54" t="s">
        <v>3031</v>
      </c>
      <c r="C1103" s="55" t="s">
        <v>3032</v>
      </c>
      <c r="D1103" s="54" t="s">
        <v>2990</v>
      </c>
      <c r="E1103" s="56">
        <v>0</v>
      </c>
      <c r="F1103" s="57" t="s">
        <v>792</v>
      </c>
      <c r="G1103" s="58">
        <v>22500</v>
      </c>
      <c r="H1103" s="59">
        <v>14450</v>
      </c>
      <c r="I1103" s="59">
        <f t="shared" si="34"/>
        <v>0</v>
      </c>
    </row>
    <row r="1104" spans="1:9" customFormat="1" x14ac:dyDescent="0.35">
      <c r="A1104" s="63">
        <f t="shared" si="35"/>
        <v>1103</v>
      </c>
      <c r="B1104" s="54" t="s">
        <v>3033</v>
      </c>
      <c r="C1104" s="55" t="s">
        <v>3034</v>
      </c>
      <c r="D1104" s="54" t="s">
        <v>2990</v>
      </c>
      <c r="E1104" s="56">
        <v>0</v>
      </c>
      <c r="F1104" s="57" t="s">
        <v>792</v>
      </c>
      <c r="G1104" s="58">
        <v>150000</v>
      </c>
      <c r="H1104" s="59">
        <v>276250</v>
      </c>
      <c r="I1104" s="59">
        <f t="shared" si="34"/>
        <v>0</v>
      </c>
    </row>
    <row r="1105" spans="1:9" customFormat="1" x14ac:dyDescent="0.35">
      <c r="A1105" s="63">
        <f t="shared" si="35"/>
        <v>1104</v>
      </c>
      <c r="B1105" s="54" t="s">
        <v>3035</v>
      </c>
      <c r="C1105" s="55" t="s">
        <v>3036</v>
      </c>
      <c r="D1105" s="54" t="s">
        <v>2990</v>
      </c>
      <c r="E1105" s="56">
        <v>0</v>
      </c>
      <c r="F1105" s="57" t="s">
        <v>1217</v>
      </c>
      <c r="G1105" s="58">
        <v>37500</v>
      </c>
      <c r="H1105" s="59">
        <v>47600</v>
      </c>
      <c r="I1105" s="59">
        <f t="shared" si="34"/>
        <v>0</v>
      </c>
    </row>
    <row r="1106" spans="1:9" customFormat="1" x14ac:dyDescent="0.35">
      <c r="A1106" s="63">
        <f t="shared" si="35"/>
        <v>1105</v>
      </c>
      <c r="B1106" s="54" t="s">
        <v>3037</v>
      </c>
      <c r="C1106" s="55" t="s">
        <v>3038</v>
      </c>
      <c r="D1106" s="54" t="s">
        <v>2990</v>
      </c>
      <c r="E1106" s="56">
        <v>0</v>
      </c>
      <c r="F1106" s="57" t="s">
        <v>1217</v>
      </c>
      <c r="G1106" s="58">
        <v>37500</v>
      </c>
      <c r="H1106" s="59">
        <v>47600</v>
      </c>
      <c r="I1106" s="59">
        <f t="shared" si="34"/>
        <v>0</v>
      </c>
    </row>
    <row r="1107" spans="1:9" customFormat="1" x14ac:dyDescent="0.35">
      <c r="A1107" s="63">
        <f t="shared" si="35"/>
        <v>1106</v>
      </c>
      <c r="B1107" s="54" t="s">
        <v>3039</v>
      </c>
      <c r="C1107" s="55" t="s">
        <v>3040</v>
      </c>
      <c r="D1107" s="54" t="s">
        <v>2990</v>
      </c>
      <c r="E1107" s="56">
        <v>0</v>
      </c>
      <c r="F1107" s="57" t="s">
        <v>878</v>
      </c>
      <c r="G1107" s="58">
        <v>211000</v>
      </c>
      <c r="H1107" s="59">
        <v>326000</v>
      </c>
      <c r="I1107" s="59">
        <f t="shared" si="34"/>
        <v>0</v>
      </c>
    </row>
    <row r="1108" spans="1:9" customFormat="1" x14ac:dyDescent="0.35">
      <c r="A1108" s="63">
        <f t="shared" si="35"/>
        <v>1107</v>
      </c>
      <c r="B1108" s="54" t="s">
        <v>3041</v>
      </c>
      <c r="C1108" s="55" t="s">
        <v>3042</v>
      </c>
      <c r="D1108" s="54" t="s">
        <v>2990</v>
      </c>
      <c r="E1108" s="56">
        <v>0</v>
      </c>
      <c r="F1108" s="57" t="s">
        <v>977</v>
      </c>
      <c r="G1108" s="58">
        <v>170000</v>
      </c>
      <c r="H1108" s="59">
        <v>239827</v>
      </c>
      <c r="I1108" s="59">
        <f t="shared" si="34"/>
        <v>0</v>
      </c>
    </row>
    <row r="1109" spans="1:9" customFormat="1" x14ac:dyDescent="0.35">
      <c r="A1109" s="63">
        <f t="shared" si="35"/>
        <v>1108</v>
      </c>
      <c r="B1109" s="54" t="s">
        <v>3043</v>
      </c>
      <c r="C1109" s="55" t="s">
        <v>3044</v>
      </c>
      <c r="D1109" s="54" t="s">
        <v>2990</v>
      </c>
      <c r="E1109" s="56">
        <v>0</v>
      </c>
      <c r="F1109" s="57" t="s">
        <v>792</v>
      </c>
      <c r="G1109" s="58">
        <v>80000</v>
      </c>
      <c r="H1109" s="59">
        <v>80000</v>
      </c>
      <c r="I1109" s="59">
        <f t="shared" si="34"/>
        <v>0</v>
      </c>
    </row>
    <row r="1110" spans="1:9" customFormat="1" x14ac:dyDescent="0.35">
      <c r="A1110" s="63">
        <f t="shared" si="35"/>
        <v>1109</v>
      </c>
      <c r="B1110" s="54" t="s">
        <v>3045</v>
      </c>
      <c r="C1110" s="55" t="s">
        <v>3046</v>
      </c>
      <c r="D1110" s="54" t="s">
        <v>2990</v>
      </c>
      <c r="E1110" s="56">
        <v>0</v>
      </c>
      <c r="F1110" s="57" t="s">
        <v>792</v>
      </c>
      <c r="G1110" s="58">
        <v>20000</v>
      </c>
      <c r="H1110" s="59">
        <v>30400</v>
      </c>
      <c r="I1110" s="59">
        <f t="shared" si="34"/>
        <v>0</v>
      </c>
    </row>
    <row r="1111" spans="1:9" customFormat="1" x14ac:dyDescent="0.35">
      <c r="A1111" s="63">
        <f t="shared" si="35"/>
        <v>1110</v>
      </c>
      <c r="B1111" s="54" t="s">
        <v>3047</v>
      </c>
      <c r="C1111" s="55" t="s">
        <v>3048</v>
      </c>
      <c r="D1111" s="54" t="s">
        <v>2990</v>
      </c>
      <c r="E1111" s="56">
        <v>0</v>
      </c>
      <c r="F1111" s="57" t="s">
        <v>792</v>
      </c>
      <c r="G1111" s="58">
        <v>30000</v>
      </c>
      <c r="H1111" s="59">
        <v>45600</v>
      </c>
      <c r="I1111" s="59">
        <f t="shared" si="34"/>
        <v>0</v>
      </c>
    </row>
    <row r="1112" spans="1:9" customFormat="1" ht="23" x14ac:dyDescent="0.35">
      <c r="A1112" s="63">
        <f t="shared" si="35"/>
        <v>1111</v>
      </c>
      <c r="B1112" s="54" t="s">
        <v>3049</v>
      </c>
      <c r="C1112" s="55" t="s">
        <v>3050</v>
      </c>
      <c r="D1112" s="54" t="s">
        <v>2990</v>
      </c>
      <c r="E1112" s="56">
        <v>0</v>
      </c>
      <c r="F1112" s="57" t="s">
        <v>792</v>
      </c>
      <c r="G1112" s="58">
        <v>30000</v>
      </c>
      <c r="H1112" s="59">
        <v>43605</v>
      </c>
      <c r="I1112" s="59">
        <f t="shared" si="34"/>
        <v>0</v>
      </c>
    </row>
    <row r="1113" spans="1:9" customFormat="1" ht="23" x14ac:dyDescent="0.35">
      <c r="A1113" s="63">
        <f t="shared" si="35"/>
        <v>1112</v>
      </c>
      <c r="B1113" s="54" t="s">
        <v>3051</v>
      </c>
      <c r="C1113" s="55" t="s">
        <v>3052</v>
      </c>
      <c r="D1113" s="54" t="s">
        <v>2990</v>
      </c>
      <c r="E1113" s="56">
        <v>0</v>
      </c>
      <c r="F1113" s="57" t="s">
        <v>792</v>
      </c>
      <c r="G1113" s="58">
        <v>29500</v>
      </c>
      <c r="H1113" s="59">
        <v>46510</v>
      </c>
      <c r="I1113" s="59">
        <f t="shared" si="34"/>
        <v>0</v>
      </c>
    </row>
    <row r="1114" spans="1:9" customFormat="1" x14ac:dyDescent="0.35">
      <c r="A1114" s="63">
        <f t="shared" si="35"/>
        <v>1113</v>
      </c>
      <c r="B1114" s="54" t="s">
        <v>3053</v>
      </c>
      <c r="C1114" s="55" t="s">
        <v>3054</v>
      </c>
      <c r="D1114" s="54" t="s">
        <v>2990</v>
      </c>
      <c r="E1114" s="56">
        <v>0</v>
      </c>
      <c r="F1114" s="57" t="s">
        <v>792</v>
      </c>
      <c r="G1114" s="58">
        <v>225000</v>
      </c>
      <c r="H1114" s="59">
        <v>327038</v>
      </c>
      <c r="I1114" s="59">
        <f t="shared" si="34"/>
        <v>0</v>
      </c>
    </row>
    <row r="1115" spans="1:9" customFormat="1" x14ac:dyDescent="0.35">
      <c r="A1115" s="63">
        <f t="shared" si="35"/>
        <v>1114</v>
      </c>
      <c r="B1115" s="54" t="s">
        <v>3055</v>
      </c>
      <c r="C1115" s="55" t="s">
        <v>3056</v>
      </c>
      <c r="D1115" s="54" t="s">
        <v>2990</v>
      </c>
      <c r="E1115" s="56">
        <v>0</v>
      </c>
      <c r="F1115" s="57" t="s">
        <v>792</v>
      </c>
      <c r="G1115" s="58">
        <v>150000</v>
      </c>
      <c r="H1115" s="59">
        <v>148750</v>
      </c>
      <c r="I1115" s="59">
        <f t="shared" si="34"/>
        <v>0</v>
      </c>
    </row>
    <row r="1116" spans="1:9" customFormat="1" x14ac:dyDescent="0.35">
      <c r="A1116" s="63">
        <f t="shared" si="35"/>
        <v>1115</v>
      </c>
      <c r="B1116" s="54" t="s">
        <v>3057</v>
      </c>
      <c r="C1116" s="55" t="s">
        <v>3058</v>
      </c>
      <c r="D1116" s="54" t="s">
        <v>2990</v>
      </c>
      <c r="E1116" s="56">
        <v>0</v>
      </c>
      <c r="F1116" s="57" t="s">
        <v>792</v>
      </c>
      <c r="G1116" s="58">
        <v>150000</v>
      </c>
      <c r="H1116" s="59">
        <v>276250</v>
      </c>
      <c r="I1116" s="59">
        <f t="shared" si="34"/>
        <v>0</v>
      </c>
    </row>
    <row r="1117" spans="1:9" customFormat="1" x14ac:dyDescent="0.35">
      <c r="A1117" s="63">
        <f t="shared" si="35"/>
        <v>1116</v>
      </c>
      <c r="B1117" s="54" t="s">
        <v>3059</v>
      </c>
      <c r="C1117" s="55" t="s">
        <v>3060</v>
      </c>
      <c r="D1117" s="54" t="s">
        <v>2990</v>
      </c>
      <c r="E1117" s="56">
        <v>0</v>
      </c>
      <c r="F1117" s="57" t="s">
        <v>792</v>
      </c>
      <c r="G1117" s="58">
        <v>150000</v>
      </c>
      <c r="H1117" s="59">
        <v>276250</v>
      </c>
      <c r="I1117" s="59">
        <f t="shared" si="34"/>
        <v>0</v>
      </c>
    </row>
    <row r="1118" spans="1:9" customFormat="1" x14ac:dyDescent="0.35">
      <c r="A1118" s="63">
        <f t="shared" si="35"/>
        <v>1117</v>
      </c>
      <c r="B1118" s="54" t="s">
        <v>3061</v>
      </c>
      <c r="C1118" s="55" t="s">
        <v>3062</v>
      </c>
      <c r="D1118" s="54" t="s">
        <v>2990</v>
      </c>
      <c r="E1118" s="56">
        <v>0</v>
      </c>
      <c r="F1118" s="57" t="s">
        <v>792</v>
      </c>
      <c r="G1118" s="58">
        <v>150000</v>
      </c>
      <c r="H1118" s="59">
        <v>148750</v>
      </c>
      <c r="I1118" s="59">
        <f t="shared" si="34"/>
        <v>0</v>
      </c>
    </row>
    <row r="1119" spans="1:9" customFormat="1" x14ac:dyDescent="0.35">
      <c r="A1119" s="63">
        <f t="shared" si="35"/>
        <v>1118</v>
      </c>
      <c r="B1119" s="54" t="s">
        <v>3063</v>
      </c>
      <c r="C1119" s="55" t="s">
        <v>3064</v>
      </c>
      <c r="D1119" s="54" t="s">
        <v>2990</v>
      </c>
      <c r="E1119" s="56">
        <v>0</v>
      </c>
      <c r="F1119" s="57" t="s">
        <v>792</v>
      </c>
      <c r="G1119" s="58">
        <v>300000</v>
      </c>
      <c r="H1119" s="59">
        <v>470000</v>
      </c>
      <c r="I1119" s="59">
        <f t="shared" si="34"/>
        <v>0</v>
      </c>
    </row>
    <row r="1120" spans="1:9" customFormat="1" x14ac:dyDescent="0.35">
      <c r="A1120" s="63">
        <f t="shared" si="35"/>
        <v>1119</v>
      </c>
      <c r="B1120" s="54" t="s">
        <v>3065</v>
      </c>
      <c r="C1120" s="55" t="s">
        <v>3066</v>
      </c>
      <c r="D1120" s="54" t="s">
        <v>2990</v>
      </c>
      <c r="E1120" s="56">
        <v>0</v>
      </c>
      <c r="F1120" s="57" t="s">
        <v>792</v>
      </c>
      <c r="G1120" s="58">
        <v>58500</v>
      </c>
      <c r="H1120" s="59">
        <v>76750</v>
      </c>
      <c r="I1120" s="59">
        <f t="shared" si="34"/>
        <v>0</v>
      </c>
    </row>
    <row r="1121" spans="1:9" customFormat="1" x14ac:dyDescent="0.35">
      <c r="A1121" s="63">
        <f t="shared" si="35"/>
        <v>1120</v>
      </c>
      <c r="B1121" s="54" t="s">
        <v>3067</v>
      </c>
      <c r="C1121" s="55" t="s">
        <v>3068</v>
      </c>
      <c r="D1121" s="54" t="s">
        <v>2990</v>
      </c>
      <c r="E1121" s="56">
        <v>0</v>
      </c>
      <c r="F1121" s="57" t="s">
        <v>878</v>
      </c>
      <c r="G1121" s="58">
        <v>65000</v>
      </c>
      <c r="H1121" s="59">
        <v>230000</v>
      </c>
      <c r="I1121" s="59">
        <f t="shared" si="34"/>
        <v>0</v>
      </c>
    </row>
    <row r="1122" spans="1:9" customFormat="1" x14ac:dyDescent="0.35">
      <c r="A1122" s="63">
        <f t="shared" si="35"/>
        <v>1121</v>
      </c>
      <c r="B1122" s="54" t="s">
        <v>3069</v>
      </c>
      <c r="C1122" s="55" t="s">
        <v>3070</v>
      </c>
      <c r="D1122" s="54" t="s">
        <v>2990</v>
      </c>
      <c r="E1122" s="56">
        <v>0</v>
      </c>
      <c r="F1122" s="57" t="s">
        <v>792</v>
      </c>
      <c r="G1122" s="58">
        <v>230000</v>
      </c>
      <c r="H1122" s="59">
        <v>376000</v>
      </c>
      <c r="I1122" s="59">
        <f t="shared" si="34"/>
        <v>0</v>
      </c>
    </row>
    <row r="1123" spans="1:9" customFormat="1" x14ac:dyDescent="0.35">
      <c r="A1123" s="63">
        <f t="shared" si="35"/>
        <v>1122</v>
      </c>
      <c r="B1123" s="54" t="s">
        <v>3071</v>
      </c>
      <c r="C1123" s="55" t="s">
        <v>3072</v>
      </c>
      <c r="D1123" s="54" t="s">
        <v>2990</v>
      </c>
      <c r="E1123" s="56">
        <v>0</v>
      </c>
      <c r="F1123" s="57" t="s">
        <v>792</v>
      </c>
      <c r="G1123" s="58">
        <v>49</v>
      </c>
      <c r="H1123" s="59">
        <v>131.1</v>
      </c>
      <c r="I1123" s="59">
        <f t="shared" si="34"/>
        <v>0</v>
      </c>
    </row>
    <row r="1124" spans="1:9" customFormat="1" x14ac:dyDescent="0.35">
      <c r="A1124" s="63">
        <f t="shared" si="35"/>
        <v>1123</v>
      </c>
      <c r="B1124" s="54" t="s">
        <v>3073</v>
      </c>
      <c r="C1124" s="55" t="s">
        <v>3074</v>
      </c>
      <c r="D1124" s="54" t="s">
        <v>2990</v>
      </c>
      <c r="E1124" s="56">
        <v>0</v>
      </c>
      <c r="F1124" s="57" t="s">
        <v>792</v>
      </c>
      <c r="G1124" s="58">
        <v>105000</v>
      </c>
      <c r="H1124" s="59">
        <v>157500</v>
      </c>
      <c r="I1124" s="59">
        <f t="shared" si="34"/>
        <v>0</v>
      </c>
    </row>
    <row r="1125" spans="1:9" customFormat="1" x14ac:dyDescent="0.35">
      <c r="A1125" s="63">
        <f t="shared" si="35"/>
        <v>1124</v>
      </c>
      <c r="B1125" s="54" t="s">
        <v>3075</v>
      </c>
      <c r="C1125" s="55" t="s">
        <v>3076</v>
      </c>
      <c r="D1125" s="54" t="s">
        <v>2990</v>
      </c>
      <c r="E1125" s="56">
        <v>0</v>
      </c>
      <c r="F1125" s="57" t="s">
        <v>792</v>
      </c>
      <c r="G1125" s="58">
        <v>105000</v>
      </c>
      <c r="H1125" s="59">
        <v>105000</v>
      </c>
      <c r="I1125" s="59">
        <f t="shared" si="34"/>
        <v>0</v>
      </c>
    </row>
    <row r="1126" spans="1:9" customFormat="1" x14ac:dyDescent="0.35">
      <c r="A1126" s="63">
        <f t="shared" si="35"/>
        <v>1125</v>
      </c>
      <c r="B1126" s="54" t="s">
        <v>3077</v>
      </c>
      <c r="C1126" s="55" t="s">
        <v>3078</v>
      </c>
      <c r="D1126" s="54" t="s">
        <v>2990</v>
      </c>
      <c r="E1126" s="56">
        <v>0</v>
      </c>
      <c r="F1126" s="57" t="s">
        <v>792</v>
      </c>
      <c r="G1126" s="58">
        <v>0</v>
      </c>
      <c r="H1126" s="59">
        <v>0</v>
      </c>
      <c r="I1126" s="59">
        <f t="shared" si="34"/>
        <v>0</v>
      </c>
    </row>
    <row r="1127" spans="1:9" customFormat="1" ht="23" x14ac:dyDescent="0.35">
      <c r="A1127" s="63">
        <f t="shared" si="35"/>
        <v>1126</v>
      </c>
      <c r="B1127" s="54" t="s">
        <v>3079</v>
      </c>
      <c r="C1127" s="55" t="s">
        <v>3080</v>
      </c>
      <c r="D1127" s="54" t="s">
        <v>2990</v>
      </c>
      <c r="E1127" s="56">
        <v>0</v>
      </c>
      <c r="F1127" s="57" t="s">
        <v>792</v>
      </c>
      <c r="G1127" s="58">
        <v>35000</v>
      </c>
      <c r="H1127" s="59">
        <v>52500</v>
      </c>
      <c r="I1127" s="59">
        <f t="shared" si="34"/>
        <v>0</v>
      </c>
    </row>
    <row r="1128" spans="1:9" customFormat="1" x14ac:dyDescent="0.35">
      <c r="A1128" s="63">
        <f t="shared" si="35"/>
        <v>1127</v>
      </c>
      <c r="B1128" s="54" t="s">
        <v>3081</v>
      </c>
      <c r="C1128" s="55" t="s">
        <v>3082</v>
      </c>
      <c r="D1128" s="54" t="s">
        <v>2990</v>
      </c>
      <c r="E1128" s="56">
        <v>0</v>
      </c>
      <c r="F1128" s="57" t="s">
        <v>878</v>
      </c>
      <c r="G1128" s="58">
        <v>170000</v>
      </c>
      <c r="H1128" s="59">
        <v>250002</v>
      </c>
      <c r="I1128" s="59">
        <f t="shared" si="34"/>
        <v>0</v>
      </c>
    </row>
    <row r="1129" spans="1:9" customFormat="1" x14ac:dyDescent="0.35">
      <c r="A1129" s="63">
        <f t="shared" si="35"/>
        <v>1128</v>
      </c>
      <c r="B1129" s="54" t="s">
        <v>3083</v>
      </c>
      <c r="C1129" s="55" t="s">
        <v>3084</v>
      </c>
      <c r="D1129" s="54" t="s">
        <v>2990</v>
      </c>
      <c r="E1129" s="56">
        <v>0</v>
      </c>
      <c r="F1129" s="57" t="s">
        <v>1217</v>
      </c>
      <c r="G1129" s="58">
        <v>236000</v>
      </c>
      <c r="H1129" s="59">
        <v>376000</v>
      </c>
      <c r="I1129" s="59">
        <f t="shared" si="34"/>
        <v>0</v>
      </c>
    </row>
    <row r="1130" spans="1:9" customFormat="1" ht="23" x14ac:dyDescent="0.35">
      <c r="A1130" s="63">
        <f t="shared" si="35"/>
        <v>1129</v>
      </c>
      <c r="B1130" s="54" t="s">
        <v>3085</v>
      </c>
      <c r="C1130" s="55" t="s">
        <v>3086</v>
      </c>
      <c r="D1130" s="54" t="s">
        <v>2990</v>
      </c>
      <c r="E1130" s="56">
        <v>0</v>
      </c>
      <c r="F1130" s="57" t="s">
        <v>870</v>
      </c>
      <c r="G1130" s="58">
        <v>0</v>
      </c>
      <c r="H1130" s="59">
        <v>71250</v>
      </c>
      <c r="I1130" s="59">
        <f t="shared" si="34"/>
        <v>0</v>
      </c>
    </row>
    <row r="1131" spans="1:9" customFormat="1" ht="23" x14ac:dyDescent="0.35">
      <c r="A1131" s="63">
        <f t="shared" si="35"/>
        <v>1130</v>
      </c>
      <c r="B1131" s="54" t="s">
        <v>3087</v>
      </c>
      <c r="C1131" s="55" t="s">
        <v>3088</v>
      </c>
      <c r="D1131" s="54" t="s">
        <v>2990</v>
      </c>
      <c r="E1131" s="56">
        <v>0</v>
      </c>
      <c r="F1131" s="57" t="s">
        <v>870</v>
      </c>
      <c r="G1131" s="58">
        <v>0</v>
      </c>
      <c r="H1131" s="59">
        <v>71250</v>
      </c>
      <c r="I1131" s="59">
        <f t="shared" si="34"/>
        <v>0</v>
      </c>
    </row>
    <row r="1132" spans="1:9" customFormat="1" ht="23" x14ac:dyDescent="0.35">
      <c r="A1132" s="63">
        <f t="shared" si="35"/>
        <v>1131</v>
      </c>
      <c r="B1132" s="54" t="s">
        <v>3089</v>
      </c>
      <c r="C1132" s="55" t="s">
        <v>3090</v>
      </c>
      <c r="D1132" s="54" t="s">
        <v>2990</v>
      </c>
      <c r="E1132" s="56">
        <v>0</v>
      </c>
      <c r="F1132" s="57" t="s">
        <v>878</v>
      </c>
      <c r="G1132" s="58">
        <v>9911000</v>
      </c>
      <c r="H1132" s="59">
        <v>9911000</v>
      </c>
      <c r="I1132" s="59">
        <f t="shared" si="34"/>
        <v>0</v>
      </c>
    </row>
    <row r="1133" spans="1:9" customFormat="1" x14ac:dyDescent="0.35">
      <c r="A1133" s="63">
        <f t="shared" si="35"/>
        <v>1132</v>
      </c>
      <c r="B1133" s="54" t="s">
        <v>3091</v>
      </c>
      <c r="C1133" s="55" t="s">
        <v>3092</v>
      </c>
      <c r="D1133" s="54" t="s">
        <v>2990</v>
      </c>
      <c r="E1133" s="56">
        <v>0</v>
      </c>
      <c r="F1133" s="57" t="s">
        <v>792</v>
      </c>
      <c r="G1133" s="58">
        <v>3400</v>
      </c>
      <c r="H1133" s="59">
        <v>0</v>
      </c>
      <c r="I1133" s="59">
        <f t="shared" si="34"/>
        <v>0</v>
      </c>
    </row>
    <row r="1134" spans="1:9" customFormat="1" x14ac:dyDescent="0.35">
      <c r="A1134" s="63">
        <f t="shared" si="35"/>
        <v>1133</v>
      </c>
      <c r="B1134" s="54" t="s">
        <v>3093</v>
      </c>
      <c r="C1134" s="55" t="s">
        <v>3094</v>
      </c>
      <c r="D1134" s="54" t="s">
        <v>2990</v>
      </c>
      <c r="E1134" s="56">
        <v>0</v>
      </c>
      <c r="F1134" s="57" t="s">
        <v>792</v>
      </c>
      <c r="G1134" s="58">
        <v>3400</v>
      </c>
      <c r="H1134" s="59">
        <v>0</v>
      </c>
      <c r="I1134" s="59">
        <f t="shared" si="34"/>
        <v>0</v>
      </c>
    </row>
    <row r="1135" spans="1:9" customFormat="1" x14ac:dyDescent="0.35">
      <c r="A1135" s="63">
        <f t="shared" si="35"/>
        <v>1134</v>
      </c>
      <c r="B1135" s="54" t="s">
        <v>3095</v>
      </c>
      <c r="C1135" s="55" t="s">
        <v>3096</v>
      </c>
      <c r="D1135" s="54" t="s">
        <v>2990</v>
      </c>
      <c r="E1135" s="56">
        <v>0</v>
      </c>
      <c r="F1135" s="57" t="s">
        <v>792</v>
      </c>
      <c r="G1135" s="58">
        <v>3400</v>
      </c>
      <c r="H1135" s="59">
        <v>0</v>
      </c>
      <c r="I1135" s="59">
        <f t="shared" si="34"/>
        <v>0</v>
      </c>
    </row>
    <row r="1136" spans="1:9" customFormat="1" x14ac:dyDescent="0.35">
      <c r="A1136" s="63">
        <f t="shared" si="35"/>
        <v>1135</v>
      </c>
      <c r="B1136" s="54" t="s">
        <v>3097</v>
      </c>
      <c r="C1136" s="55" t="s">
        <v>3098</v>
      </c>
      <c r="D1136" s="54" t="s">
        <v>2990</v>
      </c>
      <c r="E1136" s="56">
        <v>0</v>
      </c>
      <c r="F1136" s="57" t="s">
        <v>792</v>
      </c>
      <c r="G1136" s="58">
        <v>3400</v>
      </c>
      <c r="H1136" s="59">
        <v>0</v>
      </c>
      <c r="I1136" s="59">
        <f t="shared" si="34"/>
        <v>0</v>
      </c>
    </row>
    <row r="1137" spans="1:9" customFormat="1" x14ac:dyDescent="0.35">
      <c r="A1137" s="63">
        <f t="shared" si="35"/>
        <v>1136</v>
      </c>
      <c r="B1137" s="54" t="s">
        <v>3099</v>
      </c>
      <c r="C1137" s="55" t="s">
        <v>3100</v>
      </c>
      <c r="D1137" s="54" t="s">
        <v>2990</v>
      </c>
      <c r="E1137" s="56">
        <v>0</v>
      </c>
      <c r="F1137" s="57" t="s">
        <v>792</v>
      </c>
      <c r="G1137" s="58">
        <v>0</v>
      </c>
      <c r="H1137" s="59">
        <v>276250</v>
      </c>
      <c r="I1137" s="59">
        <f t="shared" si="34"/>
        <v>0</v>
      </c>
    </row>
    <row r="1138" spans="1:9" customFormat="1" x14ac:dyDescent="0.35">
      <c r="A1138" s="63">
        <f t="shared" si="35"/>
        <v>1137</v>
      </c>
      <c r="B1138" s="54" t="s">
        <v>3101</v>
      </c>
      <c r="C1138" s="55" t="s">
        <v>3102</v>
      </c>
      <c r="D1138" s="54" t="s">
        <v>2990</v>
      </c>
      <c r="E1138" s="56">
        <v>0</v>
      </c>
      <c r="F1138" s="57" t="s">
        <v>878</v>
      </c>
      <c r="G1138" s="58">
        <v>2250</v>
      </c>
      <c r="H1138" s="59">
        <v>4250</v>
      </c>
      <c r="I1138" s="59">
        <f t="shared" si="34"/>
        <v>0</v>
      </c>
    </row>
    <row r="1139" spans="1:9" customFormat="1" x14ac:dyDescent="0.35">
      <c r="A1139" s="63">
        <f t="shared" si="35"/>
        <v>1138</v>
      </c>
      <c r="B1139" s="54" t="s">
        <v>3103</v>
      </c>
      <c r="C1139" s="55" t="s">
        <v>3104</v>
      </c>
      <c r="D1139" s="54" t="s">
        <v>2990</v>
      </c>
      <c r="E1139" s="56">
        <v>0</v>
      </c>
      <c r="F1139" s="57" t="s">
        <v>792</v>
      </c>
      <c r="G1139" s="58">
        <v>10000</v>
      </c>
      <c r="H1139" s="59">
        <v>10000</v>
      </c>
      <c r="I1139" s="59">
        <f t="shared" si="34"/>
        <v>0</v>
      </c>
    </row>
    <row r="1140" spans="1:9" customFormat="1" x14ac:dyDescent="0.35">
      <c r="A1140" s="63">
        <f t="shared" si="35"/>
        <v>1139</v>
      </c>
      <c r="B1140" s="54" t="s">
        <v>3105</v>
      </c>
      <c r="C1140" s="55" t="s">
        <v>3106</v>
      </c>
      <c r="D1140" s="54" t="s">
        <v>2990</v>
      </c>
      <c r="E1140" s="56">
        <v>0</v>
      </c>
      <c r="F1140" s="57" t="s">
        <v>792</v>
      </c>
      <c r="G1140" s="58">
        <v>250000</v>
      </c>
      <c r="H1140" s="59">
        <v>343750</v>
      </c>
      <c r="I1140" s="59">
        <f t="shared" si="34"/>
        <v>0</v>
      </c>
    </row>
    <row r="1141" spans="1:9" customFormat="1" ht="23" x14ac:dyDescent="0.35">
      <c r="A1141" s="63">
        <f t="shared" si="35"/>
        <v>1140</v>
      </c>
      <c r="B1141" s="54" t="s">
        <v>3107</v>
      </c>
      <c r="C1141" s="55" t="s">
        <v>3108</v>
      </c>
      <c r="D1141" s="54" t="s">
        <v>2990</v>
      </c>
      <c r="E1141" s="56">
        <v>0</v>
      </c>
      <c r="F1141" s="57" t="s">
        <v>3109</v>
      </c>
      <c r="G1141" s="58">
        <v>233350</v>
      </c>
      <c r="H1141" s="59">
        <v>385500</v>
      </c>
      <c r="I1141" s="59">
        <f t="shared" si="34"/>
        <v>0</v>
      </c>
    </row>
    <row r="1142" spans="1:9" customFormat="1" x14ac:dyDescent="0.35">
      <c r="A1142" s="63">
        <f t="shared" si="35"/>
        <v>1141</v>
      </c>
      <c r="B1142" s="54" t="s">
        <v>3110</v>
      </c>
      <c r="C1142" s="55" t="s">
        <v>3111</v>
      </c>
      <c r="D1142" s="54" t="s">
        <v>2990</v>
      </c>
      <c r="E1142" s="56">
        <v>0</v>
      </c>
      <c r="F1142" s="57" t="s">
        <v>792</v>
      </c>
      <c r="G1142" s="58">
        <v>150000</v>
      </c>
      <c r="H1142" s="59">
        <v>321750</v>
      </c>
      <c r="I1142" s="59">
        <f t="shared" si="34"/>
        <v>0</v>
      </c>
    </row>
    <row r="1143" spans="1:9" customFormat="1" x14ac:dyDescent="0.35">
      <c r="A1143" s="63">
        <f t="shared" si="35"/>
        <v>1142</v>
      </c>
      <c r="B1143" s="54" t="s">
        <v>3112</v>
      </c>
      <c r="C1143" s="55" t="s">
        <v>3113</v>
      </c>
      <c r="D1143" s="54" t="s">
        <v>2990</v>
      </c>
      <c r="E1143" s="56">
        <v>0</v>
      </c>
      <c r="F1143" s="57" t="s">
        <v>792</v>
      </c>
      <c r="G1143" s="58">
        <v>9725</v>
      </c>
      <c r="H1143" s="59">
        <v>9700</v>
      </c>
      <c r="I1143" s="59">
        <f t="shared" si="34"/>
        <v>0</v>
      </c>
    </row>
    <row r="1144" spans="1:9" customFormat="1" x14ac:dyDescent="0.35">
      <c r="A1144" s="63">
        <f t="shared" si="35"/>
        <v>1143</v>
      </c>
      <c r="B1144" s="54" t="s">
        <v>3114</v>
      </c>
      <c r="C1144" s="55" t="s">
        <v>3115</v>
      </c>
      <c r="D1144" s="54" t="s">
        <v>2990</v>
      </c>
      <c r="E1144" s="56">
        <v>0</v>
      </c>
      <c r="F1144" s="57" t="s">
        <v>792</v>
      </c>
      <c r="G1144" s="58">
        <v>155000</v>
      </c>
      <c r="H1144" s="59">
        <v>229710</v>
      </c>
      <c r="I1144" s="59">
        <f t="shared" si="34"/>
        <v>0</v>
      </c>
    </row>
    <row r="1145" spans="1:9" customFormat="1" x14ac:dyDescent="0.35">
      <c r="A1145" s="63">
        <f t="shared" si="35"/>
        <v>1144</v>
      </c>
      <c r="B1145" s="54" t="s">
        <v>3116</v>
      </c>
      <c r="C1145" s="55" t="s">
        <v>3117</v>
      </c>
      <c r="D1145" s="54" t="s">
        <v>2990</v>
      </c>
      <c r="E1145" s="56">
        <v>0</v>
      </c>
      <c r="F1145" s="57" t="s">
        <v>792</v>
      </c>
      <c r="G1145" s="58">
        <v>52302.5</v>
      </c>
      <c r="H1145" s="59">
        <v>72660</v>
      </c>
      <c r="I1145" s="59">
        <f t="shared" si="34"/>
        <v>0</v>
      </c>
    </row>
    <row r="1146" spans="1:9" customFormat="1" x14ac:dyDescent="0.35">
      <c r="A1146" s="63">
        <f t="shared" si="35"/>
        <v>1145</v>
      </c>
      <c r="B1146" s="54" t="s">
        <v>3118</v>
      </c>
      <c r="C1146" s="55" t="s">
        <v>3119</v>
      </c>
      <c r="D1146" s="54" t="s">
        <v>2990</v>
      </c>
      <c r="E1146" s="92">
        <v>4</v>
      </c>
      <c r="F1146" s="57" t="s">
        <v>1322</v>
      </c>
      <c r="G1146" s="58">
        <v>153000</v>
      </c>
      <c r="H1146" s="59">
        <v>185000</v>
      </c>
      <c r="I1146" s="59">
        <f t="shared" si="34"/>
        <v>740000</v>
      </c>
    </row>
    <row r="1147" spans="1:9" customFormat="1" x14ac:dyDescent="0.35">
      <c r="A1147" s="63">
        <f t="shared" si="35"/>
        <v>1146</v>
      </c>
      <c r="B1147" s="54" t="s">
        <v>3120</v>
      </c>
      <c r="C1147" s="55" t="s">
        <v>3121</v>
      </c>
      <c r="D1147" s="54" t="s">
        <v>2990</v>
      </c>
      <c r="E1147" s="92">
        <v>6</v>
      </c>
      <c r="F1147" s="57" t="s">
        <v>792</v>
      </c>
      <c r="G1147" s="58">
        <v>34770</v>
      </c>
      <c r="H1147" s="59">
        <v>67620</v>
      </c>
      <c r="I1147" s="59">
        <f t="shared" si="34"/>
        <v>405720</v>
      </c>
    </row>
    <row r="1148" spans="1:9" customFormat="1" x14ac:dyDescent="0.35">
      <c r="A1148" s="63">
        <f t="shared" si="35"/>
        <v>1147</v>
      </c>
      <c r="B1148" s="54" t="s">
        <v>3122</v>
      </c>
      <c r="C1148" s="55" t="s">
        <v>3123</v>
      </c>
      <c r="D1148" s="54" t="s">
        <v>3124</v>
      </c>
      <c r="E1148" s="56">
        <v>0</v>
      </c>
      <c r="F1148" s="57" t="s">
        <v>792</v>
      </c>
      <c r="G1148" s="58">
        <v>175000</v>
      </c>
      <c r="H1148" s="59">
        <v>175000</v>
      </c>
      <c r="I1148" s="59">
        <f t="shared" si="34"/>
        <v>0</v>
      </c>
    </row>
    <row r="1149" spans="1:9" customFormat="1" x14ac:dyDescent="0.35">
      <c r="A1149" s="63">
        <f t="shared" si="35"/>
        <v>1148</v>
      </c>
      <c r="B1149" s="54" t="s">
        <v>3125</v>
      </c>
      <c r="C1149" s="55" t="s">
        <v>3126</v>
      </c>
      <c r="D1149" s="54" t="s">
        <v>3124</v>
      </c>
      <c r="E1149" s="56">
        <v>0</v>
      </c>
      <c r="F1149" s="57" t="s">
        <v>844</v>
      </c>
      <c r="G1149" s="58">
        <v>1140000</v>
      </c>
      <c r="H1149" s="59">
        <v>1140000</v>
      </c>
      <c r="I1149" s="59">
        <f t="shared" si="34"/>
        <v>0</v>
      </c>
    </row>
    <row r="1150" spans="1:9" customFormat="1" x14ac:dyDescent="0.35">
      <c r="A1150" s="63">
        <f t="shared" si="35"/>
        <v>1149</v>
      </c>
      <c r="B1150" s="54" t="s">
        <v>3127</v>
      </c>
      <c r="C1150" s="55" t="s">
        <v>3128</v>
      </c>
      <c r="D1150" s="54" t="s">
        <v>3124</v>
      </c>
      <c r="E1150" s="56">
        <v>0</v>
      </c>
      <c r="F1150" s="57" t="s">
        <v>2241</v>
      </c>
      <c r="G1150" s="58">
        <v>9890</v>
      </c>
      <c r="H1150" s="59">
        <v>32368</v>
      </c>
      <c r="I1150" s="59">
        <f t="shared" si="34"/>
        <v>0</v>
      </c>
    </row>
    <row r="1151" spans="1:9" customFormat="1" x14ac:dyDescent="0.35">
      <c r="A1151" s="63">
        <f t="shared" si="35"/>
        <v>1150</v>
      </c>
      <c r="B1151" s="54" t="s">
        <v>3129</v>
      </c>
      <c r="C1151" s="55" t="s">
        <v>3130</v>
      </c>
      <c r="D1151" s="54" t="s">
        <v>3124</v>
      </c>
      <c r="E1151" s="56">
        <v>0</v>
      </c>
      <c r="F1151" s="57" t="s">
        <v>1563</v>
      </c>
      <c r="G1151" s="58">
        <v>80935</v>
      </c>
      <c r="H1151" s="59">
        <v>218526</v>
      </c>
      <c r="I1151" s="59">
        <f t="shared" si="34"/>
        <v>0</v>
      </c>
    </row>
    <row r="1152" spans="1:9" customFormat="1" x14ac:dyDescent="0.35">
      <c r="A1152" s="63">
        <f t="shared" si="35"/>
        <v>1151</v>
      </c>
      <c r="B1152" s="54" t="s">
        <v>3131</v>
      </c>
      <c r="C1152" s="55" t="s">
        <v>3132</v>
      </c>
      <c r="D1152" s="54" t="s">
        <v>3124</v>
      </c>
      <c r="E1152" s="56">
        <v>0</v>
      </c>
      <c r="F1152" s="57" t="s">
        <v>1563</v>
      </c>
      <c r="G1152" s="58">
        <v>40071</v>
      </c>
      <c r="H1152" s="59">
        <v>54096</v>
      </c>
      <c r="I1152" s="59">
        <f t="shared" si="34"/>
        <v>0</v>
      </c>
    </row>
    <row r="1153" spans="1:9" customFormat="1" x14ac:dyDescent="0.35">
      <c r="A1153" s="63">
        <f t="shared" si="35"/>
        <v>1152</v>
      </c>
      <c r="B1153" s="54" t="s">
        <v>3133</v>
      </c>
      <c r="C1153" s="55" t="s">
        <v>3134</v>
      </c>
      <c r="D1153" s="54" t="s">
        <v>3124</v>
      </c>
      <c r="E1153" s="56">
        <v>0</v>
      </c>
      <c r="F1153" s="57" t="s">
        <v>1563</v>
      </c>
      <c r="G1153" s="58">
        <v>35961</v>
      </c>
      <c r="H1153" s="59">
        <v>35964</v>
      </c>
      <c r="I1153" s="59">
        <f t="shared" si="34"/>
        <v>0</v>
      </c>
    </row>
    <row r="1154" spans="1:9" customFormat="1" x14ac:dyDescent="0.35">
      <c r="A1154" s="63">
        <f t="shared" si="35"/>
        <v>1153</v>
      </c>
      <c r="B1154" s="54" t="s">
        <v>3135</v>
      </c>
      <c r="C1154" s="55" t="s">
        <v>3136</v>
      </c>
      <c r="D1154" s="54" t="s">
        <v>3124</v>
      </c>
      <c r="E1154" s="56">
        <v>0</v>
      </c>
      <c r="F1154" s="57" t="s">
        <v>1010</v>
      </c>
      <c r="G1154" s="58">
        <v>0</v>
      </c>
      <c r="H1154" s="59">
        <v>18200</v>
      </c>
      <c r="I1154" s="59">
        <f t="shared" si="34"/>
        <v>0</v>
      </c>
    </row>
    <row r="1155" spans="1:9" customFormat="1" x14ac:dyDescent="0.35">
      <c r="A1155" s="63">
        <f t="shared" si="35"/>
        <v>1154</v>
      </c>
      <c r="B1155" s="54" t="s">
        <v>3137</v>
      </c>
      <c r="C1155" s="55" t="s">
        <v>3138</v>
      </c>
      <c r="D1155" s="54" t="s">
        <v>3124</v>
      </c>
      <c r="E1155" s="56">
        <v>0</v>
      </c>
      <c r="F1155" s="57" t="s">
        <v>792</v>
      </c>
      <c r="G1155" s="58">
        <v>225000</v>
      </c>
      <c r="H1155" s="59">
        <v>303750</v>
      </c>
      <c r="I1155" s="59">
        <f t="shared" ref="I1155:I1218" si="36">H1155*E1155</f>
        <v>0</v>
      </c>
    </row>
    <row r="1156" spans="1:9" customFormat="1" ht="23" x14ac:dyDescent="0.35">
      <c r="A1156" s="63">
        <f t="shared" ref="A1156:A1219" si="37">A1155+1</f>
        <v>1155</v>
      </c>
      <c r="B1156" s="54" t="s">
        <v>3139</v>
      </c>
      <c r="C1156" s="55" t="s">
        <v>3140</v>
      </c>
      <c r="D1156" s="54" t="s">
        <v>3124</v>
      </c>
      <c r="E1156" s="56">
        <v>0</v>
      </c>
      <c r="F1156" s="57" t="s">
        <v>792</v>
      </c>
      <c r="G1156" s="58">
        <v>210000</v>
      </c>
      <c r="H1156" s="59">
        <v>284400</v>
      </c>
      <c r="I1156" s="59">
        <f t="shared" si="36"/>
        <v>0</v>
      </c>
    </row>
    <row r="1157" spans="1:9" customFormat="1" x14ac:dyDescent="0.35">
      <c r="A1157" s="63">
        <f t="shared" si="37"/>
        <v>1156</v>
      </c>
      <c r="B1157" s="54" t="s">
        <v>3141</v>
      </c>
      <c r="C1157" s="55" t="s">
        <v>3142</v>
      </c>
      <c r="D1157" s="54" t="s">
        <v>3124</v>
      </c>
      <c r="E1157" s="56">
        <v>0</v>
      </c>
      <c r="F1157" s="57" t="s">
        <v>792</v>
      </c>
      <c r="G1157" s="58">
        <v>3506.67</v>
      </c>
      <c r="H1157" s="59">
        <v>4200</v>
      </c>
      <c r="I1157" s="59">
        <f t="shared" si="36"/>
        <v>0</v>
      </c>
    </row>
    <row r="1158" spans="1:9" customFormat="1" x14ac:dyDescent="0.35">
      <c r="A1158" s="63">
        <f t="shared" si="37"/>
        <v>1157</v>
      </c>
      <c r="B1158" s="54" t="s">
        <v>3143</v>
      </c>
      <c r="C1158" s="55" t="s">
        <v>3144</v>
      </c>
      <c r="D1158" s="54" t="s">
        <v>3124</v>
      </c>
      <c r="E1158" s="56">
        <v>0</v>
      </c>
      <c r="F1158" s="57" t="s">
        <v>792</v>
      </c>
      <c r="G1158" s="58">
        <v>40000</v>
      </c>
      <c r="H1158" s="59">
        <v>40000</v>
      </c>
      <c r="I1158" s="59">
        <f t="shared" si="36"/>
        <v>0</v>
      </c>
    </row>
    <row r="1159" spans="1:9" customFormat="1" x14ac:dyDescent="0.35">
      <c r="A1159" s="63">
        <f t="shared" si="37"/>
        <v>1158</v>
      </c>
      <c r="B1159" s="54" t="s">
        <v>3145</v>
      </c>
      <c r="C1159" s="55" t="s">
        <v>3146</v>
      </c>
      <c r="D1159" s="54" t="s">
        <v>3124</v>
      </c>
      <c r="E1159" s="56">
        <v>0</v>
      </c>
      <c r="F1159" s="57" t="s">
        <v>792</v>
      </c>
      <c r="G1159" s="58">
        <v>78236.25</v>
      </c>
      <c r="H1159" s="59">
        <v>135000</v>
      </c>
      <c r="I1159" s="59">
        <f t="shared" si="36"/>
        <v>0</v>
      </c>
    </row>
    <row r="1160" spans="1:9" customFormat="1" x14ac:dyDescent="0.35">
      <c r="A1160" s="63">
        <f t="shared" si="37"/>
        <v>1159</v>
      </c>
      <c r="B1160" s="54" t="s">
        <v>3147</v>
      </c>
      <c r="C1160" s="55" t="s">
        <v>3148</v>
      </c>
      <c r="D1160" s="54" t="s">
        <v>3124</v>
      </c>
      <c r="E1160" s="56">
        <v>0</v>
      </c>
      <c r="F1160" s="57" t="s">
        <v>792</v>
      </c>
      <c r="G1160" s="58">
        <v>35000</v>
      </c>
      <c r="H1160" s="59">
        <v>47250</v>
      </c>
      <c r="I1160" s="59">
        <f t="shared" si="36"/>
        <v>0</v>
      </c>
    </row>
    <row r="1161" spans="1:9" customFormat="1" x14ac:dyDescent="0.35">
      <c r="A1161" s="63">
        <f t="shared" si="37"/>
        <v>1160</v>
      </c>
      <c r="B1161" s="54" t="s">
        <v>3149</v>
      </c>
      <c r="C1161" s="55" t="s">
        <v>3150</v>
      </c>
      <c r="D1161" s="54" t="s">
        <v>3124</v>
      </c>
      <c r="E1161" s="56">
        <v>0</v>
      </c>
      <c r="F1161" s="57" t="s">
        <v>792</v>
      </c>
      <c r="G1161" s="58">
        <v>7611</v>
      </c>
      <c r="H1161" s="59">
        <v>14399</v>
      </c>
      <c r="I1161" s="59">
        <f t="shared" si="36"/>
        <v>0</v>
      </c>
    </row>
    <row r="1162" spans="1:9" customFormat="1" x14ac:dyDescent="0.35">
      <c r="A1162" s="63">
        <f t="shared" si="37"/>
        <v>1161</v>
      </c>
      <c r="B1162" s="54" t="s">
        <v>3151</v>
      </c>
      <c r="C1162" s="55" t="s">
        <v>3152</v>
      </c>
      <c r="D1162" s="54" t="s">
        <v>3124</v>
      </c>
      <c r="E1162" s="56">
        <v>0</v>
      </c>
      <c r="F1162" s="57" t="s">
        <v>1563</v>
      </c>
      <c r="G1162" s="58">
        <v>96348</v>
      </c>
      <c r="H1162" s="59">
        <v>130070</v>
      </c>
      <c r="I1162" s="59">
        <f t="shared" si="36"/>
        <v>0</v>
      </c>
    </row>
    <row r="1163" spans="1:9" customFormat="1" x14ac:dyDescent="0.35">
      <c r="A1163" s="63">
        <f t="shared" si="37"/>
        <v>1162</v>
      </c>
      <c r="B1163" s="54" t="s">
        <v>3153</v>
      </c>
      <c r="C1163" s="55" t="s">
        <v>3154</v>
      </c>
      <c r="D1163" s="54" t="s">
        <v>3124</v>
      </c>
      <c r="E1163" s="56">
        <v>0</v>
      </c>
      <c r="F1163" s="57" t="s">
        <v>1638</v>
      </c>
      <c r="G1163" s="58">
        <v>0</v>
      </c>
      <c r="H1163" s="59">
        <v>24000</v>
      </c>
      <c r="I1163" s="59">
        <f t="shared" si="36"/>
        <v>0</v>
      </c>
    </row>
    <row r="1164" spans="1:9" customFormat="1" x14ac:dyDescent="0.35">
      <c r="A1164" s="63">
        <f t="shared" si="37"/>
        <v>1163</v>
      </c>
      <c r="B1164" s="54" t="s">
        <v>3155</v>
      </c>
      <c r="C1164" s="55" t="s">
        <v>3156</v>
      </c>
      <c r="D1164" s="54" t="s">
        <v>3124</v>
      </c>
      <c r="E1164" s="56">
        <v>0</v>
      </c>
      <c r="F1164" s="57" t="s">
        <v>815</v>
      </c>
      <c r="G1164" s="58">
        <v>7570</v>
      </c>
      <c r="H1164" s="59">
        <v>89100</v>
      </c>
      <c r="I1164" s="59">
        <f t="shared" si="36"/>
        <v>0</v>
      </c>
    </row>
    <row r="1165" spans="1:9" customFormat="1" x14ac:dyDescent="0.35">
      <c r="A1165" s="63">
        <f t="shared" si="37"/>
        <v>1164</v>
      </c>
      <c r="B1165" s="54" t="s">
        <v>3157</v>
      </c>
      <c r="C1165" s="55" t="s">
        <v>3158</v>
      </c>
      <c r="D1165" s="54" t="s">
        <v>3124</v>
      </c>
      <c r="E1165" s="56">
        <v>0</v>
      </c>
      <c r="F1165" s="57" t="s">
        <v>792</v>
      </c>
      <c r="G1165" s="58">
        <v>1998</v>
      </c>
      <c r="H1165" s="59">
        <v>26973</v>
      </c>
      <c r="I1165" s="59">
        <f t="shared" si="36"/>
        <v>0</v>
      </c>
    </row>
    <row r="1166" spans="1:9" customFormat="1" x14ac:dyDescent="0.35">
      <c r="A1166" s="63">
        <f t="shared" si="37"/>
        <v>1165</v>
      </c>
      <c r="B1166" s="54" t="s">
        <v>3159</v>
      </c>
      <c r="C1166" s="55" t="s">
        <v>3160</v>
      </c>
      <c r="D1166" s="54" t="s">
        <v>3124</v>
      </c>
      <c r="E1166" s="56">
        <v>0</v>
      </c>
      <c r="F1166" s="57" t="s">
        <v>1563</v>
      </c>
      <c r="G1166" s="58">
        <v>75258</v>
      </c>
      <c r="H1166" s="59">
        <v>92008</v>
      </c>
      <c r="I1166" s="59">
        <f t="shared" si="36"/>
        <v>0</v>
      </c>
    </row>
    <row r="1167" spans="1:9" customFormat="1" x14ac:dyDescent="0.35">
      <c r="A1167" s="63">
        <f t="shared" si="37"/>
        <v>1166</v>
      </c>
      <c r="B1167" s="54" t="s">
        <v>3161</v>
      </c>
      <c r="C1167" s="55" t="s">
        <v>3162</v>
      </c>
      <c r="D1167" s="54" t="s">
        <v>3124</v>
      </c>
      <c r="E1167" s="56">
        <v>0</v>
      </c>
      <c r="F1167" s="57" t="s">
        <v>792</v>
      </c>
      <c r="G1167" s="58">
        <v>70000</v>
      </c>
      <c r="H1167" s="59">
        <v>94500</v>
      </c>
      <c r="I1167" s="59">
        <f t="shared" si="36"/>
        <v>0</v>
      </c>
    </row>
    <row r="1168" spans="1:9" customFormat="1" x14ac:dyDescent="0.35">
      <c r="A1168" s="63">
        <f t="shared" si="37"/>
        <v>1167</v>
      </c>
      <c r="B1168" s="54" t="s">
        <v>3163</v>
      </c>
      <c r="C1168" s="55" t="s">
        <v>3164</v>
      </c>
      <c r="D1168" s="54" t="s">
        <v>3124</v>
      </c>
      <c r="E1168" s="56">
        <v>0</v>
      </c>
      <c r="F1168" s="57" t="s">
        <v>792</v>
      </c>
      <c r="G1168" s="58">
        <v>12000</v>
      </c>
      <c r="H1168" s="59">
        <v>16200</v>
      </c>
      <c r="I1168" s="59">
        <f t="shared" si="36"/>
        <v>0</v>
      </c>
    </row>
    <row r="1169" spans="1:9" customFormat="1" x14ac:dyDescent="0.35">
      <c r="A1169" s="63">
        <f t="shared" si="37"/>
        <v>1168</v>
      </c>
      <c r="B1169" s="54" t="s">
        <v>3165</v>
      </c>
      <c r="C1169" s="55" t="s">
        <v>3166</v>
      </c>
      <c r="D1169" s="54" t="s">
        <v>3124</v>
      </c>
      <c r="E1169" s="56">
        <v>0</v>
      </c>
      <c r="F1169" s="57" t="s">
        <v>878</v>
      </c>
      <c r="G1169" s="58">
        <v>0</v>
      </c>
      <c r="H1169" s="59">
        <v>1185975</v>
      </c>
      <c r="I1169" s="59">
        <f t="shared" si="36"/>
        <v>0</v>
      </c>
    </row>
    <row r="1170" spans="1:9" customFormat="1" x14ac:dyDescent="0.35">
      <c r="A1170" s="63">
        <f t="shared" si="37"/>
        <v>1169</v>
      </c>
      <c r="B1170" s="54" t="s">
        <v>3167</v>
      </c>
      <c r="C1170" s="55" t="s">
        <v>3168</v>
      </c>
      <c r="D1170" s="54" t="s">
        <v>3124</v>
      </c>
      <c r="E1170" s="56">
        <v>0</v>
      </c>
      <c r="F1170" s="57" t="s">
        <v>792</v>
      </c>
      <c r="G1170" s="58">
        <v>75000</v>
      </c>
      <c r="H1170" s="59">
        <v>75000</v>
      </c>
      <c r="I1170" s="59">
        <f t="shared" si="36"/>
        <v>0</v>
      </c>
    </row>
    <row r="1171" spans="1:9" customFormat="1" x14ac:dyDescent="0.35">
      <c r="A1171" s="63">
        <f t="shared" si="37"/>
        <v>1170</v>
      </c>
      <c r="B1171" s="54" t="s">
        <v>3169</v>
      </c>
      <c r="C1171" s="55" t="s">
        <v>3170</v>
      </c>
      <c r="D1171" s="54" t="s">
        <v>3124</v>
      </c>
      <c r="E1171" s="56">
        <v>0</v>
      </c>
      <c r="F1171" s="57" t="s">
        <v>792</v>
      </c>
      <c r="G1171" s="58">
        <v>249058</v>
      </c>
      <c r="H1171" s="59">
        <v>328050</v>
      </c>
      <c r="I1171" s="59">
        <f t="shared" si="36"/>
        <v>0</v>
      </c>
    </row>
    <row r="1172" spans="1:9" customFormat="1" x14ac:dyDescent="0.35">
      <c r="A1172" s="63">
        <f t="shared" si="37"/>
        <v>1171</v>
      </c>
      <c r="B1172" s="54" t="s">
        <v>3171</v>
      </c>
      <c r="C1172" s="55" t="s">
        <v>3172</v>
      </c>
      <c r="D1172" s="54" t="s">
        <v>3124</v>
      </c>
      <c r="E1172" s="56">
        <v>0</v>
      </c>
      <c r="F1172" s="57" t="s">
        <v>2241</v>
      </c>
      <c r="G1172" s="58">
        <v>44331</v>
      </c>
      <c r="H1172" s="59">
        <v>59847</v>
      </c>
      <c r="I1172" s="59">
        <f t="shared" si="36"/>
        <v>0</v>
      </c>
    </row>
    <row r="1173" spans="1:9" customFormat="1" x14ac:dyDescent="0.35">
      <c r="A1173" s="63">
        <f t="shared" si="37"/>
        <v>1172</v>
      </c>
      <c r="B1173" s="54" t="s">
        <v>3173</v>
      </c>
      <c r="C1173" s="55" t="s">
        <v>3174</v>
      </c>
      <c r="D1173" s="54" t="s">
        <v>3124</v>
      </c>
      <c r="E1173" s="56">
        <v>0</v>
      </c>
      <c r="F1173" s="57" t="s">
        <v>792</v>
      </c>
      <c r="G1173" s="58">
        <v>110112</v>
      </c>
      <c r="H1173" s="59">
        <v>59461</v>
      </c>
      <c r="I1173" s="59">
        <f t="shared" si="36"/>
        <v>0</v>
      </c>
    </row>
    <row r="1174" spans="1:9" customFormat="1" x14ac:dyDescent="0.35">
      <c r="A1174" s="63">
        <f t="shared" si="37"/>
        <v>1173</v>
      </c>
      <c r="B1174" s="54" t="s">
        <v>3175</v>
      </c>
      <c r="C1174" s="55" t="s">
        <v>3176</v>
      </c>
      <c r="D1174" s="54" t="s">
        <v>3124</v>
      </c>
      <c r="E1174" s="56">
        <v>0</v>
      </c>
      <c r="F1174" s="57" t="s">
        <v>792</v>
      </c>
      <c r="G1174" s="58">
        <v>19000</v>
      </c>
      <c r="H1174" s="59">
        <v>25650</v>
      </c>
      <c r="I1174" s="59">
        <f t="shared" si="36"/>
        <v>0</v>
      </c>
    </row>
    <row r="1175" spans="1:9" customFormat="1" x14ac:dyDescent="0.35">
      <c r="A1175" s="63">
        <f t="shared" si="37"/>
        <v>1174</v>
      </c>
      <c r="B1175" s="54" t="s">
        <v>3177</v>
      </c>
      <c r="C1175" s="55" t="s">
        <v>3178</v>
      </c>
      <c r="D1175" s="54" t="s">
        <v>3124</v>
      </c>
      <c r="E1175" s="56">
        <v>0</v>
      </c>
      <c r="F1175" s="57" t="s">
        <v>792</v>
      </c>
      <c r="G1175" s="58">
        <v>0</v>
      </c>
      <c r="H1175" s="59">
        <v>108000</v>
      </c>
      <c r="I1175" s="59">
        <f t="shared" si="36"/>
        <v>0</v>
      </c>
    </row>
    <row r="1176" spans="1:9" customFormat="1" x14ac:dyDescent="0.35">
      <c r="A1176" s="63">
        <f t="shared" si="37"/>
        <v>1175</v>
      </c>
      <c r="B1176" s="54" t="s">
        <v>3179</v>
      </c>
      <c r="C1176" s="55" t="s">
        <v>3180</v>
      </c>
      <c r="D1176" s="54" t="s">
        <v>3124</v>
      </c>
      <c r="E1176" s="56">
        <v>0</v>
      </c>
      <c r="F1176" s="57" t="s">
        <v>792</v>
      </c>
      <c r="G1176" s="58">
        <v>0</v>
      </c>
      <c r="H1176" s="59">
        <v>180000</v>
      </c>
      <c r="I1176" s="59">
        <f t="shared" si="36"/>
        <v>0</v>
      </c>
    </row>
    <row r="1177" spans="1:9" customFormat="1" x14ac:dyDescent="0.35">
      <c r="A1177" s="63">
        <f t="shared" si="37"/>
        <v>1176</v>
      </c>
      <c r="B1177" s="54" t="s">
        <v>3181</v>
      </c>
      <c r="C1177" s="55" t="s">
        <v>3182</v>
      </c>
      <c r="D1177" s="54" t="s">
        <v>3124</v>
      </c>
      <c r="E1177" s="56">
        <v>0</v>
      </c>
      <c r="F1177" s="57" t="s">
        <v>792</v>
      </c>
      <c r="G1177" s="58">
        <v>19000</v>
      </c>
      <c r="H1177" s="59">
        <v>19000</v>
      </c>
      <c r="I1177" s="59">
        <f t="shared" si="36"/>
        <v>0</v>
      </c>
    </row>
    <row r="1178" spans="1:9" customFormat="1" x14ac:dyDescent="0.35">
      <c r="A1178" s="63">
        <f t="shared" si="37"/>
        <v>1177</v>
      </c>
      <c r="B1178" s="54" t="s">
        <v>3183</v>
      </c>
      <c r="C1178" s="55" t="s">
        <v>3184</v>
      </c>
      <c r="D1178" s="54" t="s">
        <v>3124</v>
      </c>
      <c r="E1178" s="56">
        <v>0</v>
      </c>
      <c r="F1178" s="57" t="s">
        <v>1563</v>
      </c>
      <c r="G1178" s="58">
        <v>37074</v>
      </c>
      <c r="H1178" s="59">
        <v>50050</v>
      </c>
      <c r="I1178" s="59">
        <f t="shared" si="36"/>
        <v>0</v>
      </c>
    </row>
    <row r="1179" spans="1:9" customFormat="1" x14ac:dyDescent="0.35">
      <c r="A1179" s="63">
        <f t="shared" si="37"/>
        <v>1178</v>
      </c>
      <c r="B1179" s="54" t="s">
        <v>3185</v>
      </c>
      <c r="C1179" s="55" t="s">
        <v>3186</v>
      </c>
      <c r="D1179" s="54" t="s">
        <v>3124</v>
      </c>
      <c r="E1179" s="56">
        <v>0</v>
      </c>
      <c r="F1179" s="57" t="s">
        <v>1563</v>
      </c>
      <c r="G1179" s="58">
        <v>78699</v>
      </c>
      <c r="H1179" s="59">
        <v>106244</v>
      </c>
      <c r="I1179" s="59">
        <f t="shared" si="36"/>
        <v>0</v>
      </c>
    </row>
    <row r="1180" spans="1:9" customFormat="1" x14ac:dyDescent="0.35">
      <c r="A1180" s="63">
        <f t="shared" si="37"/>
        <v>1179</v>
      </c>
      <c r="B1180" s="54" t="s">
        <v>3187</v>
      </c>
      <c r="C1180" s="55" t="s">
        <v>3188</v>
      </c>
      <c r="D1180" s="54" t="s">
        <v>3124</v>
      </c>
      <c r="E1180" s="56">
        <v>0</v>
      </c>
      <c r="F1180" s="57" t="s">
        <v>792</v>
      </c>
      <c r="G1180" s="58">
        <v>30000</v>
      </c>
      <c r="H1180" s="59">
        <v>30000</v>
      </c>
      <c r="I1180" s="59">
        <f t="shared" si="36"/>
        <v>0</v>
      </c>
    </row>
    <row r="1181" spans="1:9" customFormat="1" x14ac:dyDescent="0.35">
      <c r="A1181" s="63">
        <f t="shared" si="37"/>
        <v>1180</v>
      </c>
      <c r="B1181" s="54" t="s">
        <v>3189</v>
      </c>
      <c r="C1181" s="55" t="s">
        <v>3190</v>
      </c>
      <c r="D1181" s="54" t="s">
        <v>3124</v>
      </c>
      <c r="E1181" s="56">
        <v>0</v>
      </c>
      <c r="F1181" s="57" t="s">
        <v>792</v>
      </c>
      <c r="G1181" s="58">
        <v>10000</v>
      </c>
      <c r="H1181" s="59">
        <v>10000</v>
      </c>
      <c r="I1181" s="59">
        <f t="shared" si="36"/>
        <v>0</v>
      </c>
    </row>
    <row r="1182" spans="1:9" customFormat="1" x14ac:dyDescent="0.35">
      <c r="A1182" s="63">
        <f t="shared" si="37"/>
        <v>1181</v>
      </c>
      <c r="B1182" s="54" t="s">
        <v>3191</v>
      </c>
      <c r="C1182" s="55" t="s">
        <v>3192</v>
      </c>
      <c r="D1182" s="54" t="s">
        <v>3124</v>
      </c>
      <c r="E1182" s="56">
        <v>0</v>
      </c>
      <c r="F1182" s="57" t="s">
        <v>792</v>
      </c>
      <c r="G1182" s="58">
        <v>600</v>
      </c>
      <c r="H1182" s="59">
        <v>600</v>
      </c>
      <c r="I1182" s="59">
        <f t="shared" si="36"/>
        <v>0</v>
      </c>
    </row>
    <row r="1183" spans="1:9" customFormat="1" x14ac:dyDescent="0.35">
      <c r="A1183" s="63">
        <f t="shared" si="37"/>
        <v>1182</v>
      </c>
      <c r="B1183" s="54" t="s">
        <v>3193</v>
      </c>
      <c r="C1183" s="55" t="s">
        <v>3194</v>
      </c>
      <c r="D1183" s="54" t="s">
        <v>3124</v>
      </c>
      <c r="E1183" s="56">
        <v>0</v>
      </c>
      <c r="F1183" s="57" t="s">
        <v>792</v>
      </c>
      <c r="G1183" s="58">
        <v>15000</v>
      </c>
      <c r="H1183" s="59">
        <v>20250</v>
      </c>
      <c r="I1183" s="59">
        <f t="shared" si="36"/>
        <v>0</v>
      </c>
    </row>
    <row r="1184" spans="1:9" customFormat="1" x14ac:dyDescent="0.35">
      <c r="A1184" s="63">
        <f t="shared" si="37"/>
        <v>1183</v>
      </c>
      <c r="B1184" s="54" t="s">
        <v>3195</v>
      </c>
      <c r="C1184" s="55" t="s">
        <v>3196</v>
      </c>
      <c r="D1184" s="54" t="s">
        <v>3124</v>
      </c>
      <c r="E1184" s="56">
        <v>0</v>
      </c>
      <c r="F1184" s="57" t="s">
        <v>792</v>
      </c>
      <c r="G1184" s="58">
        <v>15000</v>
      </c>
      <c r="H1184" s="59">
        <v>20250</v>
      </c>
      <c r="I1184" s="59">
        <f t="shared" si="36"/>
        <v>0</v>
      </c>
    </row>
    <row r="1185" spans="1:9" customFormat="1" x14ac:dyDescent="0.35">
      <c r="A1185" s="63">
        <f t="shared" si="37"/>
        <v>1184</v>
      </c>
      <c r="B1185" s="54" t="s">
        <v>3197</v>
      </c>
      <c r="C1185" s="55" t="s">
        <v>3198</v>
      </c>
      <c r="D1185" s="54" t="s">
        <v>3124</v>
      </c>
      <c r="E1185" s="56">
        <v>0</v>
      </c>
      <c r="F1185" s="57" t="s">
        <v>1638</v>
      </c>
      <c r="G1185" s="58">
        <v>20000</v>
      </c>
      <c r="H1185" s="59">
        <v>20000</v>
      </c>
      <c r="I1185" s="59">
        <f t="shared" si="36"/>
        <v>0</v>
      </c>
    </row>
    <row r="1186" spans="1:9" customFormat="1" x14ac:dyDescent="0.35">
      <c r="A1186" s="63">
        <f t="shared" si="37"/>
        <v>1185</v>
      </c>
      <c r="B1186" s="54" t="s">
        <v>3199</v>
      </c>
      <c r="C1186" s="55" t="s">
        <v>3200</v>
      </c>
      <c r="D1186" s="54" t="s">
        <v>3124</v>
      </c>
      <c r="E1186" s="56">
        <v>0</v>
      </c>
      <c r="F1186" s="57" t="s">
        <v>1563</v>
      </c>
      <c r="G1186" s="58">
        <v>25000</v>
      </c>
      <c r="H1186" s="59">
        <v>33750</v>
      </c>
      <c r="I1186" s="59">
        <f t="shared" si="36"/>
        <v>0</v>
      </c>
    </row>
    <row r="1187" spans="1:9" customFormat="1" x14ac:dyDescent="0.35">
      <c r="A1187" s="63">
        <f t="shared" si="37"/>
        <v>1186</v>
      </c>
      <c r="B1187" s="54" t="s">
        <v>3201</v>
      </c>
      <c r="C1187" s="55" t="s">
        <v>3202</v>
      </c>
      <c r="D1187" s="54" t="s">
        <v>3124</v>
      </c>
      <c r="E1187" s="56">
        <v>0</v>
      </c>
      <c r="F1187" s="57" t="s">
        <v>792</v>
      </c>
      <c r="G1187" s="58">
        <v>235000</v>
      </c>
      <c r="H1187" s="59">
        <v>317250</v>
      </c>
      <c r="I1187" s="59">
        <f t="shared" si="36"/>
        <v>0</v>
      </c>
    </row>
    <row r="1188" spans="1:9" customFormat="1" x14ac:dyDescent="0.35">
      <c r="A1188" s="63">
        <f t="shared" si="37"/>
        <v>1187</v>
      </c>
      <c r="B1188" s="54" t="s">
        <v>3203</v>
      </c>
      <c r="C1188" s="55" t="s">
        <v>3204</v>
      </c>
      <c r="D1188" s="54" t="s">
        <v>3124</v>
      </c>
      <c r="E1188" s="56">
        <v>0</v>
      </c>
      <c r="F1188" s="57" t="s">
        <v>1563</v>
      </c>
      <c r="G1188" s="58">
        <v>181493</v>
      </c>
      <c r="H1188" s="59">
        <v>218526</v>
      </c>
      <c r="I1188" s="59">
        <f t="shared" si="36"/>
        <v>0</v>
      </c>
    </row>
    <row r="1189" spans="1:9" customFormat="1" x14ac:dyDescent="0.35">
      <c r="A1189" s="63">
        <f t="shared" si="37"/>
        <v>1188</v>
      </c>
      <c r="B1189" s="54" t="s">
        <v>3205</v>
      </c>
      <c r="C1189" s="55" t="s">
        <v>3206</v>
      </c>
      <c r="D1189" s="54" t="s">
        <v>3124</v>
      </c>
      <c r="E1189" s="56">
        <v>0</v>
      </c>
      <c r="F1189" s="57" t="s">
        <v>792</v>
      </c>
      <c r="G1189" s="58">
        <v>4212.51</v>
      </c>
      <c r="H1189" s="59">
        <v>6750</v>
      </c>
      <c r="I1189" s="59">
        <f t="shared" si="36"/>
        <v>0</v>
      </c>
    </row>
    <row r="1190" spans="1:9" customFormat="1" x14ac:dyDescent="0.35">
      <c r="A1190" s="63">
        <f t="shared" si="37"/>
        <v>1189</v>
      </c>
      <c r="B1190" s="54" t="s">
        <v>3207</v>
      </c>
      <c r="C1190" s="55" t="s">
        <v>3208</v>
      </c>
      <c r="D1190" s="54" t="s">
        <v>3124</v>
      </c>
      <c r="E1190" s="56">
        <v>0</v>
      </c>
      <c r="F1190" s="57" t="s">
        <v>1563</v>
      </c>
      <c r="G1190" s="58">
        <v>85000</v>
      </c>
      <c r="H1190" s="59">
        <v>114750</v>
      </c>
      <c r="I1190" s="59">
        <f t="shared" si="36"/>
        <v>0</v>
      </c>
    </row>
    <row r="1191" spans="1:9" customFormat="1" x14ac:dyDescent="0.35">
      <c r="A1191" s="63">
        <f t="shared" si="37"/>
        <v>1190</v>
      </c>
      <c r="B1191" s="54" t="s">
        <v>3209</v>
      </c>
      <c r="C1191" s="55" t="s">
        <v>3210</v>
      </c>
      <c r="D1191" s="54" t="s">
        <v>3124</v>
      </c>
      <c r="E1191" s="56">
        <v>0</v>
      </c>
      <c r="F1191" s="57" t="s">
        <v>792</v>
      </c>
      <c r="G1191" s="58">
        <v>30000</v>
      </c>
      <c r="H1191" s="59">
        <v>40500</v>
      </c>
      <c r="I1191" s="59">
        <f t="shared" si="36"/>
        <v>0</v>
      </c>
    </row>
    <row r="1192" spans="1:9" customFormat="1" x14ac:dyDescent="0.35">
      <c r="A1192" s="63">
        <f t="shared" si="37"/>
        <v>1191</v>
      </c>
      <c r="B1192" s="54" t="s">
        <v>3211</v>
      </c>
      <c r="C1192" s="55" t="s">
        <v>3212</v>
      </c>
      <c r="D1192" s="54" t="s">
        <v>3124</v>
      </c>
      <c r="E1192" s="56">
        <v>0</v>
      </c>
      <c r="F1192" s="57" t="s">
        <v>994</v>
      </c>
      <c r="G1192" s="58">
        <v>86260</v>
      </c>
      <c r="H1192" s="59">
        <v>141750</v>
      </c>
      <c r="I1192" s="59">
        <f t="shared" si="36"/>
        <v>0</v>
      </c>
    </row>
    <row r="1193" spans="1:9" customFormat="1" x14ac:dyDescent="0.35">
      <c r="A1193" s="63">
        <f t="shared" si="37"/>
        <v>1192</v>
      </c>
      <c r="B1193" s="54" t="s">
        <v>3213</v>
      </c>
      <c r="C1193" s="55" t="s">
        <v>3214</v>
      </c>
      <c r="D1193" s="54" t="s">
        <v>3124</v>
      </c>
      <c r="E1193" s="56">
        <v>0</v>
      </c>
      <c r="F1193" s="57" t="s">
        <v>1563</v>
      </c>
      <c r="G1193" s="58">
        <v>30000</v>
      </c>
      <c r="H1193" s="59">
        <v>40500</v>
      </c>
      <c r="I1193" s="59">
        <f t="shared" si="36"/>
        <v>0</v>
      </c>
    </row>
    <row r="1194" spans="1:9" customFormat="1" x14ac:dyDescent="0.35">
      <c r="A1194" s="63">
        <f t="shared" si="37"/>
        <v>1193</v>
      </c>
      <c r="B1194" s="54" t="s">
        <v>3215</v>
      </c>
      <c r="C1194" s="55" t="s">
        <v>3216</v>
      </c>
      <c r="D1194" s="54" t="s">
        <v>3124</v>
      </c>
      <c r="E1194" s="56">
        <v>0</v>
      </c>
      <c r="F1194" s="57" t="s">
        <v>792</v>
      </c>
      <c r="G1194" s="58">
        <v>24354</v>
      </c>
      <c r="H1194" s="59">
        <v>32878</v>
      </c>
      <c r="I1194" s="59">
        <f t="shared" si="36"/>
        <v>0</v>
      </c>
    </row>
    <row r="1195" spans="1:9" customFormat="1" x14ac:dyDescent="0.35">
      <c r="A1195" s="63">
        <f t="shared" si="37"/>
        <v>1194</v>
      </c>
      <c r="B1195" s="54" t="s">
        <v>3217</v>
      </c>
      <c r="C1195" s="55" t="s">
        <v>3218</v>
      </c>
      <c r="D1195" s="54" t="s">
        <v>3124</v>
      </c>
      <c r="E1195" s="56">
        <v>0</v>
      </c>
      <c r="F1195" s="57" t="s">
        <v>792</v>
      </c>
      <c r="G1195" s="58">
        <v>6882</v>
      </c>
      <c r="H1195" s="59">
        <v>46454</v>
      </c>
      <c r="I1195" s="59">
        <f t="shared" si="36"/>
        <v>0</v>
      </c>
    </row>
    <row r="1196" spans="1:9" customFormat="1" x14ac:dyDescent="0.35">
      <c r="A1196" s="63">
        <f t="shared" si="37"/>
        <v>1195</v>
      </c>
      <c r="B1196" s="54" t="s">
        <v>3219</v>
      </c>
      <c r="C1196" s="55" t="s">
        <v>3220</v>
      </c>
      <c r="D1196" s="54" t="s">
        <v>3124</v>
      </c>
      <c r="E1196" s="56">
        <v>0</v>
      </c>
      <c r="F1196" s="57" t="s">
        <v>2241</v>
      </c>
      <c r="G1196" s="58">
        <v>11000</v>
      </c>
      <c r="H1196" s="59">
        <v>14850</v>
      </c>
      <c r="I1196" s="59">
        <f t="shared" si="36"/>
        <v>0</v>
      </c>
    </row>
    <row r="1197" spans="1:9" customFormat="1" x14ac:dyDescent="0.35">
      <c r="A1197" s="63">
        <f t="shared" si="37"/>
        <v>1196</v>
      </c>
      <c r="B1197" s="54" t="s">
        <v>3221</v>
      </c>
      <c r="C1197" s="55" t="s">
        <v>3222</v>
      </c>
      <c r="D1197" s="54" t="s">
        <v>3124</v>
      </c>
      <c r="E1197" s="56">
        <v>0</v>
      </c>
      <c r="F1197" s="57" t="s">
        <v>1563</v>
      </c>
      <c r="G1197" s="58">
        <v>106460</v>
      </c>
      <c r="H1197" s="59">
        <v>143721</v>
      </c>
      <c r="I1197" s="59">
        <f t="shared" si="36"/>
        <v>0</v>
      </c>
    </row>
    <row r="1198" spans="1:9" customFormat="1" x14ac:dyDescent="0.35">
      <c r="A1198" s="63">
        <f t="shared" si="37"/>
        <v>1197</v>
      </c>
      <c r="B1198" s="54" t="s">
        <v>3223</v>
      </c>
      <c r="C1198" s="55" t="s">
        <v>3224</v>
      </c>
      <c r="D1198" s="54" t="s">
        <v>3124</v>
      </c>
      <c r="E1198" s="56">
        <v>0</v>
      </c>
      <c r="F1198" s="57" t="s">
        <v>792</v>
      </c>
      <c r="G1198" s="58">
        <v>8572</v>
      </c>
      <c r="H1198" s="59">
        <v>11572</v>
      </c>
      <c r="I1198" s="59">
        <f t="shared" si="36"/>
        <v>0</v>
      </c>
    </row>
    <row r="1199" spans="1:9" customFormat="1" x14ac:dyDescent="0.35">
      <c r="A1199" s="63">
        <f t="shared" si="37"/>
        <v>1198</v>
      </c>
      <c r="B1199" s="54" t="s">
        <v>3225</v>
      </c>
      <c r="C1199" s="55" t="s">
        <v>3226</v>
      </c>
      <c r="D1199" s="54" t="s">
        <v>3124</v>
      </c>
      <c r="E1199" s="56">
        <v>0</v>
      </c>
      <c r="F1199" s="57" t="s">
        <v>792</v>
      </c>
      <c r="G1199" s="58">
        <v>0</v>
      </c>
      <c r="H1199" s="59">
        <v>11572</v>
      </c>
      <c r="I1199" s="59">
        <f t="shared" si="36"/>
        <v>0</v>
      </c>
    </row>
    <row r="1200" spans="1:9" customFormat="1" x14ac:dyDescent="0.35">
      <c r="A1200" s="63">
        <f t="shared" si="37"/>
        <v>1199</v>
      </c>
      <c r="B1200" s="54" t="s">
        <v>3227</v>
      </c>
      <c r="C1200" s="55" t="s">
        <v>3228</v>
      </c>
      <c r="D1200" s="54" t="s">
        <v>3124</v>
      </c>
      <c r="E1200" s="56">
        <v>0</v>
      </c>
      <c r="F1200" s="57" t="s">
        <v>1563</v>
      </c>
      <c r="G1200" s="58">
        <v>38628</v>
      </c>
      <c r="H1200" s="59">
        <v>38511</v>
      </c>
      <c r="I1200" s="59">
        <f t="shared" si="36"/>
        <v>0</v>
      </c>
    </row>
    <row r="1201" spans="1:9" customFormat="1" x14ac:dyDescent="0.35">
      <c r="A1201" s="63">
        <f t="shared" si="37"/>
        <v>1200</v>
      </c>
      <c r="B1201" s="54" t="s">
        <v>3229</v>
      </c>
      <c r="C1201" s="55" t="s">
        <v>3230</v>
      </c>
      <c r="D1201" s="54" t="s">
        <v>3124</v>
      </c>
      <c r="E1201" s="56">
        <v>0</v>
      </c>
      <c r="F1201" s="57" t="s">
        <v>1563</v>
      </c>
      <c r="G1201" s="58">
        <v>60000</v>
      </c>
      <c r="H1201" s="59">
        <v>81000</v>
      </c>
      <c r="I1201" s="59">
        <f t="shared" si="36"/>
        <v>0</v>
      </c>
    </row>
    <row r="1202" spans="1:9" customFormat="1" x14ac:dyDescent="0.35">
      <c r="A1202" s="63">
        <f t="shared" si="37"/>
        <v>1201</v>
      </c>
      <c r="B1202" s="54" t="s">
        <v>3231</v>
      </c>
      <c r="C1202" s="55" t="s">
        <v>3232</v>
      </c>
      <c r="D1202" s="54" t="s">
        <v>3124</v>
      </c>
      <c r="E1202" s="56">
        <v>0</v>
      </c>
      <c r="F1202" s="57" t="s">
        <v>1563</v>
      </c>
      <c r="G1202" s="58">
        <v>41958</v>
      </c>
      <c r="H1202" s="59">
        <v>56643</v>
      </c>
      <c r="I1202" s="59">
        <f t="shared" si="36"/>
        <v>0</v>
      </c>
    </row>
    <row r="1203" spans="1:9" customFormat="1" x14ac:dyDescent="0.35">
      <c r="A1203" s="63">
        <f t="shared" si="37"/>
        <v>1202</v>
      </c>
      <c r="B1203" s="54" t="s">
        <v>3233</v>
      </c>
      <c r="C1203" s="55" t="s">
        <v>3234</v>
      </c>
      <c r="D1203" s="54" t="s">
        <v>3124</v>
      </c>
      <c r="E1203" s="56">
        <v>0</v>
      </c>
      <c r="F1203" s="57" t="s">
        <v>792</v>
      </c>
      <c r="G1203" s="58">
        <v>16716</v>
      </c>
      <c r="H1203" s="59">
        <v>22567</v>
      </c>
      <c r="I1203" s="59">
        <f t="shared" si="36"/>
        <v>0</v>
      </c>
    </row>
    <row r="1204" spans="1:9" customFormat="1" ht="23" x14ac:dyDescent="0.35">
      <c r="A1204" s="63">
        <f t="shared" si="37"/>
        <v>1203</v>
      </c>
      <c r="B1204" s="54" t="s">
        <v>3235</v>
      </c>
      <c r="C1204" s="55" t="s">
        <v>3236</v>
      </c>
      <c r="D1204" s="54" t="s">
        <v>3124</v>
      </c>
      <c r="E1204" s="56">
        <v>0</v>
      </c>
      <c r="F1204" s="57" t="s">
        <v>1010</v>
      </c>
      <c r="G1204" s="58">
        <v>2402.5</v>
      </c>
      <c r="H1204" s="59">
        <v>4050</v>
      </c>
      <c r="I1204" s="59">
        <f t="shared" si="36"/>
        <v>0</v>
      </c>
    </row>
    <row r="1205" spans="1:9" customFormat="1" x14ac:dyDescent="0.35">
      <c r="A1205" s="63">
        <f t="shared" si="37"/>
        <v>1204</v>
      </c>
      <c r="B1205" s="54" t="s">
        <v>3237</v>
      </c>
      <c r="C1205" s="55" t="s">
        <v>3238</v>
      </c>
      <c r="D1205" s="54" t="s">
        <v>3124</v>
      </c>
      <c r="E1205" s="56">
        <v>0</v>
      </c>
      <c r="F1205" s="57" t="s">
        <v>792</v>
      </c>
      <c r="G1205" s="58">
        <v>75000</v>
      </c>
      <c r="H1205" s="59">
        <v>101250</v>
      </c>
      <c r="I1205" s="59">
        <f t="shared" si="36"/>
        <v>0</v>
      </c>
    </row>
    <row r="1206" spans="1:9" customFormat="1" x14ac:dyDescent="0.35">
      <c r="A1206" s="63">
        <f t="shared" si="37"/>
        <v>1205</v>
      </c>
      <c r="B1206" s="54" t="s">
        <v>3239</v>
      </c>
      <c r="C1206" s="55" t="s">
        <v>3240</v>
      </c>
      <c r="D1206" s="54" t="s">
        <v>3124</v>
      </c>
      <c r="E1206" s="56">
        <v>0</v>
      </c>
      <c r="F1206" s="57" t="s">
        <v>792</v>
      </c>
      <c r="G1206" s="58">
        <v>35000</v>
      </c>
      <c r="H1206" s="59">
        <v>47250</v>
      </c>
      <c r="I1206" s="59">
        <f t="shared" si="36"/>
        <v>0</v>
      </c>
    </row>
    <row r="1207" spans="1:9" customFormat="1" x14ac:dyDescent="0.35">
      <c r="A1207" s="63">
        <f t="shared" si="37"/>
        <v>1206</v>
      </c>
      <c r="B1207" s="54" t="s">
        <v>3241</v>
      </c>
      <c r="C1207" s="55" t="s">
        <v>3242</v>
      </c>
      <c r="D1207" s="54" t="s">
        <v>3124</v>
      </c>
      <c r="E1207" s="56">
        <v>0</v>
      </c>
      <c r="F1207" s="57" t="s">
        <v>792</v>
      </c>
      <c r="G1207" s="58">
        <v>290000</v>
      </c>
      <c r="H1207" s="59">
        <v>391500</v>
      </c>
      <c r="I1207" s="59">
        <f t="shared" si="36"/>
        <v>0</v>
      </c>
    </row>
    <row r="1208" spans="1:9" customFormat="1" x14ac:dyDescent="0.35">
      <c r="A1208" s="63">
        <f t="shared" si="37"/>
        <v>1207</v>
      </c>
      <c r="B1208" s="54" t="s">
        <v>3243</v>
      </c>
      <c r="C1208" s="55" t="s">
        <v>3244</v>
      </c>
      <c r="D1208" s="54" t="s">
        <v>3124</v>
      </c>
      <c r="E1208" s="56">
        <v>0</v>
      </c>
      <c r="F1208" s="57" t="s">
        <v>792</v>
      </c>
      <c r="G1208" s="58">
        <v>0</v>
      </c>
      <c r="H1208" s="59">
        <v>30000</v>
      </c>
      <c r="I1208" s="59">
        <f t="shared" si="36"/>
        <v>0</v>
      </c>
    </row>
    <row r="1209" spans="1:9" customFormat="1" x14ac:dyDescent="0.35">
      <c r="A1209" s="63">
        <f t="shared" si="37"/>
        <v>1208</v>
      </c>
      <c r="B1209" s="54" t="s">
        <v>3245</v>
      </c>
      <c r="C1209" s="55" t="s">
        <v>3246</v>
      </c>
      <c r="D1209" s="54" t="s">
        <v>3124</v>
      </c>
      <c r="E1209" s="56">
        <v>0</v>
      </c>
      <c r="F1209" s="57" t="s">
        <v>815</v>
      </c>
      <c r="G1209" s="58">
        <v>0</v>
      </c>
      <c r="H1209" s="59">
        <v>54000</v>
      </c>
      <c r="I1209" s="59">
        <f t="shared" si="36"/>
        <v>0</v>
      </c>
    </row>
    <row r="1210" spans="1:9" customFormat="1" x14ac:dyDescent="0.35">
      <c r="A1210" s="63">
        <f t="shared" si="37"/>
        <v>1209</v>
      </c>
      <c r="B1210" s="54" t="s">
        <v>3247</v>
      </c>
      <c r="C1210" s="55" t="s">
        <v>3248</v>
      </c>
      <c r="D1210" s="54" t="s">
        <v>3124</v>
      </c>
      <c r="E1210" s="56">
        <v>0</v>
      </c>
      <c r="F1210" s="57" t="s">
        <v>792</v>
      </c>
      <c r="G1210" s="58">
        <v>0</v>
      </c>
      <c r="H1210" s="59">
        <v>235000</v>
      </c>
      <c r="I1210" s="59">
        <f t="shared" si="36"/>
        <v>0</v>
      </c>
    </row>
    <row r="1211" spans="1:9" customFormat="1" x14ac:dyDescent="0.35">
      <c r="A1211" s="63">
        <f t="shared" si="37"/>
        <v>1210</v>
      </c>
      <c r="B1211" s="54" t="s">
        <v>3249</v>
      </c>
      <c r="C1211" s="55" t="s">
        <v>3250</v>
      </c>
      <c r="D1211" s="54" t="s">
        <v>3124</v>
      </c>
      <c r="E1211" s="56">
        <v>0</v>
      </c>
      <c r="F1211" s="57" t="s">
        <v>815</v>
      </c>
      <c r="G1211" s="58">
        <v>0</v>
      </c>
      <c r="H1211" s="59">
        <v>60750</v>
      </c>
      <c r="I1211" s="59">
        <f t="shared" si="36"/>
        <v>0</v>
      </c>
    </row>
    <row r="1212" spans="1:9" customFormat="1" x14ac:dyDescent="0.35">
      <c r="A1212" s="63">
        <f t="shared" si="37"/>
        <v>1211</v>
      </c>
      <c r="B1212" s="54" t="s">
        <v>3251</v>
      </c>
      <c r="C1212" s="55" t="s">
        <v>3252</v>
      </c>
      <c r="D1212" s="54" t="s">
        <v>3124</v>
      </c>
      <c r="E1212" s="56">
        <v>0</v>
      </c>
      <c r="F1212" s="57" t="s">
        <v>2241</v>
      </c>
      <c r="G1212" s="58">
        <v>39161</v>
      </c>
      <c r="H1212" s="59">
        <v>52867</v>
      </c>
      <c r="I1212" s="59">
        <f t="shared" si="36"/>
        <v>0</v>
      </c>
    </row>
    <row r="1213" spans="1:9" customFormat="1" x14ac:dyDescent="0.35">
      <c r="A1213" s="63">
        <f t="shared" si="37"/>
        <v>1212</v>
      </c>
      <c r="B1213" s="54" t="s">
        <v>3253</v>
      </c>
      <c r="C1213" s="55" t="s">
        <v>3254</v>
      </c>
      <c r="D1213" s="54" t="s">
        <v>3124</v>
      </c>
      <c r="E1213" s="56">
        <v>0</v>
      </c>
      <c r="F1213" s="57" t="s">
        <v>2241</v>
      </c>
      <c r="G1213" s="58">
        <v>81918</v>
      </c>
      <c r="H1213" s="59">
        <v>112589</v>
      </c>
      <c r="I1213" s="59">
        <f t="shared" si="36"/>
        <v>0</v>
      </c>
    </row>
    <row r="1214" spans="1:9" customFormat="1" x14ac:dyDescent="0.35">
      <c r="A1214" s="63">
        <f t="shared" si="37"/>
        <v>1213</v>
      </c>
      <c r="B1214" s="54" t="s">
        <v>3255</v>
      </c>
      <c r="C1214" s="55" t="s">
        <v>3256</v>
      </c>
      <c r="D1214" s="54" t="s">
        <v>3124</v>
      </c>
      <c r="E1214" s="56">
        <v>0</v>
      </c>
      <c r="F1214" s="57" t="s">
        <v>1563</v>
      </c>
      <c r="G1214" s="58">
        <v>24986</v>
      </c>
      <c r="H1214" s="59">
        <v>67462</v>
      </c>
      <c r="I1214" s="59">
        <f t="shared" si="36"/>
        <v>0</v>
      </c>
    </row>
    <row r="1215" spans="1:9" customFormat="1" x14ac:dyDescent="0.35">
      <c r="A1215" s="63">
        <f t="shared" si="37"/>
        <v>1214</v>
      </c>
      <c r="B1215" s="54" t="s">
        <v>3257</v>
      </c>
      <c r="C1215" s="55" t="s">
        <v>3258</v>
      </c>
      <c r="D1215" s="54" t="s">
        <v>3124</v>
      </c>
      <c r="E1215" s="56">
        <v>0</v>
      </c>
      <c r="F1215" s="57" t="s">
        <v>1563</v>
      </c>
      <c r="G1215" s="58">
        <v>598567</v>
      </c>
      <c r="H1215" s="59">
        <v>808065</v>
      </c>
      <c r="I1215" s="59">
        <f t="shared" si="36"/>
        <v>0</v>
      </c>
    </row>
    <row r="1216" spans="1:9" customFormat="1" x14ac:dyDescent="0.35">
      <c r="A1216" s="63">
        <f t="shared" si="37"/>
        <v>1215</v>
      </c>
      <c r="B1216" s="54" t="s">
        <v>3259</v>
      </c>
      <c r="C1216" s="55" t="s">
        <v>3260</v>
      </c>
      <c r="D1216" s="54" t="s">
        <v>3124</v>
      </c>
      <c r="E1216" s="56">
        <v>0</v>
      </c>
      <c r="F1216" s="57" t="s">
        <v>1010</v>
      </c>
      <c r="G1216" s="58">
        <v>75000</v>
      </c>
      <c r="H1216" s="59">
        <v>101250</v>
      </c>
      <c r="I1216" s="59">
        <f t="shared" si="36"/>
        <v>0</v>
      </c>
    </row>
    <row r="1217" spans="1:9" customFormat="1" x14ac:dyDescent="0.35">
      <c r="A1217" s="63">
        <f t="shared" si="37"/>
        <v>1216</v>
      </c>
      <c r="B1217" s="54" t="s">
        <v>3261</v>
      </c>
      <c r="C1217" s="55" t="s">
        <v>3262</v>
      </c>
      <c r="D1217" s="54" t="s">
        <v>3124</v>
      </c>
      <c r="E1217" s="56">
        <v>0</v>
      </c>
      <c r="F1217" s="57" t="s">
        <v>1010</v>
      </c>
      <c r="G1217" s="58">
        <v>5900</v>
      </c>
      <c r="H1217" s="59">
        <v>7031</v>
      </c>
      <c r="I1217" s="59">
        <f t="shared" si="36"/>
        <v>0</v>
      </c>
    </row>
    <row r="1218" spans="1:9" customFormat="1" x14ac:dyDescent="0.35">
      <c r="A1218" s="63">
        <f t="shared" si="37"/>
        <v>1217</v>
      </c>
      <c r="B1218" s="54" t="s">
        <v>3263</v>
      </c>
      <c r="C1218" s="55" t="s">
        <v>3264</v>
      </c>
      <c r="D1218" s="54" t="s">
        <v>3124</v>
      </c>
      <c r="E1218" s="56">
        <v>0</v>
      </c>
      <c r="F1218" s="57" t="s">
        <v>1010</v>
      </c>
      <c r="G1218" s="58">
        <v>30000</v>
      </c>
      <c r="H1218" s="59">
        <v>40500</v>
      </c>
      <c r="I1218" s="59">
        <f t="shared" si="36"/>
        <v>0</v>
      </c>
    </row>
    <row r="1219" spans="1:9" customFormat="1" x14ac:dyDescent="0.35">
      <c r="A1219" s="63">
        <f t="shared" si="37"/>
        <v>1218</v>
      </c>
      <c r="B1219" s="54" t="s">
        <v>3265</v>
      </c>
      <c r="C1219" s="55" t="s">
        <v>3266</v>
      </c>
      <c r="D1219" s="54" t="s">
        <v>3124</v>
      </c>
      <c r="E1219" s="56">
        <v>0</v>
      </c>
      <c r="F1219" s="57" t="s">
        <v>1010</v>
      </c>
      <c r="G1219" s="58">
        <v>0</v>
      </c>
      <c r="H1219" s="59">
        <v>17550</v>
      </c>
      <c r="I1219" s="59">
        <f t="shared" ref="I1219:I1282" si="38">H1219*E1219</f>
        <v>0</v>
      </c>
    </row>
    <row r="1220" spans="1:9" customFormat="1" x14ac:dyDescent="0.35">
      <c r="A1220" s="63">
        <f t="shared" ref="A1220:A1283" si="39">A1219+1</f>
        <v>1219</v>
      </c>
      <c r="B1220" s="54" t="s">
        <v>3267</v>
      </c>
      <c r="C1220" s="55" t="s">
        <v>3268</v>
      </c>
      <c r="D1220" s="54" t="s">
        <v>3124</v>
      </c>
      <c r="E1220" s="56">
        <v>0</v>
      </c>
      <c r="F1220" s="57" t="s">
        <v>1010</v>
      </c>
      <c r="G1220" s="58">
        <v>0</v>
      </c>
      <c r="H1220" s="59">
        <v>17550</v>
      </c>
      <c r="I1220" s="59">
        <f t="shared" si="38"/>
        <v>0</v>
      </c>
    </row>
    <row r="1221" spans="1:9" customFormat="1" x14ac:dyDescent="0.35">
      <c r="A1221" s="63">
        <f t="shared" si="39"/>
        <v>1220</v>
      </c>
      <c r="B1221" s="54" t="s">
        <v>3269</v>
      </c>
      <c r="C1221" s="55" t="s">
        <v>3270</v>
      </c>
      <c r="D1221" s="54" t="s">
        <v>3124</v>
      </c>
      <c r="E1221" s="56">
        <v>0</v>
      </c>
      <c r="F1221" s="57" t="s">
        <v>792</v>
      </c>
      <c r="G1221" s="58">
        <v>22015</v>
      </c>
      <c r="H1221" s="59">
        <v>29700</v>
      </c>
      <c r="I1221" s="59">
        <f t="shared" si="38"/>
        <v>0</v>
      </c>
    </row>
    <row r="1222" spans="1:9" customFormat="1" x14ac:dyDescent="0.35">
      <c r="A1222" s="63">
        <f t="shared" si="39"/>
        <v>1221</v>
      </c>
      <c r="B1222" s="54" t="s">
        <v>3271</v>
      </c>
      <c r="C1222" s="55" t="s">
        <v>3272</v>
      </c>
      <c r="D1222" s="54" t="s">
        <v>3124</v>
      </c>
      <c r="E1222" s="56">
        <v>0</v>
      </c>
      <c r="F1222" s="57" t="s">
        <v>815</v>
      </c>
      <c r="G1222" s="58">
        <v>350000</v>
      </c>
      <c r="H1222" s="59">
        <v>350000</v>
      </c>
      <c r="I1222" s="59">
        <f t="shared" si="38"/>
        <v>0</v>
      </c>
    </row>
    <row r="1223" spans="1:9" customFormat="1" x14ac:dyDescent="0.35">
      <c r="A1223" s="63">
        <f t="shared" si="39"/>
        <v>1222</v>
      </c>
      <c r="B1223" s="54" t="s">
        <v>3273</v>
      </c>
      <c r="C1223" s="55" t="s">
        <v>3274</v>
      </c>
      <c r="D1223" s="54" t="s">
        <v>3124</v>
      </c>
      <c r="E1223" s="56">
        <v>0</v>
      </c>
      <c r="F1223" s="57" t="s">
        <v>792</v>
      </c>
      <c r="G1223" s="58">
        <v>70000</v>
      </c>
      <c r="H1223" s="59">
        <v>70000</v>
      </c>
      <c r="I1223" s="59">
        <f t="shared" si="38"/>
        <v>0</v>
      </c>
    </row>
    <row r="1224" spans="1:9" customFormat="1" x14ac:dyDescent="0.35">
      <c r="A1224" s="63">
        <f t="shared" si="39"/>
        <v>1223</v>
      </c>
      <c r="B1224" s="54" t="s">
        <v>3275</v>
      </c>
      <c r="C1224" s="55" t="s">
        <v>3276</v>
      </c>
      <c r="D1224" s="54" t="s">
        <v>3124</v>
      </c>
      <c r="E1224" s="56">
        <v>0</v>
      </c>
      <c r="F1224" s="57" t="s">
        <v>792</v>
      </c>
      <c r="G1224" s="58">
        <v>30200</v>
      </c>
      <c r="H1224" s="59">
        <v>40770</v>
      </c>
      <c r="I1224" s="59">
        <f t="shared" si="38"/>
        <v>0</v>
      </c>
    </row>
    <row r="1225" spans="1:9" customFormat="1" x14ac:dyDescent="0.35">
      <c r="A1225" s="63">
        <f t="shared" si="39"/>
        <v>1224</v>
      </c>
      <c r="B1225" s="54" t="s">
        <v>3277</v>
      </c>
      <c r="C1225" s="55" t="s">
        <v>3278</v>
      </c>
      <c r="D1225" s="54" t="s">
        <v>3124</v>
      </c>
      <c r="E1225" s="56">
        <v>0</v>
      </c>
      <c r="F1225" s="57" t="s">
        <v>792</v>
      </c>
      <c r="G1225" s="58">
        <v>67787</v>
      </c>
      <c r="H1225" s="59">
        <v>67287</v>
      </c>
      <c r="I1225" s="59">
        <f t="shared" si="38"/>
        <v>0</v>
      </c>
    </row>
    <row r="1226" spans="1:9" customFormat="1" x14ac:dyDescent="0.35">
      <c r="A1226" s="63">
        <f t="shared" si="39"/>
        <v>1225</v>
      </c>
      <c r="B1226" s="54" t="s">
        <v>3279</v>
      </c>
      <c r="C1226" s="55" t="s">
        <v>3280</v>
      </c>
      <c r="D1226" s="54" t="s">
        <v>3124</v>
      </c>
      <c r="E1226" s="56">
        <v>0</v>
      </c>
      <c r="F1226" s="57" t="s">
        <v>1563</v>
      </c>
      <c r="G1226" s="58">
        <v>97736</v>
      </c>
      <c r="H1226" s="59">
        <v>131942</v>
      </c>
      <c r="I1226" s="59">
        <f t="shared" si="38"/>
        <v>0</v>
      </c>
    </row>
    <row r="1227" spans="1:9" customFormat="1" x14ac:dyDescent="0.35">
      <c r="A1227" s="63">
        <f t="shared" si="39"/>
        <v>1226</v>
      </c>
      <c r="B1227" s="54" t="s">
        <v>3281</v>
      </c>
      <c r="C1227" s="55" t="s">
        <v>3282</v>
      </c>
      <c r="D1227" s="54" t="s">
        <v>3124</v>
      </c>
      <c r="E1227" s="56">
        <v>0</v>
      </c>
      <c r="F1227" s="57" t="s">
        <v>792</v>
      </c>
      <c r="G1227" s="58">
        <v>35000</v>
      </c>
      <c r="H1227" s="59">
        <v>47250</v>
      </c>
      <c r="I1227" s="59">
        <f t="shared" si="38"/>
        <v>0</v>
      </c>
    </row>
    <row r="1228" spans="1:9" customFormat="1" x14ac:dyDescent="0.35">
      <c r="A1228" s="63">
        <f t="shared" si="39"/>
        <v>1227</v>
      </c>
      <c r="B1228" s="54" t="s">
        <v>3283</v>
      </c>
      <c r="C1228" s="55" t="s">
        <v>3284</v>
      </c>
      <c r="D1228" s="54" t="s">
        <v>3124</v>
      </c>
      <c r="E1228" s="56">
        <v>0</v>
      </c>
      <c r="F1228" s="57" t="s">
        <v>3285</v>
      </c>
      <c r="G1228" s="58">
        <v>52500</v>
      </c>
      <c r="H1228" s="59">
        <v>94500</v>
      </c>
      <c r="I1228" s="59">
        <f t="shared" si="38"/>
        <v>0</v>
      </c>
    </row>
    <row r="1229" spans="1:9" customFormat="1" x14ac:dyDescent="0.35">
      <c r="A1229" s="63">
        <f t="shared" si="39"/>
        <v>1228</v>
      </c>
      <c r="B1229" s="54" t="s">
        <v>3286</v>
      </c>
      <c r="C1229" s="55" t="s">
        <v>3287</v>
      </c>
      <c r="D1229" s="54" t="s">
        <v>3124</v>
      </c>
      <c r="E1229" s="56">
        <v>0</v>
      </c>
      <c r="F1229" s="57" t="s">
        <v>792</v>
      </c>
      <c r="G1229" s="58">
        <v>40000</v>
      </c>
      <c r="H1229" s="59">
        <v>54000</v>
      </c>
      <c r="I1229" s="59">
        <f t="shared" si="38"/>
        <v>0</v>
      </c>
    </row>
    <row r="1230" spans="1:9" customFormat="1" x14ac:dyDescent="0.35">
      <c r="A1230" s="63">
        <f t="shared" si="39"/>
        <v>1229</v>
      </c>
      <c r="B1230" s="54" t="s">
        <v>3288</v>
      </c>
      <c r="C1230" s="55" t="s">
        <v>3289</v>
      </c>
      <c r="D1230" s="54" t="s">
        <v>3290</v>
      </c>
      <c r="E1230" s="56">
        <v>0</v>
      </c>
      <c r="F1230" s="57" t="s">
        <v>815</v>
      </c>
      <c r="G1230" s="58">
        <v>0</v>
      </c>
      <c r="H1230" s="59">
        <v>7380000</v>
      </c>
      <c r="I1230" s="59">
        <f t="shared" si="38"/>
        <v>0</v>
      </c>
    </row>
    <row r="1231" spans="1:9" customFormat="1" x14ac:dyDescent="0.35">
      <c r="A1231" s="63">
        <f t="shared" si="39"/>
        <v>1230</v>
      </c>
      <c r="B1231" s="54" t="s">
        <v>3291</v>
      </c>
      <c r="C1231" s="55" t="s">
        <v>3292</v>
      </c>
      <c r="D1231" s="54" t="s">
        <v>3293</v>
      </c>
      <c r="E1231" s="56">
        <v>0</v>
      </c>
      <c r="F1231" s="57" t="s">
        <v>1217</v>
      </c>
      <c r="G1231" s="58">
        <v>650000</v>
      </c>
      <c r="H1231" s="59">
        <v>735000</v>
      </c>
      <c r="I1231" s="59">
        <f t="shared" si="38"/>
        <v>0</v>
      </c>
    </row>
    <row r="1232" spans="1:9" customFormat="1" ht="23" x14ac:dyDescent="0.35">
      <c r="A1232" s="63">
        <f t="shared" si="39"/>
        <v>1231</v>
      </c>
      <c r="B1232" s="54" t="s">
        <v>3294</v>
      </c>
      <c r="C1232" s="55" t="s">
        <v>3295</v>
      </c>
      <c r="D1232" s="54" t="s">
        <v>3293</v>
      </c>
      <c r="E1232" s="56">
        <v>0</v>
      </c>
      <c r="F1232" s="57" t="s">
        <v>844</v>
      </c>
      <c r="G1232" s="58">
        <v>4800000</v>
      </c>
      <c r="H1232" s="59">
        <v>5989750</v>
      </c>
      <c r="I1232" s="59">
        <f t="shared" si="38"/>
        <v>0</v>
      </c>
    </row>
    <row r="1233" spans="1:9" customFormat="1" ht="23" x14ac:dyDescent="0.35">
      <c r="A1233" s="63">
        <f t="shared" si="39"/>
        <v>1232</v>
      </c>
      <c r="B1233" s="54" t="s">
        <v>3296</v>
      </c>
      <c r="C1233" s="55" t="s">
        <v>3297</v>
      </c>
      <c r="D1233" s="54" t="s">
        <v>3293</v>
      </c>
      <c r="E1233" s="56">
        <v>0</v>
      </c>
      <c r="F1233" s="57" t="s">
        <v>844</v>
      </c>
      <c r="G1233" s="58">
        <v>4871000</v>
      </c>
      <c r="H1233" s="59">
        <v>5500000</v>
      </c>
      <c r="I1233" s="59">
        <f t="shared" si="38"/>
        <v>0</v>
      </c>
    </row>
    <row r="1234" spans="1:9" customFormat="1" x14ac:dyDescent="0.35">
      <c r="A1234" s="63">
        <f t="shared" si="39"/>
        <v>1233</v>
      </c>
      <c r="B1234" s="54" t="s">
        <v>3298</v>
      </c>
      <c r="C1234" s="55" t="s">
        <v>3299</v>
      </c>
      <c r="D1234" s="54" t="s">
        <v>3293</v>
      </c>
      <c r="E1234" s="56">
        <v>0</v>
      </c>
      <c r="F1234" s="57" t="s">
        <v>844</v>
      </c>
      <c r="G1234" s="58">
        <v>2584000</v>
      </c>
      <c r="H1234" s="59">
        <v>2900000</v>
      </c>
      <c r="I1234" s="59">
        <f t="shared" si="38"/>
        <v>0</v>
      </c>
    </row>
    <row r="1235" spans="1:9" customFormat="1" x14ac:dyDescent="0.35">
      <c r="A1235" s="63">
        <f t="shared" si="39"/>
        <v>1234</v>
      </c>
      <c r="B1235" s="54" t="s">
        <v>3300</v>
      </c>
      <c r="C1235" s="55" t="s">
        <v>3301</v>
      </c>
      <c r="D1235" s="54" t="s">
        <v>3302</v>
      </c>
      <c r="E1235" s="56">
        <v>0</v>
      </c>
      <c r="F1235" s="57" t="s">
        <v>878</v>
      </c>
      <c r="G1235" s="58">
        <v>35000</v>
      </c>
      <c r="H1235" s="59">
        <v>58800</v>
      </c>
      <c r="I1235" s="59">
        <f t="shared" si="38"/>
        <v>0</v>
      </c>
    </row>
    <row r="1236" spans="1:9" customFormat="1" x14ac:dyDescent="0.35">
      <c r="A1236" s="63">
        <f t="shared" si="39"/>
        <v>1235</v>
      </c>
      <c r="B1236" s="54" t="s">
        <v>3303</v>
      </c>
      <c r="C1236" s="55" t="s">
        <v>3304</v>
      </c>
      <c r="D1236" s="54" t="s">
        <v>3302</v>
      </c>
      <c r="E1236" s="56">
        <v>0</v>
      </c>
      <c r="F1236" s="57" t="s">
        <v>792</v>
      </c>
      <c r="G1236" s="58">
        <v>176000</v>
      </c>
      <c r="H1236" s="59">
        <v>282240</v>
      </c>
      <c r="I1236" s="59">
        <f t="shared" si="38"/>
        <v>0</v>
      </c>
    </row>
    <row r="1237" spans="1:9" customFormat="1" x14ac:dyDescent="0.35">
      <c r="A1237" s="63">
        <f t="shared" si="39"/>
        <v>1236</v>
      </c>
      <c r="B1237" s="54" t="s">
        <v>3305</v>
      </c>
      <c r="C1237" s="55" t="s">
        <v>3306</v>
      </c>
      <c r="D1237" s="54" t="s">
        <v>3302</v>
      </c>
      <c r="E1237" s="56">
        <v>0</v>
      </c>
      <c r="F1237" s="57" t="s">
        <v>792</v>
      </c>
      <c r="G1237" s="58">
        <v>384</v>
      </c>
      <c r="H1237" s="59">
        <v>950</v>
      </c>
      <c r="I1237" s="59">
        <f t="shared" si="38"/>
        <v>0</v>
      </c>
    </row>
    <row r="1238" spans="1:9" customFormat="1" x14ac:dyDescent="0.35">
      <c r="A1238" s="63">
        <f t="shared" si="39"/>
        <v>1237</v>
      </c>
      <c r="B1238" s="54" t="s">
        <v>3307</v>
      </c>
      <c r="C1238" s="55" t="s">
        <v>3308</v>
      </c>
      <c r="D1238" s="54" t="s">
        <v>3302</v>
      </c>
      <c r="E1238" s="56">
        <v>0</v>
      </c>
      <c r="F1238" s="57" t="s">
        <v>792</v>
      </c>
      <c r="G1238" s="58">
        <v>544</v>
      </c>
      <c r="H1238" s="59">
        <v>1280</v>
      </c>
      <c r="I1238" s="59">
        <f t="shared" si="38"/>
        <v>0</v>
      </c>
    </row>
    <row r="1239" spans="1:9" customFormat="1" x14ac:dyDescent="0.35">
      <c r="A1239" s="63">
        <f t="shared" si="39"/>
        <v>1238</v>
      </c>
      <c r="B1239" s="54" t="s">
        <v>3309</v>
      </c>
      <c r="C1239" s="55" t="s">
        <v>3310</v>
      </c>
      <c r="D1239" s="54" t="s">
        <v>3302</v>
      </c>
      <c r="E1239" s="56">
        <v>0</v>
      </c>
      <c r="F1239" s="57" t="s">
        <v>792</v>
      </c>
      <c r="G1239" s="58">
        <v>480</v>
      </c>
      <c r="H1239" s="59">
        <v>820</v>
      </c>
      <c r="I1239" s="59">
        <f t="shared" si="38"/>
        <v>0</v>
      </c>
    </row>
    <row r="1240" spans="1:9" customFormat="1" x14ac:dyDescent="0.35">
      <c r="A1240" s="63">
        <f t="shared" si="39"/>
        <v>1239</v>
      </c>
      <c r="B1240" s="54" t="s">
        <v>3311</v>
      </c>
      <c r="C1240" s="55" t="s">
        <v>3312</v>
      </c>
      <c r="D1240" s="54" t="s">
        <v>3302</v>
      </c>
      <c r="E1240" s="56">
        <v>0</v>
      </c>
      <c r="F1240" s="57" t="s">
        <v>792</v>
      </c>
      <c r="G1240" s="58">
        <v>887</v>
      </c>
      <c r="H1240" s="59">
        <v>1510</v>
      </c>
      <c r="I1240" s="59">
        <f t="shared" si="38"/>
        <v>0</v>
      </c>
    </row>
    <row r="1241" spans="1:9" customFormat="1" x14ac:dyDescent="0.35">
      <c r="A1241" s="63">
        <f t="shared" si="39"/>
        <v>1240</v>
      </c>
      <c r="B1241" s="54" t="s">
        <v>3313</v>
      </c>
      <c r="C1241" s="55" t="s">
        <v>3314</v>
      </c>
      <c r="D1241" s="54" t="s">
        <v>3302</v>
      </c>
      <c r="E1241" s="56">
        <v>0</v>
      </c>
      <c r="F1241" s="57" t="s">
        <v>792</v>
      </c>
      <c r="G1241" s="58">
        <v>1950</v>
      </c>
      <c r="H1241" s="59">
        <v>3000</v>
      </c>
      <c r="I1241" s="59">
        <f t="shared" si="38"/>
        <v>0</v>
      </c>
    </row>
    <row r="1242" spans="1:9" customFormat="1" x14ac:dyDescent="0.35">
      <c r="A1242" s="63">
        <f t="shared" si="39"/>
        <v>1241</v>
      </c>
      <c r="B1242" s="54" t="s">
        <v>3315</v>
      </c>
      <c r="C1242" s="55" t="s">
        <v>3316</v>
      </c>
      <c r="D1242" s="54" t="s">
        <v>3302</v>
      </c>
      <c r="E1242" s="56">
        <v>0</v>
      </c>
      <c r="F1242" s="57" t="s">
        <v>792</v>
      </c>
      <c r="G1242" s="58">
        <v>118825</v>
      </c>
      <c r="H1242" s="59">
        <v>191100</v>
      </c>
      <c r="I1242" s="59">
        <f t="shared" si="38"/>
        <v>0</v>
      </c>
    </row>
    <row r="1243" spans="1:9" customFormat="1" x14ac:dyDescent="0.35">
      <c r="A1243" s="63">
        <f t="shared" si="39"/>
        <v>1242</v>
      </c>
      <c r="B1243" s="54" t="s">
        <v>3317</v>
      </c>
      <c r="C1243" s="55" t="s">
        <v>3318</v>
      </c>
      <c r="D1243" s="54" t="s">
        <v>3302</v>
      </c>
      <c r="E1243" s="56">
        <v>0</v>
      </c>
      <c r="F1243" s="57" t="s">
        <v>977</v>
      </c>
      <c r="G1243" s="58">
        <v>17860</v>
      </c>
      <c r="H1243" s="59">
        <v>26000</v>
      </c>
      <c r="I1243" s="59">
        <f t="shared" si="38"/>
        <v>0</v>
      </c>
    </row>
    <row r="1244" spans="1:9" customFormat="1" ht="23" x14ac:dyDescent="0.35">
      <c r="A1244" s="63">
        <f t="shared" si="39"/>
        <v>1243</v>
      </c>
      <c r="B1244" s="54" t="s">
        <v>3319</v>
      </c>
      <c r="C1244" s="55" t="s">
        <v>3320</v>
      </c>
      <c r="D1244" s="54" t="s">
        <v>3302</v>
      </c>
      <c r="E1244" s="56">
        <v>0</v>
      </c>
      <c r="F1244" s="57" t="s">
        <v>792</v>
      </c>
      <c r="G1244" s="58">
        <v>310000</v>
      </c>
      <c r="H1244" s="59">
        <v>310000</v>
      </c>
      <c r="I1244" s="59">
        <f t="shared" si="38"/>
        <v>0</v>
      </c>
    </row>
    <row r="1245" spans="1:9" customFormat="1" x14ac:dyDescent="0.35">
      <c r="A1245" s="63">
        <f t="shared" si="39"/>
        <v>1244</v>
      </c>
      <c r="B1245" s="54" t="s">
        <v>3321</v>
      </c>
      <c r="C1245" s="55" t="s">
        <v>3322</v>
      </c>
      <c r="D1245" s="54" t="s">
        <v>3302</v>
      </c>
      <c r="E1245" s="56">
        <v>0</v>
      </c>
      <c r="F1245" s="57" t="s">
        <v>792</v>
      </c>
      <c r="G1245" s="58">
        <v>783700</v>
      </c>
      <c r="H1245" s="59">
        <v>1152039</v>
      </c>
      <c r="I1245" s="59">
        <f t="shared" si="38"/>
        <v>0</v>
      </c>
    </row>
    <row r="1246" spans="1:9" customFormat="1" x14ac:dyDescent="0.35">
      <c r="A1246" s="63">
        <f t="shared" si="39"/>
        <v>1245</v>
      </c>
      <c r="B1246" s="54" t="s">
        <v>3323</v>
      </c>
      <c r="C1246" s="55" t="s">
        <v>3324</v>
      </c>
      <c r="D1246" s="54" t="s">
        <v>3302</v>
      </c>
      <c r="E1246" s="56">
        <v>0</v>
      </c>
      <c r="F1246" s="57" t="s">
        <v>792</v>
      </c>
      <c r="G1246" s="58">
        <v>1040</v>
      </c>
      <c r="H1246" s="59">
        <v>1700</v>
      </c>
      <c r="I1246" s="59">
        <f t="shared" si="38"/>
        <v>0</v>
      </c>
    </row>
    <row r="1247" spans="1:9" customFormat="1" x14ac:dyDescent="0.35">
      <c r="A1247" s="63">
        <f t="shared" si="39"/>
        <v>1246</v>
      </c>
      <c r="B1247" s="54" t="s">
        <v>3325</v>
      </c>
      <c r="C1247" s="55" t="s">
        <v>3326</v>
      </c>
      <c r="D1247" s="54" t="s">
        <v>3302</v>
      </c>
      <c r="E1247" s="56">
        <v>0</v>
      </c>
      <c r="F1247" s="57" t="s">
        <v>792</v>
      </c>
      <c r="G1247" s="58">
        <v>2985</v>
      </c>
      <c r="H1247" s="59">
        <v>5100</v>
      </c>
      <c r="I1247" s="59">
        <f t="shared" si="38"/>
        <v>0</v>
      </c>
    </row>
    <row r="1248" spans="1:9" customFormat="1" x14ac:dyDescent="0.35">
      <c r="A1248" s="63">
        <f t="shared" si="39"/>
        <v>1247</v>
      </c>
      <c r="B1248" s="54" t="s">
        <v>3327</v>
      </c>
      <c r="C1248" s="55" t="s">
        <v>3328</v>
      </c>
      <c r="D1248" s="54" t="s">
        <v>3302</v>
      </c>
      <c r="E1248" s="56">
        <v>0</v>
      </c>
      <c r="F1248" s="57" t="s">
        <v>792</v>
      </c>
      <c r="G1248" s="58">
        <v>1765</v>
      </c>
      <c r="H1248" s="59">
        <v>3100</v>
      </c>
      <c r="I1248" s="59">
        <f t="shared" si="38"/>
        <v>0</v>
      </c>
    </row>
    <row r="1249" spans="1:9" customFormat="1" x14ac:dyDescent="0.35">
      <c r="A1249" s="63">
        <f t="shared" si="39"/>
        <v>1248</v>
      </c>
      <c r="B1249" s="54" t="s">
        <v>3329</v>
      </c>
      <c r="C1249" s="55" t="s">
        <v>3330</v>
      </c>
      <c r="D1249" s="54" t="s">
        <v>3302</v>
      </c>
      <c r="E1249" s="56">
        <v>0</v>
      </c>
      <c r="F1249" s="57" t="s">
        <v>792</v>
      </c>
      <c r="G1249" s="58">
        <v>630</v>
      </c>
      <c r="H1249" s="59">
        <v>1300</v>
      </c>
      <c r="I1249" s="59">
        <f t="shared" si="38"/>
        <v>0</v>
      </c>
    </row>
    <row r="1250" spans="1:9" customFormat="1" x14ac:dyDescent="0.35">
      <c r="A1250" s="63">
        <f t="shared" si="39"/>
        <v>1249</v>
      </c>
      <c r="B1250" s="54" t="s">
        <v>3331</v>
      </c>
      <c r="C1250" s="55" t="s">
        <v>3332</v>
      </c>
      <c r="D1250" s="54" t="s">
        <v>3302</v>
      </c>
      <c r="E1250" s="56">
        <v>0</v>
      </c>
      <c r="F1250" s="57" t="s">
        <v>792</v>
      </c>
      <c r="G1250" s="58">
        <v>257</v>
      </c>
      <c r="H1250" s="59">
        <v>300</v>
      </c>
      <c r="I1250" s="59">
        <f t="shared" si="38"/>
        <v>0</v>
      </c>
    </row>
    <row r="1251" spans="1:9" customFormat="1" x14ac:dyDescent="0.35">
      <c r="A1251" s="63">
        <f t="shared" si="39"/>
        <v>1250</v>
      </c>
      <c r="B1251" s="54" t="s">
        <v>3333</v>
      </c>
      <c r="C1251" s="55" t="s">
        <v>3334</v>
      </c>
      <c r="D1251" s="54" t="s">
        <v>3302</v>
      </c>
      <c r="E1251" s="56">
        <v>0</v>
      </c>
      <c r="F1251" s="57" t="s">
        <v>878</v>
      </c>
      <c r="G1251" s="58">
        <v>322</v>
      </c>
      <c r="H1251" s="59">
        <v>400</v>
      </c>
      <c r="I1251" s="59">
        <f t="shared" si="38"/>
        <v>0</v>
      </c>
    </row>
    <row r="1252" spans="1:9" customFormat="1" x14ac:dyDescent="0.35">
      <c r="A1252" s="63">
        <f t="shared" si="39"/>
        <v>1251</v>
      </c>
      <c r="B1252" s="54" t="s">
        <v>3335</v>
      </c>
      <c r="C1252" s="55" t="s">
        <v>3336</v>
      </c>
      <c r="D1252" s="54" t="s">
        <v>3302</v>
      </c>
      <c r="E1252" s="56">
        <v>0</v>
      </c>
      <c r="F1252" s="57" t="s">
        <v>792</v>
      </c>
      <c r="G1252" s="58">
        <v>1601</v>
      </c>
      <c r="H1252" s="59">
        <v>2800</v>
      </c>
      <c r="I1252" s="59">
        <f t="shared" si="38"/>
        <v>0</v>
      </c>
    </row>
    <row r="1253" spans="1:9" customFormat="1" ht="23" x14ac:dyDescent="0.35">
      <c r="A1253" s="63">
        <f t="shared" si="39"/>
        <v>1252</v>
      </c>
      <c r="B1253" s="54" t="s">
        <v>3337</v>
      </c>
      <c r="C1253" s="55" t="s">
        <v>3338</v>
      </c>
      <c r="D1253" s="54" t="s">
        <v>3302</v>
      </c>
      <c r="E1253" s="56">
        <v>0</v>
      </c>
      <c r="F1253" s="57" t="s">
        <v>792</v>
      </c>
      <c r="G1253" s="58">
        <v>2976000</v>
      </c>
      <c r="H1253" s="59">
        <v>3265595</v>
      </c>
      <c r="I1253" s="59">
        <f t="shared" si="38"/>
        <v>0</v>
      </c>
    </row>
    <row r="1254" spans="1:9" customFormat="1" x14ac:dyDescent="0.35">
      <c r="A1254" s="63">
        <f t="shared" si="39"/>
        <v>1253</v>
      </c>
      <c r="B1254" s="54" t="s">
        <v>3339</v>
      </c>
      <c r="C1254" s="55" t="s">
        <v>3340</v>
      </c>
      <c r="D1254" s="54" t="s">
        <v>3302</v>
      </c>
      <c r="E1254" s="56">
        <v>0</v>
      </c>
      <c r="F1254" s="57" t="s">
        <v>792</v>
      </c>
      <c r="G1254" s="58">
        <v>70000</v>
      </c>
      <c r="H1254" s="59">
        <v>88000</v>
      </c>
      <c r="I1254" s="59">
        <f t="shared" si="38"/>
        <v>0</v>
      </c>
    </row>
    <row r="1255" spans="1:9" customFormat="1" x14ac:dyDescent="0.35">
      <c r="A1255" s="63">
        <f t="shared" si="39"/>
        <v>1254</v>
      </c>
      <c r="B1255" s="54" t="s">
        <v>3341</v>
      </c>
      <c r="C1255" s="55" t="s">
        <v>3342</v>
      </c>
      <c r="D1255" s="54" t="s">
        <v>3302</v>
      </c>
      <c r="E1255" s="56">
        <v>0</v>
      </c>
      <c r="F1255" s="57" t="s">
        <v>792</v>
      </c>
      <c r="G1255" s="58">
        <v>80000</v>
      </c>
      <c r="H1255" s="59">
        <v>110000</v>
      </c>
      <c r="I1255" s="59">
        <f t="shared" si="38"/>
        <v>0</v>
      </c>
    </row>
    <row r="1256" spans="1:9" customFormat="1" ht="23" x14ac:dyDescent="0.35">
      <c r="A1256" s="63">
        <f t="shared" si="39"/>
        <v>1255</v>
      </c>
      <c r="B1256" s="54" t="s">
        <v>3343</v>
      </c>
      <c r="C1256" s="55" t="s">
        <v>3344</v>
      </c>
      <c r="D1256" s="54" t="s">
        <v>3302</v>
      </c>
      <c r="E1256" s="56">
        <v>0</v>
      </c>
      <c r="F1256" s="57" t="s">
        <v>792</v>
      </c>
      <c r="G1256" s="58">
        <v>10000</v>
      </c>
      <c r="H1256" s="59">
        <v>14700</v>
      </c>
      <c r="I1256" s="59">
        <f t="shared" si="38"/>
        <v>0</v>
      </c>
    </row>
    <row r="1257" spans="1:9" customFormat="1" x14ac:dyDescent="0.35">
      <c r="A1257" s="63">
        <f t="shared" si="39"/>
        <v>1256</v>
      </c>
      <c r="B1257" s="54" t="s">
        <v>3345</v>
      </c>
      <c r="C1257" s="55" t="s">
        <v>3346</v>
      </c>
      <c r="D1257" s="54" t="s">
        <v>3302</v>
      </c>
      <c r="E1257" s="56">
        <v>0</v>
      </c>
      <c r="F1257" s="57" t="s">
        <v>792</v>
      </c>
      <c r="G1257" s="58">
        <v>73000</v>
      </c>
      <c r="H1257" s="59">
        <v>95000</v>
      </c>
      <c r="I1257" s="59">
        <f t="shared" si="38"/>
        <v>0</v>
      </c>
    </row>
    <row r="1258" spans="1:9" customFormat="1" x14ac:dyDescent="0.35">
      <c r="A1258" s="63">
        <f t="shared" si="39"/>
        <v>1257</v>
      </c>
      <c r="B1258" s="54" t="s">
        <v>3347</v>
      </c>
      <c r="C1258" s="55" t="s">
        <v>3348</v>
      </c>
      <c r="D1258" s="54" t="s">
        <v>3302</v>
      </c>
      <c r="E1258" s="56">
        <v>0</v>
      </c>
      <c r="F1258" s="57" t="s">
        <v>792</v>
      </c>
      <c r="G1258" s="58">
        <v>73000</v>
      </c>
      <c r="H1258" s="59">
        <v>95000</v>
      </c>
      <c r="I1258" s="59">
        <f t="shared" si="38"/>
        <v>0</v>
      </c>
    </row>
    <row r="1259" spans="1:9" customFormat="1" x14ac:dyDescent="0.35">
      <c r="A1259" s="63">
        <f t="shared" si="39"/>
        <v>1258</v>
      </c>
      <c r="B1259" s="54" t="s">
        <v>3349</v>
      </c>
      <c r="C1259" s="55" t="s">
        <v>3350</v>
      </c>
      <c r="D1259" s="54" t="s">
        <v>3302</v>
      </c>
      <c r="E1259" s="56">
        <v>0</v>
      </c>
      <c r="F1259" s="57" t="s">
        <v>792</v>
      </c>
      <c r="G1259" s="58">
        <v>95000</v>
      </c>
      <c r="H1259" s="59">
        <v>115000</v>
      </c>
      <c r="I1259" s="59">
        <f t="shared" si="38"/>
        <v>0</v>
      </c>
    </row>
    <row r="1260" spans="1:9" customFormat="1" x14ac:dyDescent="0.35">
      <c r="A1260" s="63">
        <f t="shared" si="39"/>
        <v>1259</v>
      </c>
      <c r="B1260" s="54" t="s">
        <v>3351</v>
      </c>
      <c r="C1260" s="55" t="s">
        <v>3352</v>
      </c>
      <c r="D1260" s="54" t="s">
        <v>3302</v>
      </c>
      <c r="E1260" s="56">
        <v>0</v>
      </c>
      <c r="F1260" s="57" t="s">
        <v>792</v>
      </c>
      <c r="G1260" s="58">
        <v>85000</v>
      </c>
      <c r="H1260" s="59">
        <v>104000</v>
      </c>
      <c r="I1260" s="59">
        <f t="shared" si="38"/>
        <v>0</v>
      </c>
    </row>
    <row r="1261" spans="1:9" customFormat="1" x14ac:dyDescent="0.35">
      <c r="A1261" s="63">
        <f t="shared" si="39"/>
        <v>1260</v>
      </c>
      <c r="B1261" s="54" t="s">
        <v>3353</v>
      </c>
      <c r="C1261" s="55" t="s">
        <v>3354</v>
      </c>
      <c r="D1261" s="54" t="s">
        <v>3302</v>
      </c>
      <c r="E1261" s="56">
        <v>0</v>
      </c>
      <c r="F1261" s="57" t="s">
        <v>792</v>
      </c>
      <c r="G1261" s="58">
        <v>85000</v>
      </c>
      <c r="H1261" s="59">
        <v>104000</v>
      </c>
      <c r="I1261" s="59">
        <f t="shared" si="38"/>
        <v>0</v>
      </c>
    </row>
    <row r="1262" spans="1:9" customFormat="1" x14ac:dyDescent="0.35">
      <c r="A1262" s="63">
        <f t="shared" si="39"/>
        <v>1261</v>
      </c>
      <c r="B1262" s="54" t="s">
        <v>3355</v>
      </c>
      <c r="C1262" s="55" t="s">
        <v>3356</v>
      </c>
      <c r="D1262" s="54" t="s">
        <v>3302</v>
      </c>
      <c r="E1262" s="56">
        <v>0</v>
      </c>
      <c r="F1262" s="57" t="s">
        <v>792</v>
      </c>
      <c r="G1262" s="58">
        <v>12800</v>
      </c>
      <c r="H1262" s="59">
        <v>17500</v>
      </c>
      <c r="I1262" s="59">
        <f t="shared" si="38"/>
        <v>0</v>
      </c>
    </row>
    <row r="1263" spans="1:9" customFormat="1" x14ac:dyDescent="0.35">
      <c r="A1263" s="63">
        <f t="shared" si="39"/>
        <v>1262</v>
      </c>
      <c r="B1263" s="54" t="s">
        <v>3357</v>
      </c>
      <c r="C1263" s="55" t="s">
        <v>3358</v>
      </c>
      <c r="D1263" s="54" t="s">
        <v>3302</v>
      </c>
      <c r="E1263" s="56">
        <v>0</v>
      </c>
      <c r="F1263" s="57" t="s">
        <v>792</v>
      </c>
      <c r="G1263" s="58">
        <v>1085</v>
      </c>
      <c r="H1263" s="59">
        <v>1643.33</v>
      </c>
      <c r="I1263" s="59">
        <f t="shared" si="38"/>
        <v>0</v>
      </c>
    </row>
    <row r="1264" spans="1:9" customFormat="1" x14ac:dyDescent="0.35">
      <c r="A1264" s="63">
        <f t="shared" si="39"/>
        <v>1263</v>
      </c>
      <c r="B1264" s="54" t="s">
        <v>3359</v>
      </c>
      <c r="C1264" s="55" t="s">
        <v>3360</v>
      </c>
      <c r="D1264" s="54" t="s">
        <v>3302</v>
      </c>
      <c r="E1264" s="56">
        <v>0</v>
      </c>
      <c r="F1264" s="57" t="s">
        <v>792</v>
      </c>
      <c r="G1264" s="58">
        <v>2300</v>
      </c>
      <c r="H1264" s="59">
        <v>5500</v>
      </c>
      <c r="I1264" s="59">
        <f t="shared" si="38"/>
        <v>0</v>
      </c>
    </row>
    <row r="1265" spans="1:9" customFormat="1" x14ac:dyDescent="0.35">
      <c r="A1265" s="63">
        <f t="shared" si="39"/>
        <v>1264</v>
      </c>
      <c r="B1265" s="54" t="s">
        <v>3361</v>
      </c>
      <c r="C1265" s="55" t="s">
        <v>3362</v>
      </c>
      <c r="D1265" s="54" t="s">
        <v>3302</v>
      </c>
      <c r="E1265" s="56">
        <v>0</v>
      </c>
      <c r="F1265" s="57" t="s">
        <v>815</v>
      </c>
      <c r="G1265" s="58">
        <v>8000</v>
      </c>
      <c r="H1265" s="59">
        <v>11000</v>
      </c>
      <c r="I1265" s="59">
        <f t="shared" si="38"/>
        <v>0</v>
      </c>
    </row>
    <row r="1266" spans="1:9" customFormat="1" x14ac:dyDescent="0.35">
      <c r="A1266" s="63">
        <f t="shared" si="39"/>
        <v>1265</v>
      </c>
      <c r="B1266" s="54" t="s">
        <v>3363</v>
      </c>
      <c r="C1266" s="55" t="s">
        <v>3364</v>
      </c>
      <c r="D1266" s="54" t="s">
        <v>3302</v>
      </c>
      <c r="E1266" s="56">
        <v>0</v>
      </c>
      <c r="F1266" s="57" t="s">
        <v>792</v>
      </c>
      <c r="G1266" s="58">
        <v>374153</v>
      </c>
      <c r="H1266" s="59">
        <v>528650</v>
      </c>
      <c r="I1266" s="59">
        <f t="shared" si="38"/>
        <v>0</v>
      </c>
    </row>
    <row r="1267" spans="1:9" customFormat="1" ht="23" x14ac:dyDescent="0.35">
      <c r="A1267" s="63">
        <f t="shared" si="39"/>
        <v>1266</v>
      </c>
      <c r="B1267" s="54" t="s">
        <v>3365</v>
      </c>
      <c r="C1267" s="55" t="s">
        <v>3366</v>
      </c>
      <c r="D1267" s="54" t="s">
        <v>3302</v>
      </c>
      <c r="E1267" s="56">
        <v>0</v>
      </c>
      <c r="F1267" s="57" t="s">
        <v>792</v>
      </c>
      <c r="G1267" s="58">
        <v>350000</v>
      </c>
      <c r="H1267" s="59">
        <v>458810</v>
      </c>
      <c r="I1267" s="59">
        <f t="shared" si="38"/>
        <v>0</v>
      </c>
    </row>
    <row r="1268" spans="1:9" customFormat="1" x14ac:dyDescent="0.35">
      <c r="A1268" s="63">
        <f t="shared" si="39"/>
        <v>1267</v>
      </c>
      <c r="B1268" s="54" t="s">
        <v>3367</v>
      </c>
      <c r="C1268" s="55" t="s">
        <v>3368</v>
      </c>
      <c r="D1268" s="54" t="s">
        <v>3302</v>
      </c>
      <c r="E1268" s="56">
        <v>0</v>
      </c>
      <c r="F1268" s="57" t="s">
        <v>792</v>
      </c>
      <c r="G1268" s="58">
        <v>263160</v>
      </c>
      <c r="H1268" s="59">
        <v>345320</v>
      </c>
      <c r="I1268" s="59">
        <f t="shared" si="38"/>
        <v>0</v>
      </c>
    </row>
    <row r="1269" spans="1:9" customFormat="1" x14ac:dyDescent="0.35">
      <c r="A1269" s="63">
        <f t="shared" si="39"/>
        <v>1268</v>
      </c>
      <c r="B1269" s="54" t="s">
        <v>3369</v>
      </c>
      <c r="C1269" s="55" t="s">
        <v>3370</v>
      </c>
      <c r="D1269" s="54" t="s">
        <v>3302</v>
      </c>
      <c r="E1269" s="56">
        <v>0</v>
      </c>
      <c r="F1269" s="57" t="s">
        <v>792</v>
      </c>
      <c r="G1269" s="58">
        <v>311666</v>
      </c>
      <c r="H1269" s="59">
        <v>529751</v>
      </c>
      <c r="I1269" s="59">
        <f t="shared" si="38"/>
        <v>0</v>
      </c>
    </row>
    <row r="1270" spans="1:9" customFormat="1" x14ac:dyDescent="0.35">
      <c r="A1270" s="63">
        <f t="shared" si="39"/>
        <v>1269</v>
      </c>
      <c r="B1270" s="54" t="s">
        <v>3371</v>
      </c>
      <c r="C1270" s="55" t="s">
        <v>3372</v>
      </c>
      <c r="D1270" s="54" t="s">
        <v>3302</v>
      </c>
      <c r="E1270" s="56">
        <v>0</v>
      </c>
      <c r="F1270" s="57" t="s">
        <v>792</v>
      </c>
      <c r="G1270" s="58">
        <v>13000</v>
      </c>
      <c r="H1270" s="59">
        <v>20000</v>
      </c>
      <c r="I1270" s="59">
        <f t="shared" si="38"/>
        <v>0</v>
      </c>
    </row>
    <row r="1271" spans="1:9" customFormat="1" x14ac:dyDescent="0.35">
      <c r="A1271" s="63">
        <f t="shared" si="39"/>
        <v>1270</v>
      </c>
      <c r="B1271" s="54" t="s">
        <v>3373</v>
      </c>
      <c r="C1271" s="55" t="s">
        <v>3374</v>
      </c>
      <c r="D1271" s="54" t="s">
        <v>3302</v>
      </c>
      <c r="E1271" s="56">
        <v>0</v>
      </c>
      <c r="F1271" s="57" t="s">
        <v>792</v>
      </c>
      <c r="G1271" s="58">
        <v>25000</v>
      </c>
      <c r="H1271" s="59">
        <v>35000</v>
      </c>
      <c r="I1271" s="59">
        <f t="shared" si="38"/>
        <v>0</v>
      </c>
    </row>
    <row r="1272" spans="1:9" customFormat="1" x14ac:dyDescent="0.35">
      <c r="A1272" s="63">
        <f t="shared" si="39"/>
        <v>1271</v>
      </c>
      <c r="B1272" s="54" t="s">
        <v>3375</v>
      </c>
      <c r="C1272" s="55" t="s">
        <v>3376</v>
      </c>
      <c r="D1272" s="54" t="s">
        <v>3302</v>
      </c>
      <c r="E1272" s="56">
        <v>0</v>
      </c>
      <c r="F1272" s="57" t="s">
        <v>792</v>
      </c>
      <c r="G1272" s="58">
        <v>25000</v>
      </c>
      <c r="H1272" s="59">
        <v>35000</v>
      </c>
      <c r="I1272" s="59">
        <f t="shared" si="38"/>
        <v>0</v>
      </c>
    </row>
    <row r="1273" spans="1:9" customFormat="1" ht="23" x14ac:dyDescent="0.35">
      <c r="A1273" s="63">
        <f t="shared" si="39"/>
        <v>1272</v>
      </c>
      <c r="B1273" s="54" t="s">
        <v>3377</v>
      </c>
      <c r="C1273" s="55" t="s">
        <v>3378</v>
      </c>
      <c r="D1273" s="54" t="s">
        <v>3302</v>
      </c>
      <c r="E1273" s="56">
        <v>0</v>
      </c>
      <c r="F1273" s="57" t="s">
        <v>792</v>
      </c>
      <c r="G1273" s="58">
        <v>160000</v>
      </c>
      <c r="H1273" s="59">
        <v>235200</v>
      </c>
      <c r="I1273" s="59">
        <f t="shared" si="38"/>
        <v>0</v>
      </c>
    </row>
    <row r="1274" spans="1:9" customFormat="1" x14ac:dyDescent="0.35">
      <c r="A1274" s="63">
        <f t="shared" si="39"/>
        <v>1273</v>
      </c>
      <c r="B1274" s="54" t="s">
        <v>3379</v>
      </c>
      <c r="C1274" s="55" t="s">
        <v>3380</v>
      </c>
      <c r="D1274" s="54" t="s">
        <v>3302</v>
      </c>
      <c r="E1274" s="56">
        <v>0</v>
      </c>
      <c r="F1274" s="57" t="s">
        <v>792</v>
      </c>
      <c r="G1274" s="58">
        <v>1085300</v>
      </c>
      <c r="H1274" s="59">
        <v>1595685</v>
      </c>
      <c r="I1274" s="59">
        <f t="shared" si="38"/>
        <v>0</v>
      </c>
    </row>
    <row r="1275" spans="1:9" customFormat="1" x14ac:dyDescent="0.35">
      <c r="A1275" s="63">
        <f t="shared" si="39"/>
        <v>1274</v>
      </c>
      <c r="B1275" s="54" t="s">
        <v>3381</v>
      </c>
      <c r="C1275" s="55" t="s">
        <v>3382</v>
      </c>
      <c r="D1275" s="54" t="s">
        <v>3302</v>
      </c>
      <c r="E1275" s="56">
        <v>0</v>
      </c>
      <c r="F1275" s="57" t="s">
        <v>792</v>
      </c>
      <c r="G1275" s="58">
        <v>1340</v>
      </c>
      <c r="H1275" s="59">
        <v>3000</v>
      </c>
      <c r="I1275" s="59">
        <f t="shared" si="38"/>
        <v>0</v>
      </c>
    </row>
    <row r="1276" spans="1:9" customFormat="1" x14ac:dyDescent="0.35">
      <c r="A1276" s="63">
        <f t="shared" si="39"/>
        <v>1275</v>
      </c>
      <c r="B1276" s="54" t="s">
        <v>3383</v>
      </c>
      <c r="C1276" s="55" t="s">
        <v>3384</v>
      </c>
      <c r="D1276" s="54" t="s">
        <v>3302</v>
      </c>
      <c r="E1276" s="56">
        <v>0</v>
      </c>
      <c r="F1276" s="57" t="s">
        <v>792</v>
      </c>
      <c r="G1276" s="58">
        <v>608</v>
      </c>
      <c r="H1276" s="59">
        <v>1037</v>
      </c>
      <c r="I1276" s="59">
        <f t="shared" si="38"/>
        <v>0</v>
      </c>
    </row>
    <row r="1277" spans="1:9" customFormat="1" x14ac:dyDescent="0.35">
      <c r="A1277" s="63">
        <f t="shared" si="39"/>
        <v>1276</v>
      </c>
      <c r="B1277" s="54" t="s">
        <v>3385</v>
      </c>
      <c r="C1277" s="55" t="s">
        <v>3386</v>
      </c>
      <c r="D1277" s="54" t="s">
        <v>3302</v>
      </c>
      <c r="E1277" s="56">
        <v>0</v>
      </c>
      <c r="F1277" s="57" t="s">
        <v>792</v>
      </c>
      <c r="G1277" s="58">
        <v>0</v>
      </c>
      <c r="H1277" s="59">
        <v>0</v>
      </c>
      <c r="I1277" s="59">
        <f t="shared" si="38"/>
        <v>0</v>
      </c>
    </row>
    <row r="1278" spans="1:9" customFormat="1" x14ac:dyDescent="0.35">
      <c r="A1278" s="63">
        <f t="shared" si="39"/>
        <v>1277</v>
      </c>
      <c r="B1278" s="54" t="s">
        <v>3387</v>
      </c>
      <c r="C1278" s="55" t="s">
        <v>3388</v>
      </c>
      <c r="D1278" s="54" t="s">
        <v>3302</v>
      </c>
      <c r="E1278" s="56">
        <v>0</v>
      </c>
      <c r="F1278" s="57" t="s">
        <v>792</v>
      </c>
      <c r="G1278" s="58">
        <v>0</v>
      </c>
      <c r="H1278" s="59">
        <v>0</v>
      </c>
      <c r="I1278" s="59">
        <f t="shared" si="38"/>
        <v>0</v>
      </c>
    </row>
    <row r="1279" spans="1:9" customFormat="1" x14ac:dyDescent="0.35">
      <c r="A1279" s="63">
        <f t="shared" si="39"/>
        <v>1278</v>
      </c>
      <c r="B1279" s="54" t="s">
        <v>3389</v>
      </c>
      <c r="C1279" s="55" t="s">
        <v>3390</v>
      </c>
      <c r="D1279" s="54" t="s">
        <v>3302</v>
      </c>
      <c r="E1279" s="56">
        <v>0</v>
      </c>
      <c r="F1279" s="57" t="s">
        <v>792</v>
      </c>
      <c r="G1279" s="58">
        <v>4200</v>
      </c>
      <c r="H1279" s="59">
        <v>7000</v>
      </c>
      <c r="I1279" s="59">
        <f t="shared" si="38"/>
        <v>0</v>
      </c>
    </row>
    <row r="1280" spans="1:9" customFormat="1" x14ac:dyDescent="0.35">
      <c r="A1280" s="63">
        <f t="shared" si="39"/>
        <v>1279</v>
      </c>
      <c r="B1280" s="54" t="s">
        <v>3391</v>
      </c>
      <c r="C1280" s="55" t="s">
        <v>3392</v>
      </c>
      <c r="D1280" s="54" t="s">
        <v>3302</v>
      </c>
      <c r="E1280" s="56">
        <v>0</v>
      </c>
      <c r="F1280" s="57" t="s">
        <v>994</v>
      </c>
      <c r="G1280" s="58">
        <v>55000</v>
      </c>
      <c r="H1280" s="59">
        <v>80500</v>
      </c>
      <c r="I1280" s="59">
        <f t="shared" si="38"/>
        <v>0</v>
      </c>
    </row>
    <row r="1281" spans="1:9" customFormat="1" x14ac:dyDescent="0.35">
      <c r="A1281" s="63">
        <f t="shared" si="39"/>
        <v>1280</v>
      </c>
      <c r="B1281" s="54" t="s">
        <v>3393</v>
      </c>
      <c r="C1281" s="55" t="s">
        <v>3394</v>
      </c>
      <c r="D1281" s="54" t="s">
        <v>3302</v>
      </c>
      <c r="E1281" s="56">
        <v>0</v>
      </c>
      <c r="F1281" s="57" t="s">
        <v>870</v>
      </c>
      <c r="G1281" s="58">
        <v>7000</v>
      </c>
      <c r="H1281" s="59">
        <v>11099</v>
      </c>
      <c r="I1281" s="59">
        <f t="shared" si="38"/>
        <v>0</v>
      </c>
    </row>
    <row r="1282" spans="1:9" customFormat="1" ht="23" x14ac:dyDescent="0.35">
      <c r="A1282" s="63">
        <f t="shared" si="39"/>
        <v>1281</v>
      </c>
      <c r="B1282" s="54" t="s">
        <v>3395</v>
      </c>
      <c r="C1282" s="55" t="s">
        <v>3396</v>
      </c>
      <c r="D1282" s="54" t="s">
        <v>3302</v>
      </c>
      <c r="E1282" s="56">
        <v>0</v>
      </c>
      <c r="F1282" s="57" t="s">
        <v>792</v>
      </c>
      <c r="G1282" s="58">
        <v>80000</v>
      </c>
      <c r="H1282" s="59">
        <v>117600</v>
      </c>
      <c r="I1282" s="59">
        <f t="shared" si="38"/>
        <v>0</v>
      </c>
    </row>
    <row r="1283" spans="1:9" customFormat="1" x14ac:dyDescent="0.35">
      <c r="A1283" s="63">
        <f t="shared" si="39"/>
        <v>1282</v>
      </c>
      <c r="B1283" s="54" t="s">
        <v>3397</v>
      </c>
      <c r="C1283" s="55" t="s">
        <v>3398</v>
      </c>
      <c r="D1283" s="54" t="s">
        <v>3302</v>
      </c>
      <c r="E1283" s="56">
        <v>0</v>
      </c>
      <c r="F1283" s="57" t="s">
        <v>792</v>
      </c>
      <c r="G1283" s="58">
        <v>45000</v>
      </c>
      <c r="H1283" s="59">
        <v>66150</v>
      </c>
      <c r="I1283" s="59">
        <f t="shared" ref="I1283:I1346" si="40">H1283*E1283</f>
        <v>0</v>
      </c>
    </row>
    <row r="1284" spans="1:9" customFormat="1" x14ac:dyDescent="0.35">
      <c r="A1284" s="63">
        <f t="shared" ref="A1284:A1347" si="41">A1283+1</f>
        <v>1283</v>
      </c>
      <c r="B1284" s="54" t="s">
        <v>3399</v>
      </c>
      <c r="C1284" s="55" t="s">
        <v>3400</v>
      </c>
      <c r="D1284" s="54" t="s">
        <v>3302</v>
      </c>
      <c r="E1284" s="56">
        <v>0</v>
      </c>
      <c r="F1284" s="57" t="s">
        <v>792</v>
      </c>
      <c r="G1284" s="58">
        <v>127900</v>
      </c>
      <c r="H1284" s="59">
        <v>166725</v>
      </c>
      <c r="I1284" s="59">
        <f t="shared" si="40"/>
        <v>0</v>
      </c>
    </row>
    <row r="1285" spans="1:9" customFormat="1" x14ac:dyDescent="0.35">
      <c r="A1285" s="63">
        <f t="shared" si="41"/>
        <v>1284</v>
      </c>
      <c r="B1285" s="54" t="s">
        <v>3401</v>
      </c>
      <c r="C1285" s="55" t="s">
        <v>3402</v>
      </c>
      <c r="D1285" s="54" t="s">
        <v>3302</v>
      </c>
      <c r="E1285" s="56">
        <v>0</v>
      </c>
      <c r="F1285" s="57" t="s">
        <v>792</v>
      </c>
      <c r="G1285" s="58">
        <v>40000</v>
      </c>
      <c r="H1285" s="59">
        <v>54000</v>
      </c>
      <c r="I1285" s="59">
        <f t="shared" si="40"/>
        <v>0</v>
      </c>
    </row>
    <row r="1286" spans="1:9" customFormat="1" ht="23" x14ac:dyDescent="0.35">
      <c r="A1286" s="63">
        <f t="shared" si="41"/>
        <v>1285</v>
      </c>
      <c r="B1286" s="54" t="s">
        <v>3403</v>
      </c>
      <c r="C1286" s="55" t="s">
        <v>3404</v>
      </c>
      <c r="D1286" s="54" t="s">
        <v>3302</v>
      </c>
      <c r="E1286" s="56">
        <v>0</v>
      </c>
      <c r="F1286" s="57" t="s">
        <v>792</v>
      </c>
      <c r="G1286" s="58">
        <v>110000</v>
      </c>
      <c r="H1286" s="59">
        <v>229945</v>
      </c>
      <c r="I1286" s="59">
        <f t="shared" si="40"/>
        <v>0</v>
      </c>
    </row>
    <row r="1287" spans="1:9" customFormat="1" x14ac:dyDescent="0.35">
      <c r="A1287" s="63">
        <f t="shared" si="41"/>
        <v>1286</v>
      </c>
      <c r="B1287" s="54" t="s">
        <v>3405</v>
      </c>
      <c r="C1287" s="55" t="s">
        <v>3406</v>
      </c>
      <c r="D1287" s="54" t="s">
        <v>3302</v>
      </c>
      <c r="E1287" s="56">
        <v>0</v>
      </c>
      <c r="F1287" s="57" t="s">
        <v>792</v>
      </c>
      <c r="G1287" s="58">
        <v>145000</v>
      </c>
      <c r="H1287" s="59">
        <v>190120</v>
      </c>
      <c r="I1287" s="59">
        <f t="shared" si="40"/>
        <v>0</v>
      </c>
    </row>
    <row r="1288" spans="1:9" customFormat="1" x14ac:dyDescent="0.35">
      <c r="A1288" s="63">
        <f t="shared" si="41"/>
        <v>1287</v>
      </c>
      <c r="B1288" s="54" t="s">
        <v>3407</v>
      </c>
      <c r="C1288" s="55" t="s">
        <v>3408</v>
      </c>
      <c r="D1288" s="54" t="s">
        <v>3302</v>
      </c>
      <c r="E1288" s="56">
        <v>0</v>
      </c>
      <c r="F1288" s="57" t="s">
        <v>792</v>
      </c>
      <c r="G1288" s="58">
        <v>75000</v>
      </c>
      <c r="H1288" s="59">
        <v>98940</v>
      </c>
      <c r="I1288" s="59">
        <f t="shared" si="40"/>
        <v>0</v>
      </c>
    </row>
    <row r="1289" spans="1:9" customFormat="1" x14ac:dyDescent="0.35">
      <c r="A1289" s="63">
        <f t="shared" si="41"/>
        <v>1288</v>
      </c>
      <c r="B1289" s="54" t="s">
        <v>3409</v>
      </c>
      <c r="C1289" s="55" t="s">
        <v>3410</v>
      </c>
      <c r="D1289" s="54" t="s">
        <v>3302</v>
      </c>
      <c r="E1289" s="56">
        <v>0</v>
      </c>
      <c r="F1289" s="57" t="s">
        <v>792</v>
      </c>
      <c r="G1289" s="58">
        <v>377000</v>
      </c>
      <c r="H1289" s="59">
        <v>493730</v>
      </c>
      <c r="I1289" s="59">
        <f t="shared" si="40"/>
        <v>0</v>
      </c>
    </row>
    <row r="1290" spans="1:9" customFormat="1" x14ac:dyDescent="0.35">
      <c r="A1290" s="63">
        <f t="shared" si="41"/>
        <v>1289</v>
      </c>
      <c r="B1290" s="54" t="s">
        <v>3411</v>
      </c>
      <c r="C1290" s="55" t="s">
        <v>3412</v>
      </c>
      <c r="D1290" s="54" t="s">
        <v>3302</v>
      </c>
      <c r="E1290" s="56">
        <v>0</v>
      </c>
      <c r="F1290" s="57" t="s">
        <v>792</v>
      </c>
      <c r="G1290" s="58">
        <v>1227625</v>
      </c>
      <c r="H1290" s="59">
        <v>1610200</v>
      </c>
      <c r="I1290" s="59">
        <f t="shared" si="40"/>
        <v>0</v>
      </c>
    </row>
    <row r="1291" spans="1:9" customFormat="1" x14ac:dyDescent="0.35">
      <c r="A1291" s="63">
        <f t="shared" si="41"/>
        <v>1290</v>
      </c>
      <c r="B1291" s="54" t="s">
        <v>3413</v>
      </c>
      <c r="C1291" s="55" t="s">
        <v>3414</v>
      </c>
      <c r="D1291" s="54" t="s">
        <v>3302</v>
      </c>
      <c r="E1291" s="56">
        <v>0</v>
      </c>
      <c r="F1291" s="57" t="s">
        <v>792</v>
      </c>
      <c r="G1291" s="58">
        <v>80</v>
      </c>
      <c r="H1291" s="59">
        <v>100</v>
      </c>
      <c r="I1291" s="59">
        <f t="shared" si="40"/>
        <v>0</v>
      </c>
    </row>
    <row r="1292" spans="1:9" customFormat="1" ht="23" x14ac:dyDescent="0.35">
      <c r="A1292" s="63">
        <f t="shared" si="41"/>
        <v>1291</v>
      </c>
      <c r="B1292" s="54" t="s">
        <v>3415</v>
      </c>
      <c r="C1292" s="55" t="s">
        <v>3416</v>
      </c>
      <c r="D1292" s="54" t="s">
        <v>3302</v>
      </c>
      <c r="E1292" s="56">
        <v>0</v>
      </c>
      <c r="F1292" s="57" t="s">
        <v>878</v>
      </c>
      <c r="G1292" s="58">
        <v>525000</v>
      </c>
      <c r="H1292" s="59">
        <v>703250</v>
      </c>
      <c r="I1292" s="59">
        <f t="shared" si="40"/>
        <v>0</v>
      </c>
    </row>
    <row r="1293" spans="1:9" customFormat="1" ht="23" x14ac:dyDescent="0.35">
      <c r="A1293" s="63">
        <f t="shared" si="41"/>
        <v>1292</v>
      </c>
      <c r="B1293" s="54" t="s">
        <v>3417</v>
      </c>
      <c r="C1293" s="55" t="s">
        <v>3418</v>
      </c>
      <c r="D1293" s="54" t="s">
        <v>3302</v>
      </c>
      <c r="E1293" s="56">
        <v>0</v>
      </c>
      <c r="F1293" s="57" t="s">
        <v>878</v>
      </c>
      <c r="G1293" s="58">
        <v>1083000</v>
      </c>
      <c r="H1293" s="59">
        <v>1083000</v>
      </c>
      <c r="I1293" s="59">
        <f t="shared" si="40"/>
        <v>0</v>
      </c>
    </row>
    <row r="1294" spans="1:9" customFormat="1" x14ac:dyDescent="0.35">
      <c r="A1294" s="63">
        <f t="shared" si="41"/>
        <v>1293</v>
      </c>
      <c r="B1294" s="54" t="s">
        <v>3419</v>
      </c>
      <c r="C1294" s="55" t="s">
        <v>3420</v>
      </c>
      <c r="D1294" s="54" t="s">
        <v>3302</v>
      </c>
      <c r="E1294" s="56">
        <v>0</v>
      </c>
      <c r="F1294" s="57" t="s">
        <v>792</v>
      </c>
      <c r="G1294" s="58">
        <v>350700</v>
      </c>
      <c r="H1294" s="59">
        <v>696460</v>
      </c>
      <c r="I1294" s="59">
        <f t="shared" si="40"/>
        <v>0</v>
      </c>
    </row>
    <row r="1295" spans="1:9" customFormat="1" ht="23" x14ac:dyDescent="0.35">
      <c r="A1295" s="63">
        <f t="shared" si="41"/>
        <v>1294</v>
      </c>
      <c r="B1295" s="54" t="s">
        <v>3421</v>
      </c>
      <c r="C1295" s="55" t="s">
        <v>3422</v>
      </c>
      <c r="D1295" s="54" t="s">
        <v>3302</v>
      </c>
      <c r="E1295" s="56">
        <v>0</v>
      </c>
      <c r="F1295" s="57" t="s">
        <v>792</v>
      </c>
      <c r="G1295" s="58">
        <v>0</v>
      </c>
      <c r="H1295" s="59">
        <v>1403590</v>
      </c>
      <c r="I1295" s="59">
        <f t="shared" si="40"/>
        <v>0</v>
      </c>
    </row>
    <row r="1296" spans="1:9" customFormat="1" x14ac:dyDescent="0.35">
      <c r="A1296" s="63">
        <f t="shared" si="41"/>
        <v>1295</v>
      </c>
      <c r="B1296" s="54" t="s">
        <v>3423</v>
      </c>
      <c r="C1296" s="55" t="s">
        <v>3424</v>
      </c>
      <c r="D1296" s="54" t="s">
        <v>3302</v>
      </c>
      <c r="E1296" s="56">
        <v>0</v>
      </c>
      <c r="F1296" s="57" t="s">
        <v>844</v>
      </c>
      <c r="G1296" s="58">
        <v>622523</v>
      </c>
      <c r="H1296" s="59">
        <v>905000</v>
      </c>
      <c r="I1296" s="59">
        <f t="shared" si="40"/>
        <v>0</v>
      </c>
    </row>
    <row r="1297" spans="1:9" customFormat="1" x14ac:dyDescent="0.35">
      <c r="A1297" s="63">
        <f t="shared" si="41"/>
        <v>1296</v>
      </c>
      <c r="B1297" s="54" t="s">
        <v>3425</v>
      </c>
      <c r="C1297" s="55" t="s">
        <v>3426</v>
      </c>
      <c r="D1297" s="54" t="s">
        <v>3302</v>
      </c>
      <c r="E1297" s="56">
        <v>0</v>
      </c>
      <c r="F1297" s="57" t="s">
        <v>844</v>
      </c>
      <c r="G1297" s="58">
        <v>1700000</v>
      </c>
      <c r="H1297" s="59">
        <v>1700000</v>
      </c>
      <c r="I1297" s="59">
        <f t="shared" si="40"/>
        <v>0</v>
      </c>
    </row>
    <row r="1298" spans="1:9" customFormat="1" x14ac:dyDescent="0.35">
      <c r="A1298" s="63">
        <f t="shared" si="41"/>
        <v>1297</v>
      </c>
      <c r="B1298" s="54" t="s">
        <v>3427</v>
      </c>
      <c r="C1298" s="55" t="s">
        <v>3428</v>
      </c>
      <c r="D1298" s="54" t="s">
        <v>3302</v>
      </c>
      <c r="E1298" s="56">
        <v>0</v>
      </c>
      <c r="F1298" s="57" t="s">
        <v>792</v>
      </c>
      <c r="G1298" s="58">
        <v>533000</v>
      </c>
      <c r="H1298" s="59">
        <v>672210</v>
      </c>
      <c r="I1298" s="59">
        <f t="shared" si="40"/>
        <v>0</v>
      </c>
    </row>
    <row r="1299" spans="1:9" customFormat="1" x14ac:dyDescent="0.35">
      <c r="A1299" s="63">
        <f t="shared" si="41"/>
        <v>1298</v>
      </c>
      <c r="B1299" s="54" t="s">
        <v>3429</v>
      </c>
      <c r="C1299" s="55" t="s">
        <v>3430</v>
      </c>
      <c r="D1299" s="54" t="s">
        <v>3302</v>
      </c>
      <c r="E1299" s="56">
        <v>0</v>
      </c>
      <c r="F1299" s="57" t="s">
        <v>792</v>
      </c>
      <c r="G1299" s="58">
        <v>9000</v>
      </c>
      <c r="H1299" s="59">
        <v>12500</v>
      </c>
      <c r="I1299" s="59">
        <f t="shared" si="40"/>
        <v>0</v>
      </c>
    </row>
    <row r="1300" spans="1:9" customFormat="1" x14ac:dyDescent="0.35">
      <c r="A1300" s="63">
        <f t="shared" si="41"/>
        <v>1299</v>
      </c>
      <c r="B1300" s="54" t="s">
        <v>3431</v>
      </c>
      <c r="C1300" s="55" t="s">
        <v>3432</v>
      </c>
      <c r="D1300" s="54" t="s">
        <v>3302</v>
      </c>
      <c r="E1300" s="56">
        <v>0</v>
      </c>
      <c r="F1300" s="57" t="s">
        <v>792</v>
      </c>
      <c r="G1300" s="58">
        <v>2805</v>
      </c>
      <c r="H1300" s="59">
        <v>5100</v>
      </c>
      <c r="I1300" s="59">
        <f t="shared" si="40"/>
        <v>0</v>
      </c>
    </row>
    <row r="1301" spans="1:9" customFormat="1" x14ac:dyDescent="0.35">
      <c r="A1301" s="63">
        <f t="shared" si="41"/>
        <v>1300</v>
      </c>
      <c r="B1301" s="54" t="s">
        <v>3433</v>
      </c>
      <c r="C1301" s="55" t="s">
        <v>3434</v>
      </c>
      <c r="D1301" s="54" t="s">
        <v>3302</v>
      </c>
      <c r="E1301" s="56">
        <v>0</v>
      </c>
      <c r="F1301" s="57" t="s">
        <v>792</v>
      </c>
      <c r="G1301" s="58">
        <v>185</v>
      </c>
      <c r="H1301" s="59">
        <v>320</v>
      </c>
      <c r="I1301" s="59">
        <f t="shared" si="40"/>
        <v>0</v>
      </c>
    </row>
    <row r="1302" spans="1:9" customFormat="1" x14ac:dyDescent="0.35">
      <c r="A1302" s="63">
        <f t="shared" si="41"/>
        <v>1301</v>
      </c>
      <c r="B1302" s="54" t="s">
        <v>3435</v>
      </c>
      <c r="C1302" s="55" t="s">
        <v>3436</v>
      </c>
      <c r="D1302" s="54" t="s">
        <v>3302</v>
      </c>
      <c r="E1302" s="56">
        <v>0</v>
      </c>
      <c r="F1302" s="57" t="s">
        <v>792</v>
      </c>
      <c r="G1302" s="58">
        <v>0</v>
      </c>
      <c r="H1302" s="59">
        <v>0</v>
      </c>
      <c r="I1302" s="59">
        <f t="shared" si="40"/>
        <v>0</v>
      </c>
    </row>
    <row r="1303" spans="1:9" customFormat="1" x14ac:dyDescent="0.35">
      <c r="A1303" s="63">
        <f t="shared" si="41"/>
        <v>1302</v>
      </c>
      <c r="B1303" s="54" t="s">
        <v>3437</v>
      </c>
      <c r="C1303" s="55" t="s">
        <v>3438</v>
      </c>
      <c r="D1303" s="54" t="s">
        <v>3302</v>
      </c>
      <c r="E1303" s="56">
        <v>0</v>
      </c>
      <c r="F1303" s="57" t="s">
        <v>792</v>
      </c>
      <c r="G1303" s="58">
        <v>0</v>
      </c>
      <c r="H1303" s="59">
        <v>0</v>
      </c>
      <c r="I1303" s="59">
        <f t="shared" si="40"/>
        <v>0</v>
      </c>
    </row>
    <row r="1304" spans="1:9" customFormat="1" x14ac:dyDescent="0.35">
      <c r="A1304" s="63">
        <f t="shared" si="41"/>
        <v>1303</v>
      </c>
      <c r="B1304" s="54" t="s">
        <v>3439</v>
      </c>
      <c r="C1304" s="55" t="s">
        <v>3440</v>
      </c>
      <c r="D1304" s="54" t="s">
        <v>3302</v>
      </c>
      <c r="E1304" s="56">
        <v>0</v>
      </c>
      <c r="F1304" s="57" t="s">
        <v>870</v>
      </c>
      <c r="G1304" s="58">
        <v>65000</v>
      </c>
      <c r="H1304" s="59">
        <v>85360</v>
      </c>
      <c r="I1304" s="59">
        <f t="shared" si="40"/>
        <v>0</v>
      </c>
    </row>
    <row r="1305" spans="1:9" customFormat="1" x14ac:dyDescent="0.35">
      <c r="A1305" s="63">
        <f t="shared" si="41"/>
        <v>1304</v>
      </c>
      <c r="B1305" s="54" t="s">
        <v>3441</v>
      </c>
      <c r="C1305" s="55" t="s">
        <v>3442</v>
      </c>
      <c r="D1305" s="54" t="s">
        <v>3302</v>
      </c>
      <c r="E1305" s="56">
        <v>0</v>
      </c>
      <c r="F1305" s="57" t="s">
        <v>792</v>
      </c>
      <c r="G1305" s="58">
        <v>166500</v>
      </c>
      <c r="H1305" s="59">
        <v>192375</v>
      </c>
      <c r="I1305" s="59">
        <f t="shared" si="40"/>
        <v>0</v>
      </c>
    </row>
    <row r="1306" spans="1:9" customFormat="1" x14ac:dyDescent="0.35">
      <c r="A1306" s="63">
        <f t="shared" si="41"/>
        <v>1305</v>
      </c>
      <c r="B1306" s="54" t="s">
        <v>3443</v>
      </c>
      <c r="C1306" s="55" t="s">
        <v>3444</v>
      </c>
      <c r="D1306" s="54" t="s">
        <v>3302</v>
      </c>
      <c r="E1306" s="56">
        <v>0</v>
      </c>
      <c r="F1306" s="57" t="s">
        <v>815</v>
      </c>
      <c r="G1306" s="58">
        <v>285000</v>
      </c>
      <c r="H1306" s="59">
        <v>373450</v>
      </c>
      <c r="I1306" s="59">
        <f t="shared" si="40"/>
        <v>0</v>
      </c>
    </row>
    <row r="1307" spans="1:9" customFormat="1" x14ac:dyDescent="0.35">
      <c r="A1307" s="63">
        <f t="shared" si="41"/>
        <v>1306</v>
      </c>
      <c r="B1307" s="54" t="s">
        <v>3445</v>
      </c>
      <c r="C1307" s="55" t="s">
        <v>3446</v>
      </c>
      <c r="D1307" s="54" t="s">
        <v>3302</v>
      </c>
      <c r="E1307" s="56">
        <v>0</v>
      </c>
      <c r="F1307" s="57" t="s">
        <v>792</v>
      </c>
      <c r="G1307" s="58">
        <v>64000</v>
      </c>
      <c r="H1307" s="59">
        <v>94080</v>
      </c>
      <c r="I1307" s="59">
        <f t="shared" si="40"/>
        <v>0</v>
      </c>
    </row>
    <row r="1308" spans="1:9" customFormat="1" x14ac:dyDescent="0.35">
      <c r="A1308" s="63">
        <f t="shared" si="41"/>
        <v>1307</v>
      </c>
      <c r="B1308" s="54" t="s">
        <v>3447</v>
      </c>
      <c r="C1308" s="55" t="s">
        <v>3448</v>
      </c>
      <c r="D1308" s="54" t="s">
        <v>3302</v>
      </c>
      <c r="E1308" s="56">
        <v>0</v>
      </c>
      <c r="F1308" s="57" t="s">
        <v>792</v>
      </c>
      <c r="G1308" s="58">
        <v>100</v>
      </c>
      <c r="H1308" s="59">
        <v>170</v>
      </c>
      <c r="I1308" s="59">
        <f t="shared" si="40"/>
        <v>0</v>
      </c>
    </row>
    <row r="1309" spans="1:9" customFormat="1" x14ac:dyDescent="0.35">
      <c r="A1309" s="63">
        <f t="shared" si="41"/>
        <v>1308</v>
      </c>
      <c r="B1309" s="54" t="s">
        <v>3449</v>
      </c>
      <c r="C1309" s="55" t="s">
        <v>3450</v>
      </c>
      <c r="D1309" s="54" t="s">
        <v>3302</v>
      </c>
      <c r="E1309" s="56">
        <v>0</v>
      </c>
      <c r="F1309" s="57" t="s">
        <v>792</v>
      </c>
      <c r="G1309" s="58">
        <v>150</v>
      </c>
      <c r="H1309" s="59">
        <v>255</v>
      </c>
      <c r="I1309" s="59">
        <f t="shared" si="40"/>
        <v>0</v>
      </c>
    </row>
    <row r="1310" spans="1:9" customFormat="1" x14ac:dyDescent="0.35">
      <c r="A1310" s="63">
        <f t="shared" si="41"/>
        <v>1309</v>
      </c>
      <c r="B1310" s="54" t="s">
        <v>3451</v>
      </c>
      <c r="C1310" s="55" t="s">
        <v>3452</v>
      </c>
      <c r="D1310" s="54" t="s">
        <v>3302</v>
      </c>
      <c r="E1310" s="56">
        <v>0</v>
      </c>
      <c r="F1310" s="57" t="s">
        <v>792</v>
      </c>
      <c r="G1310" s="58">
        <v>152</v>
      </c>
      <c r="H1310" s="59">
        <v>455</v>
      </c>
      <c r="I1310" s="59">
        <f t="shared" si="40"/>
        <v>0</v>
      </c>
    </row>
    <row r="1311" spans="1:9" customFormat="1" x14ac:dyDescent="0.35">
      <c r="A1311" s="63">
        <f t="shared" si="41"/>
        <v>1310</v>
      </c>
      <c r="B1311" s="54" t="s">
        <v>3453</v>
      </c>
      <c r="C1311" s="55" t="s">
        <v>3454</v>
      </c>
      <c r="D1311" s="54" t="s">
        <v>3302</v>
      </c>
      <c r="E1311" s="56">
        <v>0</v>
      </c>
      <c r="F1311" s="57" t="s">
        <v>792</v>
      </c>
      <c r="G1311" s="58">
        <v>100000</v>
      </c>
      <c r="H1311" s="59">
        <v>100000</v>
      </c>
      <c r="I1311" s="59">
        <f t="shared" si="40"/>
        <v>0</v>
      </c>
    </row>
    <row r="1312" spans="1:9" customFormat="1" ht="23" x14ac:dyDescent="0.35">
      <c r="A1312" s="63">
        <f t="shared" si="41"/>
        <v>1311</v>
      </c>
      <c r="B1312" s="54" t="s">
        <v>3455</v>
      </c>
      <c r="C1312" s="55" t="s">
        <v>3456</v>
      </c>
      <c r="D1312" s="54" t="s">
        <v>3302</v>
      </c>
      <c r="E1312" s="56">
        <v>0</v>
      </c>
      <c r="F1312" s="57" t="s">
        <v>792</v>
      </c>
      <c r="G1312" s="58">
        <v>65000</v>
      </c>
      <c r="H1312" s="59">
        <v>85000</v>
      </c>
      <c r="I1312" s="59">
        <f t="shared" si="40"/>
        <v>0</v>
      </c>
    </row>
    <row r="1313" spans="1:9" customFormat="1" ht="23" x14ac:dyDescent="0.35">
      <c r="A1313" s="63">
        <f t="shared" si="41"/>
        <v>1312</v>
      </c>
      <c r="B1313" s="54" t="s">
        <v>3457</v>
      </c>
      <c r="C1313" s="55" t="s">
        <v>3458</v>
      </c>
      <c r="D1313" s="54" t="s">
        <v>3302</v>
      </c>
      <c r="E1313" s="56">
        <v>0</v>
      </c>
      <c r="F1313" s="57" t="s">
        <v>815</v>
      </c>
      <c r="G1313" s="58">
        <v>163000</v>
      </c>
      <c r="H1313" s="59">
        <v>216310</v>
      </c>
      <c r="I1313" s="59">
        <f t="shared" si="40"/>
        <v>0</v>
      </c>
    </row>
    <row r="1314" spans="1:9" customFormat="1" ht="23" x14ac:dyDescent="0.35">
      <c r="A1314" s="63">
        <f t="shared" si="41"/>
        <v>1313</v>
      </c>
      <c r="B1314" s="54" t="s">
        <v>3459</v>
      </c>
      <c r="C1314" s="55" t="s">
        <v>3460</v>
      </c>
      <c r="D1314" s="54" t="s">
        <v>3302</v>
      </c>
      <c r="E1314" s="56">
        <v>0</v>
      </c>
      <c r="F1314" s="57" t="s">
        <v>815</v>
      </c>
      <c r="G1314" s="58">
        <v>163000</v>
      </c>
      <c r="H1314" s="59">
        <v>216310</v>
      </c>
      <c r="I1314" s="59">
        <f t="shared" si="40"/>
        <v>0</v>
      </c>
    </row>
    <row r="1315" spans="1:9" customFormat="1" ht="23" x14ac:dyDescent="0.35">
      <c r="A1315" s="63">
        <f t="shared" si="41"/>
        <v>1314</v>
      </c>
      <c r="B1315" s="54" t="s">
        <v>3461</v>
      </c>
      <c r="C1315" s="55" t="s">
        <v>3462</v>
      </c>
      <c r="D1315" s="54" t="s">
        <v>3302</v>
      </c>
      <c r="E1315" s="56">
        <v>0</v>
      </c>
      <c r="F1315" s="57" t="s">
        <v>815</v>
      </c>
      <c r="G1315" s="58">
        <v>163000</v>
      </c>
      <c r="H1315" s="59">
        <v>216310</v>
      </c>
      <c r="I1315" s="59">
        <f t="shared" si="40"/>
        <v>0</v>
      </c>
    </row>
    <row r="1316" spans="1:9" customFormat="1" ht="23" x14ac:dyDescent="0.35">
      <c r="A1316" s="63">
        <f t="shared" si="41"/>
        <v>1315</v>
      </c>
      <c r="B1316" s="54" t="s">
        <v>3463</v>
      </c>
      <c r="C1316" s="55" t="s">
        <v>3464</v>
      </c>
      <c r="D1316" s="54" t="s">
        <v>3302</v>
      </c>
      <c r="E1316" s="56">
        <v>0</v>
      </c>
      <c r="F1316" s="57" t="s">
        <v>815</v>
      </c>
      <c r="G1316" s="58">
        <v>163000</v>
      </c>
      <c r="H1316" s="59">
        <v>216310</v>
      </c>
      <c r="I1316" s="59">
        <f t="shared" si="40"/>
        <v>0</v>
      </c>
    </row>
    <row r="1317" spans="1:9" customFormat="1" ht="23" x14ac:dyDescent="0.35">
      <c r="A1317" s="63">
        <f t="shared" si="41"/>
        <v>1316</v>
      </c>
      <c r="B1317" s="54" t="s">
        <v>3465</v>
      </c>
      <c r="C1317" s="55" t="s">
        <v>3466</v>
      </c>
      <c r="D1317" s="54" t="s">
        <v>3302</v>
      </c>
      <c r="E1317" s="56">
        <v>0</v>
      </c>
      <c r="F1317" s="57" t="s">
        <v>792</v>
      </c>
      <c r="G1317" s="58">
        <v>150000</v>
      </c>
      <c r="H1317" s="59">
        <v>207360</v>
      </c>
      <c r="I1317" s="59">
        <f t="shared" si="40"/>
        <v>0</v>
      </c>
    </row>
    <row r="1318" spans="1:9" customFormat="1" x14ac:dyDescent="0.35">
      <c r="A1318" s="63">
        <f t="shared" si="41"/>
        <v>1317</v>
      </c>
      <c r="B1318" s="54" t="s">
        <v>3467</v>
      </c>
      <c r="C1318" s="55" t="s">
        <v>3468</v>
      </c>
      <c r="D1318" s="54" t="s">
        <v>3302</v>
      </c>
      <c r="E1318" s="56">
        <v>0</v>
      </c>
      <c r="F1318" s="57" t="s">
        <v>792</v>
      </c>
      <c r="G1318" s="58">
        <v>186800</v>
      </c>
      <c r="H1318" s="59">
        <v>274596</v>
      </c>
      <c r="I1318" s="59">
        <f t="shared" si="40"/>
        <v>0</v>
      </c>
    </row>
    <row r="1319" spans="1:9" customFormat="1" x14ac:dyDescent="0.35">
      <c r="A1319" s="63">
        <f t="shared" si="41"/>
        <v>1318</v>
      </c>
      <c r="B1319" s="54" t="s">
        <v>3469</v>
      </c>
      <c r="C1319" s="55" t="s">
        <v>3470</v>
      </c>
      <c r="D1319" s="54" t="s">
        <v>3302</v>
      </c>
      <c r="E1319" s="56">
        <v>0</v>
      </c>
      <c r="F1319" s="57" t="s">
        <v>792</v>
      </c>
      <c r="G1319" s="58">
        <v>15000</v>
      </c>
      <c r="H1319" s="59">
        <v>26000</v>
      </c>
      <c r="I1319" s="59">
        <f t="shared" si="40"/>
        <v>0</v>
      </c>
    </row>
    <row r="1320" spans="1:9" customFormat="1" x14ac:dyDescent="0.35">
      <c r="A1320" s="63">
        <f t="shared" si="41"/>
        <v>1319</v>
      </c>
      <c r="B1320" s="54" t="s">
        <v>3471</v>
      </c>
      <c r="C1320" s="55" t="s">
        <v>3472</v>
      </c>
      <c r="D1320" s="54" t="s">
        <v>3302</v>
      </c>
      <c r="E1320" s="56">
        <v>0</v>
      </c>
      <c r="F1320" s="57" t="s">
        <v>792</v>
      </c>
      <c r="G1320" s="58">
        <v>75000</v>
      </c>
      <c r="H1320" s="59">
        <v>98940</v>
      </c>
      <c r="I1320" s="59">
        <f t="shared" si="40"/>
        <v>0</v>
      </c>
    </row>
    <row r="1321" spans="1:9" customFormat="1" x14ac:dyDescent="0.35">
      <c r="A1321" s="63">
        <f t="shared" si="41"/>
        <v>1320</v>
      </c>
      <c r="B1321" s="54" t="s">
        <v>3473</v>
      </c>
      <c r="C1321" s="55" t="s">
        <v>3474</v>
      </c>
      <c r="D1321" s="54" t="s">
        <v>3302</v>
      </c>
      <c r="E1321" s="56">
        <v>0</v>
      </c>
      <c r="F1321" s="57" t="s">
        <v>792</v>
      </c>
      <c r="G1321" s="58">
        <v>65000</v>
      </c>
      <c r="H1321" s="59">
        <v>85360</v>
      </c>
      <c r="I1321" s="59">
        <f t="shared" si="40"/>
        <v>0</v>
      </c>
    </row>
    <row r="1322" spans="1:9" customFormat="1" x14ac:dyDescent="0.35">
      <c r="A1322" s="63">
        <f t="shared" si="41"/>
        <v>1321</v>
      </c>
      <c r="B1322" s="54" t="s">
        <v>3475</v>
      </c>
      <c r="C1322" s="55" t="s">
        <v>3476</v>
      </c>
      <c r="D1322" s="54" t="s">
        <v>3302</v>
      </c>
      <c r="E1322" s="56">
        <v>0</v>
      </c>
      <c r="F1322" s="57" t="s">
        <v>792</v>
      </c>
      <c r="G1322" s="58">
        <v>190000</v>
      </c>
      <c r="H1322" s="59">
        <v>249290</v>
      </c>
      <c r="I1322" s="59">
        <f t="shared" si="40"/>
        <v>0</v>
      </c>
    </row>
    <row r="1323" spans="1:9" customFormat="1" ht="23" x14ac:dyDescent="0.35">
      <c r="A1323" s="63">
        <f t="shared" si="41"/>
        <v>1322</v>
      </c>
      <c r="B1323" s="54" t="s">
        <v>3477</v>
      </c>
      <c r="C1323" s="55" t="s">
        <v>3478</v>
      </c>
      <c r="D1323" s="54" t="s">
        <v>3302</v>
      </c>
      <c r="E1323" s="56">
        <v>0</v>
      </c>
      <c r="F1323" s="57" t="s">
        <v>977</v>
      </c>
      <c r="G1323" s="58">
        <v>60000</v>
      </c>
      <c r="H1323" s="59">
        <v>88200</v>
      </c>
      <c r="I1323" s="59">
        <f t="shared" si="40"/>
        <v>0</v>
      </c>
    </row>
    <row r="1324" spans="1:9" customFormat="1" x14ac:dyDescent="0.35">
      <c r="A1324" s="63">
        <f t="shared" si="41"/>
        <v>1323</v>
      </c>
      <c r="B1324" s="54" t="s">
        <v>3479</v>
      </c>
      <c r="C1324" s="55" t="s">
        <v>3480</v>
      </c>
      <c r="D1324" s="54" t="s">
        <v>3302</v>
      </c>
      <c r="E1324" s="56">
        <v>0</v>
      </c>
      <c r="F1324" s="57" t="s">
        <v>792</v>
      </c>
      <c r="G1324" s="58">
        <v>71452.7</v>
      </c>
      <c r="H1324" s="59">
        <v>116865</v>
      </c>
      <c r="I1324" s="59">
        <f t="shared" si="40"/>
        <v>0</v>
      </c>
    </row>
    <row r="1325" spans="1:9" customFormat="1" x14ac:dyDescent="0.35">
      <c r="A1325" s="63">
        <f t="shared" si="41"/>
        <v>1324</v>
      </c>
      <c r="B1325" s="54" t="s">
        <v>3481</v>
      </c>
      <c r="C1325" s="55" t="s">
        <v>3482</v>
      </c>
      <c r="D1325" s="54" t="s">
        <v>3483</v>
      </c>
      <c r="E1325" s="56">
        <v>0</v>
      </c>
      <c r="F1325" s="57" t="s">
        <v>844</v>
      </c>
      <c r="G1325" s="58">
        <v>365000</v>
      </c>
      <c r="H1325" s="59">
        <v>402800</v>
      </c>
      <c r="I1325" s="59">
        <f t="shared" si="40"/>
        <v>0</v>
      </c>
    </row>
    <row r="1326" spans="1:9" customFormat="1" x14ac:dyDescent="0.35">
      <c r="A1326" s="63">
        <f t="shared" si="41"/>
        <v>1325</v>
      </c>
      <c r="B1326" s="54" t="s">
        <v>3484</v>
      </c>
      <c r="C1326" s="55" t="s">
        <v>3485</v>
      </c>
      <c r="D1326" s="54" t="s">
        <v>3483</v>
      </c>
      <c r="E1326" s="56">
        <v>0</v>
      </c>
      <c r="F1326" s="57" t="s">
        <v>844</v>
      </c>
      <c r="G1326" s="58">
        <v>170000</v>
      </c>
      <c r="H1326" s="59">
        <v>402800</v>
      </c>
      <c r="I1326" s="59">
        <f t="shared" si="40"/>
        <v>0</v>
      </c>
    </row>
    <row r="1327" spans="1:9" customFormat="1" x14ac:dyDescent="0.35">
      <c r="A1327" s="63">
        <f t="shared" si="41"/>
        <v>1326</v>
      </c>
      <c r="B1327" s="54" t="s">
        <v>3486</v>
      </c>
      <c r="C1327" s="55" t="s">
        <v>3487</v>
      </c>
      <c r="D1327" s="54" t="s">
        <v>3483</v>
      </c>
      <c r="E1327" s="56">
        <v>0</v>
      </c>
      <c r="F1327" s="57" t="s">
        <v>844</v>
      </c>
      <c r="G1327" s="58">
        <v>0</v>
      </c>
      <c r="H1327" s="59">
        <v>23474000</v>
      </c>
      <c r="I1327" s="59">
        <f t="shared" si="40"/>
        <v>0</v>
      </c>
    </row>
    <row r="1328" spans="1:9" customFormat="1" x14ac:dyDescent="0.35">
      <c r="A1328" s="63">
        <f t="shared" si="41"/>
        <v>1327</v>
      </c>
      <c r="B1328" s="54" t="s">
        <v>3488</v>
      </c>
      <c r="C1328" s="55" t="s">
        <v>3489</v>
      </c>
      <c r="D1328" s="54" t="s">
        <v>3483</v>
      </c>
      <c r="E1328" s="56">
        <v>0</v>
      </c>
      <c r="F1328" s="57" t="s">
        <v>844</v>
      </c>
      <c r="G1328" s="58">
        <v>0</v>
      </c>
      <c r="H1328" s="59">
        <v>3395000</v>
      </c>
      <c r="I1328" s="59">
        <f t="shared" si="40"/>
        <v>0</v>
      </c>
    </row>
    <row r="1329" spans="1:9" customFormat="1" x14ac:dyDescent="0.35">
      <c r="A1329" s="63">
        <f t="shared" si="41"/>
        <v>1328</v>
      </c>
      <c r="B1329" s="54" t="s">
        <v>3490</v>
      </c>
      <c r="C1329" s="55" t="s">
        <v>3491</v>
      </c>
      <c r="D1329" s="54" t="s">
        <v>3492</v>
      </c>
      <c r="E1329" s="56">
        <v>0</v>
      </c>
      <c r="F1329" s="57" t="s">
        <v>969</v>
      </c>
      <c r="G1329" s="58">
        <v>0</v>
      </c>
      <c r="H1329" s="59">
        <v>120000</v>
      </c>
      <c r="I1329" s="59">
        <f t="shared" si="40"/>
        <v>0</v>
      </c>
    </row>
    <row r="1330" spans="1:9" customFormat="1" x14ac:dyDescent="0.35">
      <c r="A1330" s="63">
        <f t="shared" si="41"/>
        <v>1329</v>
      </c>
      <c r="B1330" s="54" t="s">
        <v>3493</v>
      </c>
      <c r="C1330" s="55" t="s">
        <v>3494</v>
      </c>
      <c r="D1330" s="54" t="s">
        <v>3492</v>
      </c>
      <c r="E1330" s="56">
        <v>0</v>
      </c>
      <c r="F1330" s="57" t="s">
        <v>792</v>
      </c>
      <c r="G1330" s="58">
        <v>750</v>
      </c>
      <c r="H1330" s="59">
        <v>750</v>
      </c>
      <c r="I1330" s="59">
        <f t="shared" si="40"/>
        <v>0</v>
      </c>
    </row>
    <row r="1331" spans="1:9" customFormat="1" x14ac:dyDescent="0.35">
      <c r="A1331" s="63">
        <f t="shared" si="41"/>
        <v>1330</v>
      </c>
      <c r="B1331" s="54" t="s">
        <v>3495</v>
      </c>
      <c r="C1331" s="55" t="s">
        <v>3496</v>
      </c>
      <c r="D1331" s="54" t="s">
        <v>3492</v>
      </c>
      <c r="E1331" s="56">
        <v>0</v>
      </c>
      <c r="F1331" s="57" t="s">
        <v>792</v>
      </c>
      <c r="G1331" s="58">
        <v>10000</v>
      </c>
      <c r="H1331" s="59">
        <v>11900</v>
      </c>
      <c r="I1331" s="59">
        <f t="shared" si="40"/>
        <v>0</v>
      </c>
    </row>
    <row r="1332" spans="1:9" customFormat="1" x14ac:dyDescent="0.35">
      <c r="A1332" s="63">
        <f t="shared" si="41"/>
        <v>1331</v>
      </c>
      <c r="B1332" s="54" t="s">
        <v>3497</v>
      </c>
      <c r="C1332" s="55" t="s">
        <v>3498</v>
      </c>
      <c r="D1332" s="54" t="s">
        <v>3499</v>
      </c>
      <c r="E1332" s="56">
        <v>0</v>
      </c>
      <c r="F1332" s="57" t="s">
        <v>1217</v>
      </c>
      <c r="G1332" s="58">
        <v>62500</v>
      </c>
      <c r="H1332" s="59">
        <v>88000</v>
      </c>
      <c r="I1332" s="59">
        <f t="shared" si="40"/>
        <v>0</v>
      </c>
    </row>
    <row r="1333" spans="1:9" customFormat="1" x14ac:dyDescent="0.35">
      <c r="A1333" s="63">
        <f t="shared" si="41"/>
        <v>1332</v>
      </c>
      <c r="B1333" s="54" t="s">
        <v>3500</v>
      </c>
      <c r="C1333" s="55" t="s">
        <v>3501</v>
      </c>
      <c r="D1333" s="54" t="s">
        <v>3499</v>
      </c>
      <c r="E1333" s="56">
        <v>0</v>
      </c>
      <c r="F1333" s="57" t="s">
        <v>1217</v>
      </c>
      <c r="G1333" s="58">
        <v>400000</v>
      </c>
      <c r="H1333" s="59">
        <v>540000</v>
      </c>
      <c r="I1333" s="59">
        <f t="shared" si="40"/>
        <v>0</v>
      </c>
    </row>
    <row r="1334" spans="1:9" customFormat="1" x14ac:dyDescent="0.35">
      <c r="A1334" s="63">
        <f t="shared" si="41"/>
        <v>1333</v>
      </c>
      <c r="B1334" s="54" t="s">
        <v>3502</v>
      </c>
      <c r="C1334" s="55" t="s">
        <v>3503</v>
      </c>
      <c r="D1334" s="54" t="s">
        <v>3499</v>
      </c>
      <c r="E1334" s="56">
        <v>0</v>
      </c>
      <c r="F1334" s="57" t="s">
        <v>1217</v>
      </c>
      <c r="G1334" s="58">
        <v>300000</v>
      </c>
      <c r="H1334" s="59">
        <v>405000</v>
      </c>
      <c r="I1334" s="59">
        <f t="shared" si="40"/>
        <v>0</v>
      </c>
    </row>
    <row r="1335" spans="1:9" customFormat="1" x14ac:dyDescent="0.35">
      <c r="A1335" s="63">
        <f t="shared" si="41"/>
        <v>1334</v>
      </c>
      <c r="B1335" s="54" t="s">
        <v>3504</v>
      </c>
      <c r="C1335" s="55" t="s">
        <v>3505</v>
      </c>
      <c r="D1335" s="54" t="s">
        <v>3499</v>
      </c>
      <c r="E1335" s="56">
        <v>0</v>
      </c>
      <c r="F1335" s="57" t="s">
        <v>1217</v>
      </c>
      <c r="G1335" s="58">
        <v>57710</v>
      </c>
      <c r="H1335" s="59">
        <v>270000</v>
      </c>
      <c r="I1335" s="59">
        <f t="shared" si="40"/>
        <v>0</v>
      </c>
    </row>
    <row r="1336" spans="1:9" customFormat="1" x14ac:dyDescent="0.35">
      <c r="A1336" s="63">
        <f t="shared" si="41"/>
        <v>1335</v>
      </c>
      <c r="B1336" s="54" t="s">
        <v>3506</v>
      </c>
      <c r="C1336" s="55" t="s">
        <v>3507</v>
      </c>
      <c r="D1336" s="54" t="s">
        <v>3499</v>
      </c>
      <c r="E1336" s="56">
        <v>0</v>
      </c>
      <c r="F1336" s="57" t="s">
        <v>870</v>
      </c>
      <c r="G1336" s="58">
        <v>26230</v>
      </c>
      <c r="H1336" s="59">
        <v>33300</v>
      </c>
      <c r="I1336" s="59">
        <f t="shared" si="40"/>
        <v>0</v>
      </c>
    </row>
    <row r="1337" spans="1:9" customFormat="1" x14ac:dyDescent="0.35">
      <c r="A1337" s="63">
        <f t="shared" si="41"/>
        <v>1336</v>
      </c>
      <c r="B1337" s="54" t="s">
        <v>3508</v>
      </c>
      <c r="C1337" s="55" t="s">
        <v>3509</v>
      </c>
      <c r="D1337" s="54" t="s">
        <v>3499</v>
      </c>
      <c r="E1337" s="56">
        <v>0</v>
      </c>
      <c r="F1337" s="57" t="s">
        <v>994</v>
      </c>
      <c r="G1337" s="58">
        <v>11238</v>
      </c>
      <c r="H1337" s="59">
        <v>41850</v>
      </c>
      <c r="I1337" s="59">
        <f t="shared" si="40"/>
        <v>0</v>
      </c>
    </row>
    <row r="1338" spans="1:9" customFormat="1" x14ac:dyDescent="0.35">
      <c r="A1338" s="63">
        <f t="shared" si="41"/>
        <v>1337</v>
      </c>
      <c r="B1338" s="54" t="s">
        <v>3510</v>
      </c>
      <c r="C1338" s="55" t="s">
        <v>3511</v>
      </c>
      <c r="D1338" s="54" t="s">
        <v>3499</v>
      </c>
      <c r="E1338" s="56">
        <v>0</v>
      </c>
      <c r="F1338" s="57" t="s">
        <v>994</v>
      </c>
      <c r="G1338" s="58">
        <v>0</v>
      </c>
      <c r="H1338" s="59">
        <v>448875</v>
      </c>
      <c r="I1338" s="59">
        <f t="shared" si="40"/>
        <v>0</v>
      </c>
    </row>
    <row r="1339" spans="1:9" customFormat="1" x14ac:dyDescent="0.35">
      <c r="A1339" s="63">
        <f t="shared" si="41"/>
        <v>1338</v>
      </c>
      <c r="B1339" s="54" t="s">
        <v>3512</v>
      </c>
      <c r="C1339" s="55" t="s">
        <v>3513</v>
      </c>
      <c r="D1339" s="54" t="s">
        <v>3499</v>
      </c>
      <c r="E1339" s="56">
        <v>0</v>
      </c>
      <c r="F1339" s="57" t="s">
        <v>994</v>
      </c>
      <c r="G1339" s="58">
        <v>0</v>
      </c>
      <c r="H1339" s="59">
        <v>94500</v>
      </c>
      <c r="I1339" s="59">
        <f t="shared" si="40"/>
        <v>0</v>
      </c>
    </row>
    <row r="1340" spans="1:9" customFormat="1" x14ac:dyDescent="0.35">
      <c r="A1340" s="63">
        <f t="shared" si="41"/>
        <v>1339</v>
      </c>
      <c r="B1340" s="54" t="s">
        <v>3514</v>
      </c>
      <c r="C1340" s="55" t="s">
        <v>3515</v>
      </c>
      <c r="D1340" s="54" t="s">
        <v>3499</v>
      </c>
      <c r="E1340" s="56">
        <v>0</v>
      </c>
      <c r="F1340" s="57" t="s">
        <v>994</v>
      </c>
      <c r="G1340" s="58">
        <v>0</v>
      </c>
      <c r="H1340" s="59">
        <v>273173</v>
      </c>
      <c r="I1340" s="59">
        <f t="shared" si="40"/>
        <v>0</v>
      </c>
    </row>
    <row r="1341" spans="1:9" customFormat="1" x14ac:dyDescent="0.35">
      <c r="A1341" s="63">
        <f t="shared" si="41"/>
        <v>1340</v>
      </c>
      <c r="B1341" s="54" t="s">
        <v>3516</v>
      </c>
      <c r="C1341" s="55" t="s">
        <v>3517</v>
      </c>
      <c r="D1341" s="54" t="s">
        <v>3499</v>
      </c>
      <c r="E1341" s="56">
        <v>0</v>
      </c>
      <c r="F1341" s="57" t="s">
        <v>1217</v>
      </c>
      <c r="G1341" s="58">
        <v>70000</v>
      </c>
      <c r="H1341" s="59">
        <v>86500</v>
      </c>
      <c r="I1341" s="59">
        <f t="shared" si="40"/>
        <v>0</v>
      </c>
    </row>
    <row r="1342" spans="1:9" customFormat="1" x14ac:dyDescent="0.35">
      <c r="A1342" s="63">
        <f t="shared" si="41"/>
        <v>1341</v>
      </c>
      <c r="B1342" s="54" t="s">
        <v>3518</v>
      </c>
      <c r="C1342" s="55" t="s">
        <v>3519</v>
      </c>
      <c r="D1342" s="54" t="s">
        <v>3499</v>
      </c>
      <c r="E1342" s="56">
        <v>0</v>
      </c>
      <c r="F1342" s="57" t="s">
        <v>1217</v>
      </c>
      <c r="G1342" s="58">
        <v>2650</v>
      </c>
      <c r="H1342" s="59">
        <v>3600</v>
      </c>
      <c r="I1342" s="59">
        <f t="shared" si="40"/>
        <v>0</v>
      </c>
    </row>
    <row r="1343" spans="1:9" customFormat="1" x14ac:dyDescent="0.35">
      <c r="A1343" s="63">
        <f t="shared" si="41"/>
        <v>1342</v>
      </c>
      <c r="B1343" s="54" t="s">
        <v>3520</v>
      </c>
      <c r="C1343" s="55" t="s">
        <v>3521</v>
      </c>
      <c r="D1343" s="54" t="s">
        <v>3499</v>
      </c>
      <c r="E1343" s="56">
        <v>0</v>
      </c>
      <c r="F1343" s="57" t="s">
        <v>878</v>
      </c>
      <c r="G1343" s="58">
        <v>127500</v>
      </c>
      <c r="H1343" s="59">
        <v>303750</v>
      </c>
      <c r="I1343" s="59">
        <f t="shared" si="40"/>
        <v>0</v>
      </c>
    </row>
    <row r="1344" spans="1:9" customFormat="1" x14ac:dyDescent="0.35">
      <c r="A1344" s="63">
        <f t="shared" si="41"/>
        <v>1343</v>
      </c>
      <c r="B1344" s="54" t="s">
        <v>3522</v>
      </c>
      <c r="C1344" s="55" t="s">
        <v>3523</v>
      </c>
      <c r="D1344" s="54" t="s">
        <v>3499</v>
      </c>
      <c r="E1344" s="56">
        <v>0</v>
      </c>
      <c r="F1344" s="57" t="s">
        <v>878</v>
      </c>
      <c r="G1344" s="58">
        <v>160000</v>
      </c>
      <c r="H1344" s="59">
        <v>195750</v>
      </c>
      <c r="I1344" s="59">
        <f t="shared" si="40"/>
        <v>0</v>
      </c>
    </row>
    <row r="1345" spans="1:9" customFormat="1" x14ac:dyDescent="0.35">
      <c r="A1345" s="63">
        <f t="shared" si="41"/>
        <v>1344</v>
      </c>
      <c r="B1345" s="54" t="s">
        <v>3524</v>
      </c>
      <c r="C1345" s="55" t="s">
        <v>3525</v>
      </c>
      <c r="D1345" s="54" t="s">
        <v>3499</v>
      </c>
      <c r="E1345" s="56">
        <v>0</v>
      </c>
      <c r="F1345" s="57" t="s">
        <v>1217</v>
      </c>
      <c r="G1345" s="58">
        <v>0</v>
      </c>
      <c r="H1345" s="59">
        <v>12825</v>
      </c>
      <c r="I1345" s="59">
        <f t="shared" si="40"/>
        <v>0</v>
      </c>
    </row>
    <row r="1346" spans="1:9" customFormat="1" x14ac:dyDescent="0.35">
      <c r="A1346" s="63">
        <f t="shared" si="41"/>
        <v>1345</v>
      </c>
      <c r="B1346" s="54" t="s">
        <v>3526</v>
      </c>
      <c r="C1346" s="55" t="s">
        <v>3527</v>
      </c>
      <c r="D1346" s="54" t="s">
        <v>3499</v>
      </c>
      <c r="E1346" s="56">
        <v>0</v>
      </c>
      <c r="F1346" s="57" t="s">
        <v>1217</v>
      </c>
      <c r="G1346" s="58">
        <v>0</v>
      </c>
      <c r="H1346" s="59">
        <v>5771</v>
      </c>
      <c r="I1346" s="59">
        <f t="shared" si="40"/>
        <v>0</v>
      </c>
    </row>
    <row r="1347" spans="1:9" customFormat="1" x14ac:dyDescent="0.35">
      <c r="A1347" s="63">
        <f t="shared" si="41"/>
        <v>1346</v>
      </c>
      <c r="B1347" s="54" t="s">
        <v>3528</v>
      </c>
      <c r="C1347" s="55" t="s">
        <v>3529</v>
      </c>
      <c r="D1347" s="54" t="s">
        <v>3499</v>
      </c>
      <c r="E1347" s="56">
        <v>0</v>
      </c>
      <c r="F1347" s="57" t="s">
        <v>792</v>
      </c>
      <c r="G1347" s="58">
        <v>0</v>
      </c>
      <c r="H1347" s="59">
        <v>40500</v>
      </c>
      <c r="I1347" s="59">
        <f t="shared" ref="I1347:I1410" si="42">H1347*E1347</f>
        <v>0</v>
      </c>
    </row>
    <row r="1348" spans="1:9" customFormat="1" x14ac:dyDescent="0.35">
      <c r="A1348" s="63">
        <f t="shared" ref="A1348:A1411" si="43">A1347+1</f>
        <v>1347</v>
      </c>
      <c r="B1348" s="54" t="s">
        <v>3530</v>
      </c>
      <c r="C1348" s="55" t="s">
        <v>3531</v>
      </c>
      <c r="D1348" s="54" t="s">
        <v>3499</v>
      </c>
      <c r="E1348" s="56">
        <v>0</v>
      </c>
      <c r="F1348" s="57" t="s">
        <v>792</v>
      </c>
      <c r="G1348" s="58">
        <v>0</v>
      </c>
      <c r="H1348" s="59">
        <v>40500</v>
      </c>
      <c r="I1348" s="59">
        <f t="shared" si="42"/>
        <v>0</v>
      </c>
    </row>
    <row r="1349" spans="1:9" customFormat="1" x14ac:dyDescent="0.35">
      <c r="A1349" s="63">
        <f t="shared" si="43"/>
        <v>1348</v>
      </c>
      <c r="B1349" s="54" t="s">
        <v>3532</v>
      </c>
      <c r="C1349" s="55" t="s">
        <v>3533</v>
      </c>
      <c r="D1349" s="54" t="s">
        <v>3499</v>
      </c>
      <c r="E1349" s="56">
        <v>0</v>
      </c>
      <c r="F1349" s="57" t="s">
        <v>1217</v>
      </c>
      <c r="G1349" s="58">
        <v>0</v>
      </c>
      <c r="H1349" s="59">
        <v>205200</v>
      </c>
      <c r="I1349" s="59">
        <f t="shared" si="42"/>
        <v>0</v>
      </c>
    </row>
    <row r="1350" spans="1:9" customFormat="1" x14ac:dyDescent="0.35">
      <c r="A1350" s="63">
        <f t="shared" si="43"/>
        <v>1349</v>
      </c>
      <c r="B1350" s="54" t="s">
        <v>3534</v>
      </c>
      <c r="C1350" s="55" t="s">
        <v>3535</v>
      </c>
      <c r="D1350" s="54" t="s">
        <v>3499</v>
      </c>
      <c r="E1350" s="56">
        <v>0</v>
      </c>
      <c r="F1350" s="57" t="s">
        <v>1217</v>
      </c>
      <c r="G1350" s="58">
        <v>179000</v>
      </c>
      <c r="H1350" s="59">
        <v>229900</v>
      </c>
      <c r="I1350" s="59">
        <f t="shared" si="42"/>
        <v>0</v>
      </c>
    </row>
    <row r="1351" spans="1:9" customFormat="1" x14ac:dyDescent="0.35">
      <c r="A1351" s="63">
        <f t="shared" si="43"/>
        <v>1350</v>
      </c>
      <c r="B1351" s="54" t="s">
        <v>3536</v>
      </c>
      <c r="C1351" s="55" t="s">
        <v>3537</v>
      </c>
      <c r="D1351" s="54" t="s">
        <v>3499</v>
      </c>
      <c r="E1351" s="56">
        <v>0</v>
      </c>
      <c r="F1351" s="57" t="s">
        <v>1217</v>
      </c>
      <c r="G1351" s="58">
        <v>0</v>
      </c>
      <c r="H1351" s="59">
        <v>277020</v>
      </c>
      <c r="I1351" s="59">
        <f t="shared" si="42"/>
        <v>0</v>
      </c>
    </row>
    <row r="1352" spans="1:9" customFormat="1" x14ac:dyDescent="0.35">
      <c r="A1352" s="63">
        <f t="shared" si="43"/>
        <v>1351</v>
      </c>
      <c r="B1352" s="54" t="s">
        <v>3538</v>
      </c>
      <c r="C1352" s="55" t="s">
        <v>3539</v>
      </c>
      <c r="D1352" s="54" t="s">
        <v>3499</v>
      </c>
      <c r="E1352" s="56">
        <v>0</v>
      </c>
      <c r="F1352" s="57" t="s">
        <v>1217</v>
      </c>
      <c r="G1352" s="58">
        <v>0</v>
      </c>
      <c r="H1352" s="59">
        <v>185963</v>
      </c>
      <c r="I1352" s="59">
        <f t="shared" si="42"/>
        <v>0</v>
      </c>
    </row>
    <row r="1353" spans="1:9" customFormat="1" x14ac:dyDescent="0.35">
      <c r="A1353" s="63">
        <f t="shared" si="43"/>
        <v>1352</v>
      </c>
      <c r="B1353" s="54" t="s">
        <v>3540</v>
      </c>
      <c r="C1353" s="55" t="s">
        <v>3541</v>
      </c>
      <c r="D1353" s="54" t="s">
        <v>3499</v>
      </c>
      <c r="E1353" s="56">
        <v>0</v>
      </c>
      <c r="F1353" s="57" t="s">
        <v>1217</v>
      </c>
      <c r="G1353" s="58">
        <v>0</v>
      </c>
      <c r="H1353" s="59">
        <v>144660</v>
      </c>
      <c r="I1353" s="59">
        <f t="shared" si="42"/>
        <v>0</v>
      </c>
    </row>
    <row r="1354" spans="1:9" customFormat="1" x14ac:dyDescent="0.35">
      <c r="A1354" s="63">
        <f t="shared" si="43"/>
        <v>1353</v>
      </c>
      <c r="B1354" s="54" t="s">
        <v>3542</v>
      </c>
      <c r="C1354" s="55" t="s">
        <v>3543</v>
      </c>
      <c r="D1354" s="54" t="s">
        <v>3499</v>
      </c>
      <c r="E1354" s="56">
        <v>0</v>
      </c>
      <c r="F1354" s="57" t="s">
        <v>1217</v>
      </c>
      <c r="G1354" s="58">
        <v>0</v>
      </c>
      <c r="H1354" s="59">
        <v>135000</v>
      </c>
      <c r="I1354" s="59">
        <f t="shared" si="42"/>
        <v>0</v>
      </c>
    </row>
    <row r="1355" spans="1:9" customFormat="1" x14ac:dyDescent="0.35">
      <c r="A1355" s="63">
        <f t="shared" si="43"/>
        <v>1354</v>
      </c>
      <c r="B1355" s="54" t="s">
        <v>3544</v>
      </c>
      <c r="C1355" s="55" t="s">
        <v>3545</v>
      </c>
      <c r="D1355" s="54" t="s">
        <v>3499</v>
      </c>
      <c r="E1355" s="56">
        <v>0</v>
      </c>
      <c r="F1355" s="57" t="s">
        <v>792</v>
      </c>
      <c r="G1355" s="58">
        <v>32500</v>
      </c>
      <c r="H1355" s="59">
        <v>42875</v>
      </c>
      <c r="I1355" s="59">
        <f t="shared" si="42"/>
        <v>0</v>
      </c>
    </row>
    <row r="1356" spans="1:9" customFormat="1" x14ac:dyDescent="0.35">
      <c r="A1356" s="63">
        <f t="shared" si="43"/>
        <v>1355</v>
      </c>
      <c r="B1356" s="54" t="s">
        <v>3546</v>
      </c>
      <c r="C1356" s="55" t="s">
        <v>3547</v>
      </c>
      <c r="D1356" s="54" t="s">
        <v>3499</v>
      </c>
      <c r="E1356" s="56">
        <v>0</v>
      </c>
      <c r="F1356" s="57" t="s">
        <v>1217</v>
      </c>
      <c r="G1356" s="58">
        <v>230000</v>
      </c>
      <c r="H1356" s="59">
        <v>314450</v>
      </c>
      <c r="I1356" s="59">
        <f t="shared" si="42"/>
        <v>0</v>
      </c>
    </row>
    <row r="1357" spans="1:9" customFormat="1" x14ac:dyDescent="0.35">
      <c r="A1357" s="63">
        <f t="shared" si="43"/>
        <v>1356</v>
      </c>
      <c r="B1357" s="54" t="s">
        <v>3548</v>
      </c>
      <c r="C1357" s="55" t="s">
        <v>3549</v>
      </c>
      <c r="D1357" s="54" t="s">
        <v>3499</v>
      </c>
      <c r="E1357" s="56">
        <v>0</v>
      </c>
      <c r="F1357" s="57" t="s">
        <v>878</v>
      </c>
      <c r="G1357" s="58">
        <v>193074</v>
      </c>
      <c r="H1357" s="59">
        <v>251000</v>
      </c>
      <c r="I1357" s="59">
        <f t="shared" si="42"/>
        <v>0</v>
      </c>
    </row>
    <row r="1358" spans="1:9" customFormat="1" x14ac:dyDescent="0.35">
      <c r="A1358" s="63">
        <f t="shared" si="43"/>
        <v>1357</v>
      </c>
      <c r="B1358" s="54" t="s">
        <v>3550</v>
      </c>
      <c r="C1358" s="55" t="s">
        <v>3551</v>
      </c>
      <c r="D1358" s="54" t="s">
        <v>3499</v>
      </c>
      <c r="E1358" s="56">
        <v>0</v>
      </c>
      <c r="F1358" s="57" t="s">
        <v>792</v>
      </c>
      <c r="G1358" s="58">
        <v>8099</v>
      </c>
      <c r="H1358" s="59">
        <v>14175</v>
      </c>
      <c r="I1358" s="59">
        <f t="shared" si="42"/>
        <v>0</v>
      </c>
    </row>
    <row r="1359" spans="1:9" customFormat="1" x14ac:dyDescent="0.35">
      <c r="A1359" s="63">
        <f t="shared" si="43"/>
        <v>1358</v>
      </c>
      <c r="B1359" s="54" t="s">
        <v>3552</v>
      </c>
      <c r="C1359" s="55" t="s">
        <v>3553</v>
      </c>
      <c r="D1359" s="54" t="s">
        <v>3499</v>
      </c>
      <c r="E1359" s="56">
        <v>0</v>
      </c>
      <c r="F1359" s="57" t="s">
        <v>1217</v>
      </c>
      <c r="G1359" s="58">
        <v>250000</v>
      </c>
      <c r="H1359" s="59">
        <v>285000</v>
      </c>
      <c r="I1359" s="59">
        <f t="shared" si="42"/>
        <v>0</v>
      </c>
    </row>
    <row r="1360" spans="1:9" customFormat="1" x14ac:dyDescent="0.35">
      <c r="A1360" s="63">
        <f t="shared" si="43"/>
        <v>1359</v>
      </c>
      <c r="B1360" s="54" t="s">
        <v>3554</v>
      </c>
      <c r="C1360" s="55" t="s">
        <v>3555</v>
      </c>
      <c r="D1360" s="54" t="s">
        <v>3499</v>
      </c>
      <c r="E1360" s="56">
        <v>0</v>
      </c>
      <c r="F1360" s="57" t="s">
        <v>1217</v>
      </c>
      <c r="G1360" s="58">
        <v>410000</v>
      </c>
      <c r="H1360" s="59">
        <v>553500</v>
      </c>
      <c r="I1360" s="59">
        <f t="shared" si="42"/>
        <v>0</v>
      </c>
    </row>
    <row r="1361" spans="1:9" customFormat="1" x14ac:dyDescent="0.35">
      <c r="A1361" s="63">
        <f t="shared" si="43"/>
        <v>1360</v>
      </c>
      <c r="B1361" s="54" t="s">
        <v>3556</v>
      </c>
      <c r="C1361" s="55" t="s">
        <v>3557</v>
      </c>
      <c r="D1361" s="54" t="s">
        <v>3499</v>
      </c>
      <c r="E1361" s="56">
        <v>0</v>
      </c>
      <c r="F1361" s="57" t="s">
        <v>1217</v>
      </c>
      <c r="G1361" s="58">
        <v>0</v>
      </c>
      <c r="H1361" s="59">
        <v>679725</v>
      </c>
      <c r="I1361" s="59">
        <f t="shared" si="42"/>
        <v>0</v>
      </c>
    </row>
    <row r="1362" spans="1:9" customFormat="1" x14ac:dyDescent="0.35">
      <c r="A1362" s="63">
        <f t="shared" si="43"/>
        <v>1361</v>
      </c>
      <c r="B1362" s="54" t="s">
        <v>3558</v>
      </c>
      <c r="C1362" s="55" t="s">
        <v>3559</v>
      </c>
      <c r="D1362" s="54" t="s">
        <v>3499</v>
      </c>
      <c r="E1362" s="56">
        <v>0</v>
      </c>
      <c r="F1362" s="57" t="s">
        <v>1217</v>
      </c>
      <c r="G1362" s="58">
        <v>116.67</v>
      </c>
      <c r="H1362" s="59">
        <v>150</v>
      </c>
      <c r="I1362" s="59">
        <f t="shared" si="42"/>
        <v>0</v>
      </c>
    </row>
    <row r="1363" spans="1:9" customFormat="1" x14ac:dyDescent="0.35">
      <c r="A1363" s="63">
        <f t="shared" si="43"/>
        <v>1362</v>
      </c>
      <c r="B1363" s="54" t="s">
        <v>3560</v>
      </c>
      <c r="C1363" s="55" t="s">
        <v>3561</v>
      </c>
      <c r="D1363" s="54" t="s">
        <v>3499</v>
      </c>
      <c r="E1363" s="56">
        <v>0</v>
      </c>
      <c r="F1363" s="57" t="s">
        <v>792</v>
      </c>
      <c r="G1363" s="58">
        <v>74030</v>
      </c>
      <c r="H1363" s="59">
        <v>31250</v>
      </c>
      <c r="I1363" s="59">
        <f t="shared" si="42"/>
        <v>0</v>
      </c>
    </row>
    <row r="1364" spans="1:9" customFormat="1" x14ac:dyDescent="0.35">
      <c r="A1364" s="63">
        <f t="shared" si="43"/>
        <v>1363</v>
      </c>
      <c r="B1364" s="54" t="s">
        <v>3562</v>
      </c>
      <c r="C1364" s="55" t="s">
        <v>3563</v>
      </c>
      <c r="D1364" s="54" t="s">
        <v>3499</v>
      </c>
      <c r="E1364" s="56">
        <v>0</v>
      </c>
      <c r="F1364" s="57" t="s">
        <v>1217</v>
      </c>
      <c r="G1364" s="58">
        <v>23000</v>
      </c>
      <c r="H1364" s="59">
        <v>30875</v>
      </c>
      <c r="I1364" s="59">
        <f t="shared" si="42"/>
        <v>0</v>
      </c>
    </row>
    <row r="1365" spans="1:9" customFormat="1" x14ac:dyDescent="0.35">
      <c r="A1365" s="63">
        <f t="shared" si="43"/>
        <v>1364</v>
      </c>
      <c r="B1365" s="54" t="s">
        <v>3564</v>
      </c>
      <c r="C1365" s="55" t="s">
        <v>3565</v>
      </c>
      <c r="D1365" s="54" t="s">
        <v>3499</v>
      </c>
      <c r="E1365" s="56">
        <v>0</v>
      </c>
      <c r="F1365" s="57" t="s">
        <v>1217</v>
      </c>
      <c r="G1365" s="58">
        <v>0</v>
      </c>
      <c r="H1365" s="59">
        <v>25650</v>
      </c>
      <c r="I1365" s="59">
        <f t="shared" si="42"/>
        <v>0</v>
      </c>
    </row>
    <row r="1366" spans="1:9" customFormat="1" x14ac:dyDescent="0.35">
      <c r="A1366" s="63">
        <f t="shared" si="43"/>
        <v>1365</v>
      </c>
      <c r="B1366" s="54" t="s">
        <v>3566</v>
      </c>
      <c r="C1366" s="55" t="s">
        <v>3567</v>
      </c>
      <c r="D1366" s="54" t="s">
        <v>3499</v>
      </c>
      <c r="E1366" s="56">
        <v>0</v>
      </c>
      <c r="F1366" s="57" t="s">
        <v>1217</v>
      </c>
      <c r="G1366" s="58">
        <v>0</v>
      </c>
      <c r="H1366" s="59">
        <v>175000</v>
      </c>
      <c r="I1366" s="59">
        <f t="shared" si="42"/>
        <v>0</v>
      </c>
    </row>
    <row r="1367" spans="1:9" customFormat="1" x14ac:dyDescent="0.35">
      <c r="A1367" s="63">
        <f t="shared" si="43"/>
        <v>1366</v>
      </c>
      <c r="B1367" s="54" t="s">
        <v>3568</v>
      </c>
      <c r="C1367" s="55" t="s">
        <v>3569</v>
      </c>
      <c r="D1367" s="54" t="s">
        <v>3499</v>
      </c>
      <c r="E1367" s="56">
        <v>0</v>
      </c>
      <c r="F1367" s="57" t="s">
        <v>1217</v>
      </c>
      <c r="G1367" s="58">
        <v>200000</v>
      </c>
      <c r="H1367" s="59">
        <v>282150</v>
      </c>
      <c r="I1367" s="59">
        <f t="shared" si="42"/>
        <v>0</v>
      </c>
    </row>
    <row r="1368" spans="1:9" customFormat="1" x14ac:dyDescent="0.35">
      <c r="A1368" s="63">
        <f t="shared" si="43"/>
        <v>1367</v>
      </c>
      <c r="B1368" s="54" t="s">
        <v>3570</v>
      </c>
      <c r="C1368" s="55" t="s">
        <v>3571</v>
      </c>
      <c r="D1368" s="54" t="s">
        <v>3499</v>
      </c>
      <c r="E1368" s="56">
        <v>0</v>
      </c>
      <c r="F1368" s="57" t="s">
        <v>1217</v>
      </c>
      <c r="G1368" s="58">
        <v>0</v>
      </c>
      <c r="H1368" s="59">
        <v>33075</v>
      </c>
      <c r="I1368" s="59">
        <f t="shared" si="42"/>
        <v>0</v>
      </c>
    </row>
    <row r="1369" spans="1:9" customFormat="1" x14ac:dyDescent="0.35">
      <c r="A1369" s="63">
        <f t="shared" si="43"/>
        <v>1368</v>
      </c>
      <c r="B1369" s="54" t="s">
        <v>3572</v>
      </c>
      <c r="C1369" s="55" t="s">
        <v>3573</v>
      </c>
      <c r="D1369" s="54" t="s">
        <v>3499</v>
      </c>
      <c r="E1369" s="56">
        <v>0</v>
      </c>
      <c r="F1369" s="57" t="s">
        <v>1217</v>
      </c>
      <c r="G1369" s="58">
        <v>0</v>
      </c>
      <c r="H1369" s="59">
        <v>90720</v>
      </c>
      <c r="I1369" s="59">
        <f t="shared" si="42"/>
        <v>0</v>
      </c>
    </row>
    <row r="1370" spans="1:9" customFormat="1" x14ac:dyDescent="0.35">
      <c r="A1370" s="63">
        <f t="shared" si="43"/>
        <v>1369</v>
      </c>
      <c r="B1370" s="54" t="s">
        <v>3574</v>
      </c>
      <c r="C1370" s="55" t="s">
        <v>3575</v>
      </c>
      <c r="D1370" s="54" t="s">
        <v>3499</v>
      </c>
      <c r="E1370" s="56">
        <v>0</v>
      </c>
      <c r="F1370" s="57" t="s">
        <v>1217</v>
      </c>
      <c r="G1370" s="58">
        <v>0</v>
      </c>
      <c r="H1370" s="59">
        <v>87885</v>
      </c>
      <c r="I1370" s="59">
        <f t="shared" si="42"/>
        <v>0</v>
      </c>
    </row>
    <row r="1371" spans="1:9" customFormat="1" x14ac:dyDescent="0.35">
      <c r="A1371" s="63">
        <f t="shared" si="43"/>
        <v>1370</v>
      </c>
      <c r="B1371" s="54" t="s">
        <v>3576</v>
      </c>
      <c r="C1371" s="55" t="s">
        <v>3577</v>
      </c>
      <c r="D1371" s="54" t="s">
        <v>3499</v>
      </c>
      <c r="E1371" s="56">
        <v>0</v>
      </c>
      <c r="F1371" s="57" t="s">
        <v>1217</v>
      </c>
      <c r="G1371" s="58">
        <v>40000</v>
      </c>
      <c r="H1371" s="59">
        <v>54000</v>
      </c>
      <c r="I1371" s="59">
        <f t="shared" si="42"/>
        <v>0</v>
      </c>
    </row>
    <row r="1372" spans="1:9" customFormat="1" x14ac:dyDescent="0.35">
      <c r="A1372" s="63">
        <f t="shared" si="43"/>
        <v>1371</v>
      </c>
      <c r="B1372" s="54" t="s">
        <v>3578</v>
      </c>
      <c r="C1372" s="55" t="s">
        <v>3579</v>
      </c>
      <c r="D1372" s="54" t="s">
        <v>3499</v>
      </c>
      <c r="E1372" s="56">
        <v>0</v>
      </c>
      <c r="F1372" s="57" t="s">
        <v>792</v>
      </c>
      <c r="G1372" s="58">
        <v>180000</v>
      </c>
      <c r="H1372" s="59">
        <v>180000</v>
      </c>
      <c r="I1372" s="59">
        <f t="shared" si="42"/>
        <v>0</v>
      </c>
    </row>
    <row r="1373" spans="1:9" customFormat="1" x14ac:dyDescent="0.35">
      <c r="A1373" s="63">
        <f t="shared" si="43"/>
        <v>1372</v>
      </c>
      <c r="B1373" s="54" t="s">
        <v>3580</v>
      </c>
      <c r="C1373" s="55" t="s">
        <v>3581</v>
      </c>
      <c r="D1373" s="54" t="s">
        <v>3499</v>
      </c>
      <c r="E1373" s="56">
        <v>0</v>
      </c>
      <c r="F1373" s="57" t="s">
        <v>792</v>
      </c>
      <c r="G1373" s="58">
        <v>27000</v>
      </c>
      <c r="H1373" s="59">
        <v>36450</v>
      </c>
      <c r="I1373" s="59">
        <f t="shared" si="42"/>
        <v>0</v>
      </c>
    </row>
    <row r="1374" spans="1:9" customFormat="1" x14ac:dyDescent="0.35">
      <c r="A1374" s="63">
        <f t="shared" si="43"/>
        <v>1373</v>
      </c>
      <c r="B1374" s="54" t="s">
        <v>3582</v>
      </c>
      <c r="C1374" s="55" t="s">
        <v>3583</v>
      </c>
      <c r="D1374" s="54" t="s">
        <v>3499</v>
      </c>
      <c r="E1374" s="56">
        <v>0</v>
      </c>
      <c r="F1374" s="57" t="s">
        <v>1217</v>
      </c>
      <c r="G1374" s="58">
        <v>14000</v>
      </c>
      <c r="H1374" s="59">
        <v>14000</v>
      </c>
      <c r="I1374" s="59">
        <f t="shared" si="42"/>
        <v>0</v>
      </c>
    </row>
    <row r="1375" spans="1:9" customFormat="1" x14ac:dyDescent="0.35">
      <c r="A1375" s="63">
        <f t="shared" si="43"/>
        <v>1374</v>
      </c>
      <c r="B1375" s="54" t="s">
        <v>3584</v>
      </c>
      <c r="C1375" s="55" t="s">
        <v>3585</v>
      </c>
      <c r="D1375" s="54" t="s">
        <v>3499</v>
      </c>
      <c r="E1375" s="56">
        <v>0</v>
      </c>
      <c r="F1375" s="57" t="s">
        <v>1217</v>
      </c>
      <c r="G1375" s="58">
        <v>10570</v>
      </c>
      <c r="H1375" s="59">
        <v>10570</v>
      </c>
      <c r="I1375" s="59">
        <f t="shared" si="42"/>
        <v>0</v>
      </c>
    </row>
    <row r="1376" spans="1:9" customFormat="1" x14ac:dyDescent="0.35">
      <c r="A1376" s="63">
        <f t="shared" si="43"/>
        <v>1375</v>
      </c>
      <c r="B1376" s="54" t="s">
        <v>3586</v>
      </c>
      <c r="C1376" s="55" t="s">
        <v>3587</v>
      </c>
      <c r="D1376" s="54" t="s">
        <v>3499</v>
      </c>
      <c r="E1376" s="56">
        <v>0</v>
      </c>
      <c r="F1376" s="57" t="s">
        <v>1217</v>
      </c>
      <c r="G1376" s="58">
        <v>0</v>
      </c>
      <c r="H1376" s="59">
        <v>480938</v>
      </c>
      <c r="I1376" s="59">
        <f t="shared" si="42"/>
        <v>0</v>
      </c>
    </row>
    <row r="1377" spans="1:9" customFormat="1" x14ac:dyDescent="0.35">
      <c r="A1377" s="63">
        <f t="shared" si="43"/>
        <v>1376</v>
      </c>
      <c r="B1377" s="54" t="s">
        <v>3588</v>
      </c>
      <c r="C1377" s="55" t="s">
        <v>3589</v>
      </c>
      <c r="D1377" s="54" t="s">
        <v>3499</v>
      </c>
      <c r="E1377" s="56">
        <v>0</v>
      </c>
      <c r="F1377" s="57" t="s">
        <v>1217</v>
      </c>
      <c r="G1377" s="58">
        <v>106400</v>
      </c>
      <c r="H1377" s="59">
        <v>128250</v>
      </c>
      <c r="I1377" s="59">
        <f t="shared" si="42"/>
        <v>0</v>
      </c>
    </row>
    <row r="1378" spans="1:9" customFormat="1" ht="23" x14ac:dyDescent="0.35">
      <c r="A1378" s="63">
        <f t="shared" si="43"/>
        <v>1377</v>
      </c>
      <c r="B1378" s="54" t="s">
        <v>3590</v>
      </c>
      <c r="C1378" s="55" t="s">
        <v>3591</v>
      </c>
      <c r="D1378" s="54" t="s">
        <v>3499</v>
      </c>
      <c r="E1378" s="56">
        <v>0</v>
      </c>
      <c r="F1378" s="57" t="s">
        <v>1217</v>
      </c>
      <c r="G1378" s="58">
        <v>136000</v>
      </c>
      <c r="H1378" s="59">
        <v>200475</v>
      </c>
      <c r="I1378" s="59">
        <f t="shared" si="42"/>
        <v>0</v>
      </c>
    </row>
    <row r="1379" spans="1:9" customFormat="1" x14ac:dyDescent="0.35">
      <c r="A1379" s="63">
        <f t="shared" si="43"/>
        <v>1378</v>
      </c>
      <c r="B1379" s="54" t="s">
        <v>3592</v>
      </c>
      <c r="C1379" s="55" t="s">
        <v>3593</v>
      </c>
      <c r="D1379" s="54" t="s">
        <v>3499</v>
      </c>
      <c r="E1379" s="56">
        <v>0</v>
      </c>
      <c r="F1379" s="57" t="s">
        <v>792</v>
      </c>
      <c r="G1379" s="58">
        <v>95750</v>
      </c>
      <c r="H1379" s="59">
        <v>95750</v>
      </c>
      <c r="I1379" s="59">
        <f t="shared" si="42"/>
        <v>0</v>
      </c>
    </row>
    <row r="1380" spans="1:9" customFormat="1" x14ac:dyDescent="0.35">
      <c r="A1380" s="63">
        <f t="shared" si="43"/>
        <v>1379</v>
      </c>
      <c r="B1380" s="54" t="s">
        <v>3594</v>
      </c>
      <c r="C1380" s="55" t="s">
        <v>3595</v>
      </c>
      <c r="D1380" s="54" t="s">
        <v>3499</v>
      </c>
      <c r="E1380" s="56">
        <v>0</v>
      </c>
      <c r="F1380" s="57" t="s">
        <v>1217</v>
      </c>
      <c r="G1380" s="58">
        <v>0</v>
      </c>
      <c r="H1380" s="59">
        <v>41040</v>
      </c>
      <c r="I1380" s="59">
        <f t="shared" si="42"/>
        <v>0</v>
      </c>
    </row>
    <row r="1381" spans="1:9" customFormat="1" x14ac:dyDescent="0.35">
      <c r="A1381" s="63">
        <f t="shared" si="43"/>
        <v>1380</v>
      </c>
      <c r="B1381" s="54" t="s">
        <v>3596</v>
      </c>
      <c r="C1381" s="55" t="s">
        <v>3597</v>
      </c>
      <c r="D1381" s="54" t="s">
        <v>3499</v>
      </c>
      <c r="E1381" s="56">
        <v>0</v>
      </c>
      <c r="F1381" s="57" t="s">
        <v>1217</v>
      </c>
      <c r="G1381" s="58">
        <v>0</v>
      </c>
      <c r="H1381" s="59">
        <v>9450</v>
      </c>
      <c r="I1381" s="59">
        <f t="shared" si="42"/>
        <v>0</v>
      </c>
    </row>
    <row r="1382" spans="1:9" customFormat="1" x14ac:dyDescent="0.35">
      <c r="A1382" s="63">
        <f t="shared" si="43"/>
        <v>1381</v>
      </c>
      <c r="B1382" s="54" t="s">
        <v>3598</v>
      </c>
      <c r="C1382" s="55" t="s">
        <v>3599</v>
      </c>
      <c r="D1382" s="54" t="s">
        <v>3499</v>
      </c>
      <c r="E1382" s="56">
        <v>0</v>
      </c>
      <c r="F1382" s="57" t="s">
        <v>1217</v>
      </c>
      <c r="G1382" s="58">
        <v>372000</v>
      </c>
      <c r="H1382" s="59">
        <v>520800</v>
      </c>
      <c r="I1382" s="59">
        <f t="shared" si="42"/>
        <v>0</v>
      </c>
    </row>
    <row r="1383" spans="1:9" customFormat="1" x14ac:dyDescent="0.35">
      <c r="A1383" s="63">
        <f t="shared" si="43"/>
        <v>1382</v>
      </c>
      <c r="B1383" s="54" t="s">
        <v>3600</v>
      </c>
      <c r="C1383" s="55" t="s">
        <v>3601</v>
      </c>
      <c r="D1383" s="54" t="s">
        <v>3499</v>
      </c>
      <c r="E1383" s="56">
        <v>0</v>
      </c>
      <c r="F1383" s="57" t="s">
        <v>1217</v>
      </c>
      <c r="G1383" s="58">
        <v>828829</v>
      </c>
      <c r="H1383" s="59">
        <v>902500</v>
      </c>
      <c r="I1383" s="59">
        <f t="shared" si="42"/>
        <v>0</v>
      </c>
    </row>
    <row r="1384" spans="1:9" customFormat="1" x14ac:dyDescent="0.35">
      <c r="A1384" s="63">
        <f t="shared" si="43"/>
        <v>1383</v>
      </c>
      <c r="B1384" s="54" t="s">
        <v>3602</v>
      </c>
      <c r="C1384" s="55" t="s">
        <v>3603</v>
      </c>
      <c r="D1384" s="54" t="s">
        <v>3499</v>
      </c>
      <c r="E1384" s="56">
        <v>0</v>
      </c>
      <c r="F1384" s="57" t="s">
        <v>1217</v>
      </c>
      <c r="G1384" s="58">
        <v>0</v>
      </c>
      <c r="H1384" s="59">
        <v>35910</v>
      </c>
      <c r="I1384" s="59">
        <f t="shared" si="42"/>
        <v>0</v>
      </c>
    </row>
    <row r="1385" spans="1:9" customFormat="1" x14ac:dyDescent="0.35">
      <c r="A1385" s="63">
        <f t="shared" si="43"/>
        <v>1384</v>
      </c>
      <c r="B1385" s="54" t="s">
        <v>3604</v>
      </c>
      <c r="C1385" s="55" t="s">
        <v>3605</v>
      </c>
      <c r="D1385" s="54" t="s">
        <v>3499</v>
      </c>
      <c r="E1385" s="56">
        <v>0</v>
      </c>
      <c r="F1385" s="57" t="s">
        <v>1217</v>
      </c>
      <c r="G1385" s="58">
        <v>0</v>
      </c>
      <c r="H1385" s="59">
        <v>46170</v>
      </c>
      <c r="I1385" s="59">
        <f t="shared" si="42"/>
        <v>0</v>
      </c>
    </row>
    <row r="1386" spans="1:9" customFormat="1" x14ac:dyDescent="0.35">
      <c r="A1386" s="63">
        <f t="shared" si="43"/>
        <v>1385</v>
      </c>
      <c r="B1386" s="54" t="s">
        <v>3606</v>
      </c>
      <c r="C1386" s="55" t="s">
        <v>3607</v>
      </c>
      <c r="D1386" s="54" t="s">
        <v>3499</v>
      </c>
      <c r="E1386" s="56">
        <v>0</v>
      </c>
      <c r="F1386" s="57" t="s">
        <v>1217</v>
      </c>
      <c r="G1386" s="58">
        <v>6000</v>
      </c>
      <c r="H1386" s="59">
        <v>8075</v>
      </c>
      <c r="I1386" s="59">
        <f t="shared" si="42"/>
        <v>0</v>
      </c>
    </row>
    <row r="1387" spans="1:9" customFormat="1" x14ac:dyDescent="0.35">
      <c r="A1387" s="63">
        <f t="shared" si="43"/>
        <v>1386</v>
      </c>
      <c r="B1387" s="54" t="s">
        <v>3608</v>
      </c>
      <c r="C1387" s="55" t="s">
        <v>3609</v>
      </c>
      <c r="D1387" s="54" t="s">
        <v>3499</v>
      </c>
      <c r="E1387" s="56">
        <v>0</v>
      </c>
      <c r="F1387" s="57" t="s">
        <v>1217</v>
      </c>
      <c r="G1387" s="58">
        <v>210000</v>
      </c>
      <c r="H1387" s="59">
        <v>269325</v>
      </c>
      <c r="I1387" s="59">
        <f t="shared" si="42"/>
        <v>0</v>
      </c>
    </row>
    <row r="1388" spans="1:9" customFormat="1" x14ac:dyDescent="0.35">
      <c r="A1388" s="63">
        <f t="shared" si="43"/>
        <v>1387</v>
      </c>
      <c r="B1388" s="54" t="s">
        <v>3610</v>
      </c>
      <c r="C1388" s="55" t="s">
        <v>3611</v>
      </c>
      <c r="D1388" s="54" t="s">
        <v>3499</v>
      </c>
      <c r="E1388" s="56">
        <v>0</v>
      </c>
      <c r="F1388" s="57" t="s">
        <v>1217</v>
      </c>
      <c r="G1388" s="58">
        <v>0</v>
      </c>
      <c r="H1388" s="59">
        <v>155250</v>
      </c>
      <c r="I1388" s="59">
        <f t="shared" si="42"/>
        <v>0</v>
      </c>
    </row>
    <row r="1389" spans="1:9" customFormat="1" x14ac:dyDescent="0.35">
      <c r="A1389" s="63">
        <f t="shared" si="43"/>
        <v>1388</v>
      </c>
      <c r="B1389" s="54" t="s">
        <v>3612</v>
      </c>
      <c r="C1389" s="55" t="s">
        <v>3613</v>
      </c>
      <c r="D1389" s="54" t="s">
        <v>3499</v>
      </c>
      <c r="E1389" s="56">
        <v>0</v>
      </c>
      <c r="F1389" s="57" t="s">
        <v>1217</v>
      </c>
      <c r="G1389" s="58">
        <v>0</v>
      </c>
      <c r="H1389" s="59">
        <v>59000</v>
      </c>
      <c r="I1389" s="59">
        <f t="shared" si="42"/>
        <v>0</v>
      </c>
    </row>
    <row r="1390" spans="1:9" customFormat="1" x14ac:dyDescent="0.35">
      <c r="A1390" s="63">
        <f t="shared" si="43"/>
        <v>1389</v>
      </c>
      <c r="B1390" s="54" t="s">
        <v>3614</v>
      </c>
      <c r="C1390" s="55" t="s">
        <v>3615</v>
      </c>
      <c r="D1390" s="54" t="s">
        <v>3499</v>
      </c>
      <c r="E1390" s="56">
        <v>0</v>
      </c>
      <c r="F1390" s="57" t="s">
        <v>1217</v>
      </c>
      <c r="G1390" s="58">
        <v>130500</v>
      </c>
      <c r="H1390" s="59">
        <v>166250</v>
      </c>
      <c r="I1390" s="59">
        <f t="shared" si="42"/>
        <v>0</v>
      </c>
    </row>
    <row r="1391" spans="1:9" customFormat="1" x14ac:dyDescent="0.35">
      <c r="A1391" s="63">
        <f t="shared" si="43"/>
        <v>1390</v>
      </c>
      <c r="B1391" s="54" t="s">
        <v>3616</v>
      </c>
      <c r="C1391" s="55" t="s">
        <v>3617</v>
      </c>
      <c r="D1391" s="54" t="s">
        <v>3499</v>
      </c>
      <c r="E1391" s="56">
        <v>0</v>
      </c>
      <c r="F1391" s="57" t="s">
        <v>844</v>
      </c>
      <c r="G1391" s="58">
        <v>2700000</v>
      </c>
      <c r="H1391" s="59">
        <v>2700000</v>
      </c>
      <c r="I1391" s="59">
        <f t="shared" si="42"/>
        <v>0</v>
      </c>
    </row>
    <row r="1392" spans="1:9" customFormat="1" x14ac:dyDescent="0.35">
      <c r="A1392" s="63">
        <f t="shared" si="43"/>
        <v>1391</v>
      </c>
      <c r="B1392" s="54" t="s">
        <v>3618</v>
      </c>
      <c r="C1392" s="55" t="s">
        <v>3619</v>
      </c>
      <c r="D1392" s="54" t="s">
        <v>3499</v>
      </c>
      <c r="E1392" s="56">
        <v>0</v>
      </c>
      <c r="F1392" s="57" t="s">
        <v>1217</v>
      </c>
      <c r="G1392" s="58">
        <v>97264</v>
      </c>
      <c r="H1392" s="59">
        <v>130950</v>
      </c>
      <c r="I1392" s="59">
        <f t="shared" si="42"/>
        <v>0</v>
      </c>
    </row>
    <row r="1393" spans="1:9" customFormat="1" x14ac:dyDescent="0.35">
      <c r="A1393" s="63">
        <f t="shared" si="43"/>
        <v>1392</v>
      </c>
      <c r="B1393" s="54" t="s">
        <v>3620</v>
      </c>
      <c r="C1393" s="55" t="s">
        <v>3621</v>
      </c>
      <c r="D1393" s="54" t="s">
        <v>3499</v>
      </c>
      <c r="E1393" s="56">
        <v>0</v>
      </c>
      <c r="F1393" s="57" t="s">
        <v>1217</v>
      </c>
      <c r="G1393" s="58">
        <v>62608</v>
      </c>
      <c r="H1393" s="59">
        <v>83700</v>
      </c>
      <c r="I1393" s="59">
        <f t="shared" si="42"/>
        <v>0</v>
      </c>
    </row>
    <row r="1394" spans="1:9" customFormat="1" x14ac:dyDescent="0.35">
      <c r="A1394" s="63">
        <f t="shared" si="43"/>
        <v>1393</v>
      </c>
      <c r="B1394" s="54" t="s">
        <v>3622</v>
      </c>
      <c r="C1394" s="55" t="s">
        <v>3623</v>
      </c>
      <c r="D1394" s="54" t="s">
        <v>3499</v>
      </c>
      <c r="E1394" s="56">
        <v>0</v>
      </c>
      <c r="F1394" s="57" t="s">
        <v>792</v>
      </c>
      <c r="G1394" s="58">
        <v>35000</v>
      </c>
      <c r="H1394" s="59">
        <v>48044</v>
      </c>
      <c r="I1394" s="59">
        <f t="shared" si="42"/>
        <v>0</v>
      </c>
    </row>
    <row r="1395" spans="1:9" customFormat="1" ht="23" x14ac:dyDescent="0.35">
      <c r="A1395" s="63">
        <f t="shared" si="43"/>
        <v>1394</v>
      </c>
      <c r="B1395" s="54" t="s">
        <v>3624</v>
      </c>
      <c r="C1395" s="55" t="s">
        <v>3625</v>
      </c>
      <c r="D1395" s="54" t="s">
        <v>3626</v>
      </c>
      <c r="E1395" s="56">
        <v>0</v>
      </c>
      <c r="F1395" s="57" t="s">
        <v>792</v>
      </c>
      <c r="G1395" s="58">
        <v>750</v>
      </c>
      <c r="H1395" s="59">
        <v>1050</v>
      </c>
      <c r="I1395" s="59">
        <f t="shared" si="42"/>
        <v>0</v>
      </c>
    </row>
    <row r="1396" spans="1:9" customFormat="1" x14ac:dyDescent="0.35">
      <c r="A1396" s="63">
        <f t="shared" si="43"/>
        <v>1395</v>
      </c>
      <c r="B1396" s="54" t="s">
        <v>3627</v>
      </c>
      <c r="C1396" s="55" t="s">
        <v>3628</v>
      </c>
      <c r="D1396" s="54" t="s">
        <v>3626</v>
      </c>
      <c r="E1396" s="92">
        <v>500</v>
      </c>
      <c r="F1396" s="57" t="s">
        <v>792</v>
      </c>
      <c r="G1396" s="58">
        <v>750</v>
      </c>
      <c r="H1396" s="59">
        <v>1050</v>
      </c>
      <c r="I1396" s="59">
        <f t="shared" si="42"/>
        <v>525000</v>
      </c>
    </row>
    <row r="1397" spans="1:9" customFormat="1" x14ac:dyDescent="0.35">
      <c r="A1397" s="63">
        <f t="shared" si="43"/>
        <v>1396</v>
      </c>
      <c r="B1397" s="54" t="s">
        <v>3629</v>
      </c>
      <c r="C1397" s="55" t="s">
        <v>3630</v>
      </c>
      <c r="D1397" s="54" t="s">
        <v>3631</v>
      </c>
      <c r="E1397" s="56">
        <v>0</v>
      </c>
      <c r="F1397" s="57" t="s">
        <v>878</v>
      </c>
      <c r="G1397" s="58">
        <v>220</v>
      </c>
      <c r="H1397" s="59">
        <v>384</v>
      </c>
      <c r="I1397" s="59">
        <f t="shared" si="42"/>
        <v>0</v>
      </c>
    </row>
    <row r="1398" spans="1:9" customFormat="1" x14ac:dyDescent="0.35">
      <c r="A1398" s="63">
        <f t="shared" si="43"/>
        <v>1397</v>
      </c>
      <c r="B1398" s="54" t="s">
        <v>3632</v>
      </c>
      <c r="C1398" s="55" t="s">
        <v>3633</v>
      </c>
      <c r="D1398" s="54" t="s">
        <v>3631</v>
      </c>
      <c r="E1398" s="56">
        <v>0</v>
      </c>
      <c r="F1398" s="57" t="s">
        <v>878</v>
      </c>
      <c r="G1398" s="58">
        <v>270</v>
      </c>
      <c r="H1398" s="59">
        <v>480</v>
      </c>
      <c r="I1398" s="59">
        <f t="shared" si="42"/>
        <v>0</v>
      </c>
    </row>
    <row r="1399" spans="1:9" customFormat="1" x14ac:dyDescent="0.35">
      <c r="A1399" s="63">
        <f t="shared" si="43"/>
        <v>1398</v>
      </c>
      <c r="B1399" s="54" t="s">
        <v>3634</v>
      </c>
      <c r="C1399" s="55" t="s">
        <v>3635</v>
      </c>
      <c r="D1399" s="54" t="s">
        <v>3631</v>
      </c>
      <c r="E1399" s="56">
        <v>0</v>
      </c>
      <c r="F1399" s="57" t="s">
        <v>878</v>
      </c>
      <c r="G1399" s="58">
        <v>320</v>
      </c>
      <c r="H1399" s="59">
        <v>576</v>
      </c>
      <c r="I1399" s="59">
        <f t="shared" si="42"/>
        <v>0</v>
      </c>
    </row>
    <row r="1400" spans="1:9" customFormat="1" x14ac:dyDescent="0.35">
      <c r="A1400" s="63">
        <f t="shared" si="43"/>
        <v>1399</v>
      </c>
      <c r="B1400" s="54" t="s">
        <v>3636</v>
      </c>
      <c r="C1400" s="55" t="s">
        <v>3637</v>
      </c>
      <c r="D1400" s="54" t="s">
        <v>3631</v>
      </c>
      <c r="E1400" s="56">
        <v>0</v>
      </c>
      <c r="F1400" s="57" t="s">
        <v>878</v>
      </c>
      <c r="G1400" s="58">
        <v>220</v>
      </c>
      <c r="H1400" s="59">
        <v>672</v>
      </c>
      <c r="I1400" s="59">
        <f t="shared" si="42"/>
        <v>0</v>
      </c>
    </row>
    <row r="1401" spans="1:9" customFormat="1" x14ac:dyDescent="0.35">
      <c r="A1401" s="63">
        <f t="shared" si="43"/>
        <v>1400</v>
      </c>
      <c r="B1401" s="54" t="s">
        <v>3638</v>
      </c>
      <c r="C1401" s="55" t="s">
        <v>3639</v>
      </c>
      <c r="D1401" s="54" t="s">
        <v>3631</v>
      </c>
      <c r="E1401" s="56">
        <v>0</v>
      </c>
      <c r="F1401" s="57" t="s">
        <v>844</v>
      </c>
      <c r="G1401" s="58">
        <v>195000</v>
      </c>
      <c r="H1401" s="59">
        <v>290000</v>
      </c>
      <c r="I1401" s="59">
        <f t="shared" si="42"/>
        <v>0</v>
      </c>
    </row>
    <row r="1402" spans="1:9" customFormat="1" x14ac:dyDescent="0.35">
      <c r="A1402" s="63">
        <f t="shared" si="43"/>
        <v>1401</v>
      </c>
      <c r="B1402" s="54" t="s">
        <v>3640</v>
      </c>
      <c r="C1402" s="55" t="s">
        <v>3641</v>
      </c>
      <c r="D1402" s="54" t="s">
        <v>3631</v>
      </c>
      <c r="E1402" s="56">
        <v>0</v>
      </c>
      <c r="F1402" s="57" t="s">
        <v>792</v>
      </c>
      <c r="G1402" s="58">
        <v>395000</v>
      </c>
      <c r="H1402" s="59">
        <v>351360</v>
      </c>
      <c r="I1402" s="59">
        <f t="shared" si="42"/>
        <v>0</v>
      </c>
    </row>
    <row r="1403" spans="1:9" customFormat="1" x14ac:dyDescent="0.35">
      <c r="A1403" s="63">
        <f t="shared" si="43"/>
        <v>1402</v>
      </c>
      <c r="B1403" s="54" t="s">
        <v>3642</v>
      </c>
      <c r="C1403" s="55" t="s">
        <v>3643</v>
      </c>
      <c r="D1403" s="54" t="s">
        <v>3631</v>
      </c>
      <c r="E1403" s="56">
        <v>0</v>
      </c>
      <c r="F1403" s="57" t="s">
        <v>792</v>
      </c>
      <c r="G1403" s="58">
        <v>310000</v>
      </c>
      <c r="H1403" s="59">
        <v>357120</v>
      </c>
      <c r="I1403" s="59">
        <f t="shared" si="42"/>
        <v>0</v>
      </c>
    </row>
    <row r="1404" spans="1:9" customFormat="1" x14ac:dyDescent="0.35">
      <c r="A1404" s="63">
        <f t="shared" si="43"/>
        <v>1403</v>
      </c>
      <c r="B1404" s="54" t="s">
        <v>3644</v>
      </c>
      <c r="C1404" s="55" t="s">
        <v>3645</v>
      </c>
      <c r="D1404" s="54" t="s">
        <v>3631</v>
      </c>
      <c r="E1404" s="56">
        <v>0</v>
      </c>
      <c r="F1404" s="57" t="s">
        <v>844</v>
      </c>
      <c r="G1404" s="58">
        <v>165000</v>
      </c>
      <c r="H1404" s="59">
        <v>224070</v>
      </c>
      <c r="I1404" s="59">
        <f t="shared" si="42"/>
        <v>0</v>
      </c>
    </row>
    <row r="1405" spans="1:9" customFormat="1" x14ac:dyDescent="0.35">
      <c r="A1405" s="63">
        <f t="shared" si="43"/>
        <v>1404</v>
      </c>
      <c r="B1405" s="54" t="s">
        <v>3646</v>
      </c>
      <c r="C1405" s="55" t="s">
        <v>3647</v>
      </c>
      <c r="D1405" s="54" t="s">
        <v>3631</v>
      </c>
      <c r="E1405" s="56">
        <v>0</v>
      </c>
      <c r="F1405" s="57" t="s">
        <v>792</v>
      </c>
      <c r="G1405" s="58">
        <v>710000</v>
      </c>
      <c r="H1405" s="59">
        <v>817920</v>
      </c>
      <c r="I1405" s="59">
        <f t="shared" si="42"/>
        <v>0</v>
      </c>
    </row>
    <row r="1406" spans="1:9" customFormat="1" x14ac:dyDescent="0.35">
      <c r="A1406" s="63">
        <f t="shared" si="43"/>
        <v>1405</v>
      </c>
      <c r="B1406" s="54" t="s">
        <v>3648</v>
      </c>
      <c r="C1406" s="55" t="s">
        <v>3649</v>
      </c>
      <c r="D1406" s="54" t="s">
        <v>3631</v>
      </c>
      <c r="E1406" s="56">
        <v>0</v>
      </c>
      <c r="F1406" s="57" t="s">
        <v>792</v>
      </c>
      <c r="G1406" s="58">
        <v>7500</v>
      </c>
      <c r="H1406" s="59">
        <v>10200</v>
      </c>
      <c r="I1406" s="59">
        <f t="shared" si="42"/>
        <v>0</v>
      </c>
    </row>
    <row r="1407" spans="1:9" customFormat="1" ht="23" x14ac:dyDescent="0.35">
      <c r="A1407" s="63">
        <f t="shared" si="43"/>
        <v>1406</v>
      </c>
      <c r="B1407" s="54" t="s">
        <v>3650</v>
      </c>
      <c r="C1407" s="55" t="s">
        <v>3651</v>
      </c>
      <c r="D1407" s="54" t="s">
        <v>3631</v>
      </c>
      <c r="E1407" s="56">
        <v>0</v>
      </c>
      <c r="F1407" s="57" t="s">
        <v>878</v>
      </c>
      <c r="G1407" s="58">
        <v>235000</v>
      </c>
      <c r="H1407" s="59">
        <v>1042500</v>
      </c>
      <c r="I1407" s="59">
        <f t="shared" si="42"/>
        <v>0</v>
      </c>
    </row>
    <row r="1408" spans="1:9" customFormat="1" x14ac:dyDescent="0.35">
      <c r="A1408" s="63">
        <f t="shared" si="43"/>
        <v>1407</v>
      </c>
      <c r="B1408" s="54" t="s">
        <v>3652</v>
      </c>
      <c r="C1408" s="55" t="s">
        <v>3653</v>
      </c>
      <c r="D1408" s="54" t="s">
        <v>3631</v>
      </c>
      <c r="E1408" s="56">
        <v>0</v>
      </c>
      <c r="F1408" s="57" t="s">
        <v>792</v>
      </c>
      <c r="G1408" s="58">
        <v>2000</v>
      </c>
      <c r="H1408" s="59">
        <v>2400</v>
      </c>
      <c r="I1408" s="59">
        <f t="shared" si="42"/>
        <v>0</v>
      </c>
    </row>
    <row r="1409" spans="1:9" customFormat="1" x14ac:dyDescent="0.35">
      <c r="A1409" s="63">
        <f t="shared" si="43"/>
        <v>1408</v>
      </c>
      <c r="B1409" s="54" t="s">
        <v>3654</v>
      </c>
      <c r="C1409" s="55" t="s">
        <v>3655</v>
      </c>
      <c r="D1409" s="54" t="s">
        <v>3631</v>
      </c>
      <c r="E1409" s="56">
        <v>0</v>
      </c>
      <c r="F1409" s="57" t="s">
        <v>792</v>
      </c>
      <c r="G1409" s="58">
        <v>5000</v>
      </c>
      <c r="H1409" s="59">
        <v>6000</v>
      </c>
      <c r="I1409" s="59">
        <f t="shared" si="42"/>
        <v>0</v>
      </c>
    </row>
    <row r="1410" spans="1:9" customFormat="1" x14ac:dyDescent="0.35">
      <c r="A1410" s="63">
        <f t="shared" si="43"/>
        <v>1409</v>
      </c>
      <c r="B1410" s="54" t="s">
        <v>3656</v>
      </c>
      <c r="C1410" s="55" t="s">
        <v>3657</v>
      </c>
      <c r="D1410" s="54" t="s">
        <v>3631</v>
      </c>
      <c r="E1410" s="56">
        <v>0</v>
      </c>
      <c r="F1410" s="57" t="s">
        <v>815</v>
      </c>
      <c r="G1410" s="58">
        <v>0</v>
      </c>
      <c r="H1410" s="59">
        <v>70000</v>
      </c>
      <c r="I1410" s="59">
        <f t="shared" si="42"/>
        <v>0</v>
      </c>
    </row>
    <row r="1411" spans="1:9" customFormat="1" x14ac:dyDescent="0.35">
      <c r="A1411" s="63">
        <f t="shared" si="43"/>
        <v>1410</v>
      </c>
      <c r="B1411" s="54" t="s">
        <v>3658</v>
      </c>
      <c r="C1411" s="55" t="s">
        <v>3659</v>
      </c>
      <c r="D1411" s="54" t="s">
        <v>3631</v>
      </c>
      <c r="E1411" s="56">
        <v>0</v>
      </c>
      <c r="F1411" s="57" t="s">
        <v>792</v>
      </c>
      <c r="G1411" s="58">
        <v>82500</v>
      </c>
      <c r="H1411" s="59">
        <v>100000</v>
      </c>
      <c r="I1411" s="59">
        <f t="shared" ref="I1411:I1474" si="44">H1411*E1411</f>
        <v>0</v>
      </c>
    </row>
    <row r="1412" spans="1:9" customFormat="1" x14ac:dyDescent="0.35">
      <c r="A1412" s="63">
        <f t="shared" ref="A1412:A1475" si="45">A1411+1</f>
        <v>1411</v>
      </c>
      <c r="B1412" s="54" t="s">
        <v>3660</v>
      </c>
      <c r="C1412" s="55" t="s">
        <v>3661</v>
      </c>
      <c r="D1412" s="54" t="s">
        <v>3631</v>
      </c>
      <c r="E1412" s="56">
        <v>0</v>
      </c>
      <c r="F1412" s="57" t="s">
        <v>792</v>
      </c>
      <c r="G1412" s="58">
        <v>465000</v>
      </c>
      <c r="H1412" s="59">
        <v>500000</v>
      </c>
      <c r="I1412" s="59">
        <f t="shared" si="44"/>
        <v>0</v>
      </c>
    </row>
    <row r="1413" spans="1:9" customFormat="1" x14ac:dyDescent="0.35">
      <c r="A1413" s="63">
        <f t="shared" si="45"/>
        <v>1412</v>
      </c>
      <c r="B1413" s="54" t="s">
        <v>3662</v>
      </c>
      <c r="C1413" s="55" t="s">
        <v>3663</v>
      </c>
      <c r="D1413" s="54" t="s">
        <v>3631</v>
      </c>
      <c r="E1413" s="56">
        <v>0</v>
      </c>
      <c r="F1413" s="57" t="s">
        <v>792</v>
      </c>
      <c r="G1413" s="58">
        <v>5600</v>
      </c>
      <c r="H1413" s="59">
        <v>6720</v>
      </c>
      <c r="I1413" s="59">
        <f t="shared" si="44"/>
        <v>0</v>
      </c>
    </row>
    <row r="1414" spans="1:9" customFormat="1" x14ac:dyDescent="0.35">
      <c r="A1414" s="63">
        <f t="shared" si="45"/>
        <v>1413</v>
      </c>
      <c r="B1414" s="54" t="s">
        <v>3664</v>
      </c>
      <c r="C1414" s="55" t="s">
        <v>3665</v>
      </c>
      <c r="D1414" s="54" t="s">
        <v>3631</v>
      </c>
      <c r="E1414" s="56">
        <v>0</v>
      </c>
      <c r="F1414" s="57" t="s">
        <v>792</v>
      </c>
      <c r="G1414" s="58">
        <v>5600</v>
      </c>
      <c r="H1414" s="59">
        <v>6720</v>
      </c>
      <c r="I1414" s="59">
        <f t="shared" si="44"/>
        <v>0</v>
      </c>
    </row>
    <row r="1415" spans="1:9" customFormat="1" x14ac:dyDescent="0.35">
      <c r="A1415" s="63">
        <f t="shared" si="45"/>
        <v>1414</v>
      </c>
      <c r="B1415" s="54" t="s">
        <v>3666</v>
      </c>
      <c r="C1415" s="55" t="s">
        <v>3667</v>
      </c>
      <c r="D1415" s="54" t="s">
        <v>3631</v>
      </c>
      <c r="E1415" s="56">
        <v>0</v>
      </c>
      <c r="F1415" s="57" t="s">
        <v>792</v>
      </c>
      <c r="G1415" s="58">
        <v>46095</v>
      </c>
      <c r="H1415" s="59">
        <v>40000</v>
      </c>
      <c r="I1415" s="59">
        <f t="shared" si="44"/>
        <v>0</v>
      </c>
    </row>
    <row r="1416" spans="1:9" customFormat="1" ht="23" x14ac:dyDescent="0.35">
      <c r="A1416" s="63">
        <f t="shared" si="45"/>
        <v>1415</v>
      </c>
      <c r="B1416" s="54" t="s">
        <v>3668</v>
      </c>
      <c r="C1416" s="55" t="s">
        <v>3669</v>
      </c>
      <c r="D1416" s="54" t="s">
        <v>3631</v>
      </c>
      <c r="E1416" s="56">
        <v>0</v>
      </c>
      <c r="F1416" s="57" t="s">
        <v>792</v>
      </c>
      <c r="G1416" s="58">
        <v>62160</v>
      </c>
      <c r="H1416" s="59">
        <v>54000</v>
      </c>
      <c r="I1416" s="59">
        <f t="shared" si="44"/>
        <v>0</v>
      </c>
    </row>
    <row r="1417" spans="1:9" customFormat="1" x14ac:dyDescent="0.35">
      <c r="A1417" s="63">
        <f t="shared" si="45"/>
        <v>1416</v>
      </c>
      <c r="B1417" s="54" t="s">
        <v>3670</v>
      </c>
      <c r="C1417" s="55" t="s">
        <v>3671</v>
      </c>
      <c r="D1417" s="54" t="s">
        <v>3631</v>
      </c>
      <c r="E1417" s="56">
        <v>0</v>
      </c>
      <c r="F1417" s="57" t="s">
        <v>792</v>
      </c>
      <c r="G1417" s="58">
        <v>15800</v>
      </c>
      <c r="H1417" s="59">
        <v>20736</v>
      </c>
      <c r="I1417" s="59">
        <f t="shared" si="44"/>
        <v>0</v>
      </c>
    </row>
    <row r="1418" spans="1:9" customFormat="1" x14ac:dyDescent="0.35">
      <c r="A1418" s="63">
        <f t="shared" si="45"/>
        <v>1417</v>
      </c>
      <c r="B1418" s="54" t="s">
        <v>3672</v>
      </c>
      <c r="C1418" s="55" t="s">
        <v>3673</v>
      </c>
      <c r="D1418" s="54" t="s">
        <v>3631</v>
      </c>
      <c r="E1418" s="56">
        <v>0</v>
      </c>
      <c r="F1418" s="57" t="s">
        <v>792</v>
      </c>
      <c r="G1418" s="58">
        <v>150000</v>
      </c>
      <c r="H1418" s="59">
        <v>192000</v>
      </c>
      <c r="I1418" s="59">
        <f t="shared" si="44"/>
        <v>0</v>
      </c>
    </row>
    <row r="1419" spans="1:9" customFormat="1" x14ac:dyDescent="0.35">
      <c r="A1419" s="63">
        <f t="shared" si="45"/>
        <v>1418</v>
      </c>
      <c r="B1419" s="54" t="s">
        <v>3674</v>
      </c>
      <c r="C1419" s="55" t="s">
        <v>3675</v>
      </c>
      <c r="D1419" s="54" t="s">
        <v>3631</v>
      </c>
      <c r="E1419" s="56">
        <v>0</v>
      </c>
      <c r="F1419" s="57" t="s">
        <v>792</v>
      </c>
      <c r="G1419" s="58">
        <v>340000</v>
      </c>
      <c r="H1419" s="59">
        <v>391680</v>
      </c>
      <c r="I1419" s="59">
        <f t="shared" si="44"/>
        <v>0</v>
      </c>
    </row>
    <row r="1420" spans="1:9" customFormat="1" x14ac:dyDescent="0.35">
      <c r="A1420" s="63">
        <f t="shared" si="45"/>
        <v>1419</v>
      </c>
      <c r="B1420" s="54" t="s">
        <v>3676</v>
      </c>
      <c r="C1420" s="55" t="s">
        <v>3677</v>
      </c>
      <c r="D1420" s="54" t="s">
        <v>3631</v>
      </c>
      <c r="E1420" s="56">
        <v>0</v>
      </c>
      <c r="F1420" s="57" t="s">
        <v>792</v>
      </c>
      <c r="G1420" s="58">
        <v>740000</v>
      </c>
      <c r="H1420" s="59">
        <v>852480</v>
      </c>
      <c r="I1420" s="59">
        <f t="shared" si="44"/>
        <v>0</v>
      </c>
    </row>
    <row r="1421" spans="1:9" customFormat="1" x14ac:dyDescent="0.35">
      <c r="A1421" s="63">
        <f t="shared" si="45"/>
        <v>1420</v>
      </c>
      <c r="B1421" s="54" t="s">
        <v>3678</v>
      </c>
      <c r="C1421" s="55" t="s">
        <v>3679</v>
      </c>
      <c r="D1421" s="54" t="s">
        <v>3631</v>
      </c>
      <c r="E1421" s="56">
        <v>0</v>
      </c>
      <c r="F1421" s="57" t="s">
        <v>792</v>
      </c>
      <c r="G1421" s="58">
        <v>320000</v>
      </c>
      <c r="H1421" s="59">
        <v>384000</v>
      </c>
      <c r="I1421" s="59">
        <f t="shared" si="44"/>
        <v>0</v>
      </c>
    </row>
    <row r="1422" spans="1:9" customFormat="1" x14ac:dyDescent="0.35">
      <c r="A1422" s="63">
        <f t="shared" si="45"/>
        <v>1421</v>
      </c>
      <c r="B1422" s="54" t="s">
        <v>3680</v>
      </c>
      <c r="C1422" s="55" t="s">
        <v>3681</v>
      </c>
      <c r="D1422" s="54" t="s">
        <v>3631</v>
      </c>
      <c r="E1422" s="56">
        <v>0</v>
      </c>
      <c r="F1422" s="57" t="s">
        <v>792</v>
      </c>
      <c r="G1422" s="58">
        <v>0</v>
      </c>
      <c r="H1422" s="59">
        <v>650000</v>
      </c>
      <c r="I1422" s="59">
        <f t="shared" si="44"/>
        <v>0</v>
      </c>
    </row>
    <row r="1423" spans="1:9" customFormat="1" x14ac:dyDescent="0.35">
      <c r="A1423" s="63">
        <f t="shared" si="45"/>
        <v>1422</v>
      </c>
      <c r="B1423" s="54" t="s">
        <v>3682</v>
      </c>
      <c r="C1423" s="55" t="s">
        <v>3683</v>
      </c>
      <c r="D1423" s="54" t="s">
        <v>3631</v>
      </c>
      <c r="E1423" s="56">
        <v>0</v>
      </c>
      <c r="F1423" s="57" t="s">
        <v>792</v>
      </c>
      <c r="G1423" s="58">
        <v>490000</v>
      </c>
      <c r="H1423" s="59">
        <v>605150</v>
      </c>
      <c r="I1423" s="59">
        <f t="shared" si="44"/>
        <v>0</v>
      </c>
    </row>
    <row r="1424" spans="1:9" customFormat="1" x14ac:dyDescent="0.35">
      <c r="A1424" s="63">
        <f t="shared" si="45"/>
        <v>1423</v>
      </c>
      <c r="B1424" s="54" t="s">
        <v>3684</v>
      </c>
      <c r="C1424" s="55" t="s">
        <v>3685</v>
      </c>
      <c r="D1424" s="54" t="s">
        <v>3631</v>
      </c>
      <c r="E1424" s="56">
        <v>0</v>
      </c>
      <c r="F1424" s="57" t="s">
        <v>792</v>
      </c>
      <c r="G1424" s="58">
        <v>910000</v>
      </c>
      <c r="H1424" s="59">
        <v>1123850</v>
      </c>
      <c r="I1424" s="59">
        <f t="shared" si="44"/>
        <v>0</v>
      </c>
    </row>
    <row r="1425" spans="1:9" customFormat="1" ht="23" x14ac:dyDescent="0.35">
      <c r="A1425" s="63">
        <f t="shared" si="45"/>
        <v>1424</v>
      </c>
      <c r="B1425" s="54" t="s">
        <v>3686</v>
      </c>
      <c r="C1425" s="55" t="s">
        <v>3687</v>
      </c>
      <c r="D1425" s="54" t="s">
        <v>3631</v>
      </c>
      <c r="E1425" s="56">
        <v>0</v>
      </c>
      <c r="F1425" s="57" t="s">
        <v>792</v>
      </c>
      <c r="G1425" s="58">
        <v>10080</v>
      </c>
      <c r="H1425" s="59">
        <v>8800</v>
      </c>
      <c r="I1425" s="59">
        <f t="shared" si="44"/>
        <v>0</v>
      </c>
    </row>
    <row r="1426" spans="1:9" customFormat="1" ht="23" x14ac:dyDescent="0.35">
      <c r="A1426" s="63">
        <f t="shared" si="45"/>
        <v>1425</v>
      </c>
      <c r="B1426" s="54" t="s">
        <v>3688</v>
      </c>
      <c r="C1426" s="55" t="s">
        <v>3689</v>
      </c>
      <c r="D1426" s="54" t="s">
        <v>3631</v>
      </c>
      <c r="E1426" s="56">
        <v>0</v>
      </c>
      <c r="F1426" s="57" t="s">
        <v>792</v>
      </c>
      <c r="G1426" s="58">
        <v>8505</v>
      </c>
      <c r="H1426" s="59">
        <v>7000</v>
      </c>
      <c r="I1426" s="59">
        <f t="shared" si="44"/>
        <v>0</v>
      </c>
    </row>
    <row r="1427" spans="1:9" customFormat="1" ht="23" x14ac:dyDescent="0.35">
      <c r="A1427" s="63">
        <f t="shared" si="45"/>
        <v>1426</v>
      </c>
      <c r="B1427" s="54" t="s">
        <v>3690</v>
      </c>
      <c r="C1427" s="55" t="s">
        <v>3691</v>
      </c>
      <c r="D1427" s="54" t="s">
        <v>3631</v>
      </c>
      <c r="E1427" s="56">
        <v>0</v>
      </c>
      <c r="F1427" s="57" t="s">
        <v>792</v>
      </c>
      <c r="G1427" s="58">
        <v>60900</v>
      </c>
      <c r="H1427" s="59">
        <v>53000</v>
      </c>
      <c r="I1427" s="59">
        <f t="shared" si="44"/>
        <v>0</v>
      </c>
    </row>
    <row r="1428" spans="1:9" customFormat="1" x14ac:dyDescent="0.35">
      <c r="A1428" s="63">
        <f t="shared" si="45"/>
        <v>1427</v>
      </c>
      <c r="B1428" s="54" t="s">
        <v>3692</v>
      </c>
      <c r="C1428" s="55" t="s">
        <v>3693</v>
      </c>
      <c r="D1428" s="54" t="s">
        <v>3631</v>
      </c>
      <c r="E1428" s="56">
        <v>0</v>
      </c>
      <c r="F1428" s="57" t="s">
        <v>792</v>
      </c>
      <c r="G1428" s="58">
        <v>7250</v>
      </c>
      <c r="H1428" s="59">
        <v>8352</v>
      </c>
      <c r="I1428" s="59">
        <f t="shared" si="44"/>
        <v>0</v>
      </c>
    </row>
    <row r="1429" spans="1:9" customFormat="1" x14ac:dyDescent="0.35">
      <c r="A1429" s="63">
        <f t="shared" si="45"/>
        <v>1428</v>
      </c>
      <c r="B1429" s="54" t="s">
        <v>3694</v>
      </c>
      <c r="C1429" s="55" t="s">
        <v>3695</v>
      </c>
      <c r="D1429" s="54" t="s">
        <v>3631</v>
      </c>
      <c r="E1429" s="56">
        <v>0</v>
      </c>
      <c r="F1429" s="57" t="s">
        <v>792</v>
      </c>
      <c r="G1429" s="58">
        <v>7250</v>
      </c>
      <c r="H1429" s="59">
        <v>8352</v>
      </c>
      <c r="I1429" s="59">
        <f t="shared" si="44"/>
        <v>0</v>
      </c>
    </row>
    <row r="1430" spans="1:9" customFormat="1" x14ac:dyDescent="0.35">
      <c r="A1430" s="63">
        <f t="shared" si="45"/>
        <v>1429</v>
      </c>
      <c r="B1430" s="54" t="s">
        <v>3696</v>
      </c>
      <c r="C1430" s="55" t="s">
        <v>3697</v>
      </c>
      <c r="D1430" s="54" t="s">
        <v>3631</v>
      </c>
      <c r="E1430" s="56">
        <v>0</v>
      </c>
      <c r="F1430" s="57" t="s">
        <v>815</v>
      </c>
      <c r="G1430" s="58">
        <v>240000</v>
      </c>
      <c r="H1430" s="59">
        <v>291000</v>
      </c>
      <c r="I1430" s="59">
        <f t="shared" si="44"/>
        <v>0</v>
      </c>
    </row>
    <row r="1431" spans="1:9" customFormat="1" x14ac:dyDescent="0.35">
      <c r="A1431" s="63">
        <f t="shared" si="45"/>
        <v>1430</v>
      </c>
      <c r="B1431" s="54" t="s">
        <v>3698</v>
      </c>
      <c r="C1431" s="55" t="s">
        <v>3699</v>
      </c>
      <c r="D1431" s="54" t="s">
        <v>3631</v>
      </c>
      <c r="E1431" s="56">
        <v>0</v>
      </c>
      <c r="F1431" s="57" t="s">
        <v>792</v>
      </c>
      <c r="G1431" s="58">
        <v>14300</v>
      </c>
      <c r="H1431" s="59">
        <v>63360</v>
      </c>
      <c r="I1431" s="59">
        <f t="shared" si="44"/>
        <v>0</v>
      </c>
    </row>
    <row r="1432" spans="1:9" customFormat="1" x14ac:dyDescent="0.35">
      <c r="A1432" s="63">
        <f t="shared" si="45"/>
        <v>1431</v>
      </c>
      <c r="B1432" s="54" t="s">
        <v>3700</v>
      </c>
      <c r="C1432" s="55" t="s">
        <v>3701</v>
      </c>
      <c r="D1432" s="54" t="s">
        <v>3631</v>
      </c>
      <c r="E1432" s="56">
        <v>0</v>
      </c>
      <c r="F1432" s="57" t="s">
        <v>792</v>
      </c>
      <c r="G1432" s="58">
        <v>771</v>
      </c>
      <c r="H1432" s="59">
        <v>960</v>
      </c>
      <c r="I1432" s="59">
        <f t="shared" si="44"/>
        <v>0</v>
      </c>
    </row>
    <row r="1433" spans="1:9" customFormat="1" x14ac:dyDescent="0.35">
      <c r="A1433" s="63">
        <f t="shared" si="45"/>
        <v>1432</v>
      </c>
      <c r="B1433" s="54" t="s">
        <v>3702</v>
      </c>
      <c r="C1433" s="55" t="s">
        <v>3703</v>
      </c>
      <c r="D1433" s="54" t="s">
        <v>3631</v>
      </c>
      <c r="E1433" s="56">
        <v>0</v>
      </c>
      <c r="F1433" s="57" t="s">
        <v>994</v>
      </c>
      <c r="G1433" s="58">
        <v>36725</v>
      </c>
      <c r="H1433" s="59">
        <v>42048</v>
      </c>
      <c r="I1433" s="59">
        <f t="shared" si="44"/>
        <v>0</v>
      </c>
    </row>
    <row r="1434" spans="1:9" customFormat="1" x14ac:dyDescent="0.35">
      <c r="A1434" s="63">
        <f t="shared" si="45"/>
        <v>1433</v>
      </c>
      <c r="B1434" s="54" t="s">
        <v>3704</v>
      </c>
      <c r="C1434" s="55" t="s">
        <v>3705</v>
      </c>
      <c r="D1434" s="54" t="s">
        <v>3631</v>
      </c>
      <c r="E1434" s="56">
        <v>0</v>
      </c>
      <c r="F1434" s="57" t="s">
        <v>994</v>
      </c>
      <c r="G1434" s="58">
        <v>56875</v>
      </c>
      <c r="H1434" s="59">
        <v>68352</v>
      </c>
      <c r="I1434" s="59">
        <f t="shared" si="44"/>
        <v>0</v>
      </c>
    </row>
    <row r="1435" spans="1:9" customFormat="1" x14ac:dyDescent="0.35">
      <c r="A1435" s="63">
        <f t="shared" si="45"/>
        <v>1434</v>
      </c>
      <c r="B1435" s="54" t="s">
        <v>3706</v>
      </c>
      <c r="C1435" s="55" t="s">
        <v>3707</v>
      </c>
      <c r="D1435" s="54" t="s">
        <v>3631</v>
      </c>
      <c r="E1435" s="56">
        <v>0</v>
      </c>
      <c r="F1435" s="57" t="s">
        <v>870</v>
      </c>
      <c r="G1435" s="58">
        <v>2500</v>
      </c>
      <c r="H1435" s="59">
        <v>3455</v>
      </c>
      <c r="I1435" s="59">
        <f t="shared" si="44"/>
        <v>0</v>
      </c>
    </row>
    <row r="1436" spans="1:9" customFormat="1" x14ac:dyDescent="0.35">
      <c r="A1436" s="63">
        <f t="shared" si="45"/>
        <v>1435</v>
      </c>
      <c r="B1436" s="54" t="s">
        <v>3708</v>
      </c>
      <c r="C1436" s="55" t="s">
        <v>3709</v>
      </c>
      <c r="D1436" s="54" t="s">
        <v>3631</v>
      </c>
      <c r="E1436" s="56">
        <v>0</v>
      </c>
      <c r="F1436" s="57" t="s">
        <v>870</v>
      </c>
      <c r="G1436" s="58">
        <v>7000</v>
      </c>
      <c r="H1436" s="59">
        <v>9216</v>
      </c>
      <c r="I1436" s="59">
        <f t="shared" si="44"/>
        <v>0</v>
      </c>
    </row>
    <row r="1437" spans="1:9" customFormat="1" x14ac:dyDescent="0.35">
      <c r="A1437" s="63">
        <f t="shared" si="45"/>
        <v>1436</v>
      </c>
      <c r="B1437" s="54" t="s">
        <v>3710</v>
      </c>
      <c r="C1437" s="55" t="s">
        <v>3711</v>
      </c>
      <c r="D1437" s="54" t="s">
        <v>3631</v>
      </c>
      <c r="E1437" s="56">
        <v>0</v>
      </c>
      <c r="F1437" s="57" t="s">
        <v>870</v>
      </c>
      <c r="G1437" s="58">
        <v>3000</v>
      </c>
      <c r="H1437" s="59">
        <v>3455</v>
      </c>
      <c r="I1437" s="59">
        <f t="shared" si="44"/>
        <v>0</v>
      </c>
    </row>
    <row r="1438" spans="1:9" customFormat="1" x14ac:dyDescent="0.35">
      <c r="A1438" s="63">
        <f t="shared" si="45"/>
        <v>1437</v>
      </c>
      <c r="B1438" s="54" t="s">
        <v>3712</v>
      </c>
      <c r="C1438" s="55" t="s">
        <v>3713</v>
      </c>
      <c r="D1438" s="54" t="s">
        <v>3631</v>
      </c>
      <c r="E1438" s="56">
        <v>0</v>
      </c>
      <c r="F1438" s="57" t="s">
        <v>792</v>
      </c>
      <c r="G1438" s="58">
        <v>36000</v>
      </c>
      <c r="H1438" s="59">
        <v>41472</v>
      </c>
      <c r="I1438" s="59">
        <f t="shared" si="44"/>
        <v>0</v>
      </c>
    </row>
    <row r="1439" spans="1:9" customFormat="1" x14ac:dyDescent="0.35">
      <c r="A1439" s="63">
        <f t="shared" si="45"/>
        <v>1438</v>
      </c>
      <c r="B1439" s="54" t="s">
        <v>3714</v>
      </c>
      <c r="C1439" s="55" t="s">
        <v>3715</v>
      </c>
      <c r="D1439" s="54" t="s">
        <v>3631</v>
      </c>
      <c r="E1439" s="56">
        <v>0</v>
      </c>
      <c r="F1439" s="57" t="s">
        <v>792</v>
      </c>
      <c r="G1439" s="58">
        <v>13000</v>
      </c>
      <c r="H1439" s="59">
        <v>14976</v>
      </c>
      <c r="I1439" s="59">
        <f t="shared" si="44"/>
        <v>0</v>
      </c>
    </row>
    <row r="1440" spans="1:9" customFormat="1" x14ac:dyDescent="0.35">
      <c r="A1440" s="63">
        <f t="shared" si="45"/>
        <v>1439</v>
      </c>
      <c r="B1440" s="54" t="s">
        <v>3716</v>
      </c>
      <c r="C1440" s="55" t="s">
        <v>3717</v>
      </c>
      <c r="D1440" s="54" t="s">
        <v>3631</v>
      </c>
      <c r="E1440" s="56">
        <v>0</v>
      </c>
      <c r="F1440" s="57" t="s">
        <v>792</v>
      </c>
      <c r="G1440" s="58">
        <v>311900</v>
      </c>
      <c r="H1440" s="59">
        <v>390000</v>
      </c>
      <c r="I1440" s="59">
        <f t="shared" si="44"/>
        <v>0</v>
      </c>
    </row>
    <row r="1441" spans="1:9" customFormat="1" x14ac:dyDescent="0.35">
      <c r="A1441" s="63">
        <f t="shared" si="45"/>
        <v>1440</v>
      </c>
      <c r="B1441" s="54" t="s">
        <v>3718</v>
      </c>
      <c r="C1441" s="55" t="s">
        <v>3719</v>
      </c>
      <c r="D1441" s="54" t="s">
        <v>3631</v>
      </c>
      <c r="E1441" s="56">
        <v>0</v>
      </c>
      <c r="F1441" s="57" t="s">
        <v>792</v>
      </c>
      <c r="G1441" s="58">
        <v>52000</v>
      </c>
      <c r="H1441" s="59">
        <v>61056</v>
      </c>
      <c r="I1441" s="59">
        <f t="shared" si="44"/>
        <v>0</v>
      </c>
    </row>
    <row r="1442" spans="1:9" customFormat="1" x14ac:dyDescent="0.35">
      <c r="A1442" s="63">
        <f t="shared" si="45"/>
        <v>1441</v>
      </c>
      <c r="B1442" s="54" t="s">
        <v>3720</v>
      </c>
      <c r="C1442" s="55" t="s">
        <v>3721</v>
      </c>
      <c r="D1442" s="54" t="s">
        <v>3631</v>
      </c>
      <c r="E1442" s="56">
        <v>0</v>
      </c>
      <c r="F1442" s="57" t="s">
        <v>977</v>
      </c>
      <c r="G1442" s="58">
        <v>133428.75</v>
      </c>
      <c r="H1442" s="59">
        <v>190000</v>
      </c>
      <c r="I1442" s="59">
        <f t="shared" si="44"/>
        <v>0</v>
      </c>
    </row>
    <row r="1443" spans="1:9" x14ac:dyDescent="0.35">
      <c r="A1443" s="71">
        <f t="shared" si="45"/>
        <v>1442</v>
      </c>
      <c r="B1443" s="72" t="s">
        <v>3722</v>
      </c>
      <c r="C1443" s="73" t="s">
        <v>3723</v>
      </c>
      <c r="D1443" s="72" t="s">
        <v>3631</v>
      </c>
      <c r="E1443" s="93">
        <v>16</v>
      </c>
      <c r="F1443" s="74" t="s">
        <v>792</v>
      </c>
      <c r="G1443" s="75">
        <v>35800</v>
      </c>
      <c r="H1443" s="76">
        <v>43000</v>
      </c>
      <c r="I1443" s="59">
        <f t="shared" si="44"/>
        <v>688000</v>
      </c>
    </row>
    <row r="1444" spans="1:9" customFormat="1" x14ac:dyDescent="0.35">
      <c r="A1444" s="63">
        <f t="shared" si="45"/>
        <v>1443</v>
      </c>
      <c r="B1444" s="54" t="s">
        <v>3724</v>
      </c>
      <c r="C1444" s="55" t="s">
        <v>3725</v>
      </c>
      <c r="D1444" s="54" t="s">
        <v>3726</v>
      </c>
      <c r="E1444" s="56">
        <v>0</v>
      </c>
      <c r="F1444" s="57" t="s">
        <v>969</v>
      </c>
      <c r="G1444" s="58">
        <v>290000</v>
      </c>
      <c r="H1444" s="59">
        <v>0</v>
      </c>
      <c r="I1444" s="59">
        <f t="shared" si="44"/>
        <v>0</v>
      </c>
    </row>
    <row r="1445" spans="1:9" customFormat="1" x14ac:dyDescent="0.35">
      <c r="A1445" s="63">
        <f t="shared" si="45"/>
        <v>1444</v>
      </c>
      <c r="B1445" s="54" t="s">
        <v>3727</v>
      </c>
      <c r="C1445" s="55" t="s">
        <v>3728</v>
      </c>
      <c r="D1445" s="54" t="s">
        <v>3726</v>
      </c>
      <c r="E1445" s="56">
        <v>0</v>
      </c>
      <c r="F1445" s="57" t="s">
        <v>792</v>
      </c>
      <c r="G1445" s="58">
        <v>0</v>
      </c>
      <c r="H1445" s="59">
        <v>12077</v>
      </c>
      <c r="I1445" s="59">
        <f t="shared" si="44"/>
        <v>0</v>
      </c>
    </row>
    <row r="1446" spans="1:9" customFormat="1" x14ac:dyDescent="0.35">
      <c r="A1446" s="63">
        <f t="shared" si="45"/>
        <v>1445</v>
      </c>
      <c r="B1446" s="54" t="s">
        <v>3729</v>
      </c>
      <c r="C1446" s="55" t="s">
        <v>3730</v>
      </c>
      <c r="D1446" s="54" t="s">
        <v>3726</v>
      </c>
      <c r="E1446" s="56">
        <v>0</v>
      </c>
      <c r="F1446" s="57" t="s">
        <v>815</v>
      </c>
      <c r="G1446" s="58">
        <v>45000</v>
      </c>
      <c r="H1446" s="59">
        <v>78900</v>
      </c>
      <c r="I1446" s="59">
        <f t="shared" si="44"/>
        <v>0</v>
      </c>
    </row>
    <row r="1447" spans="1:9" customFormat="1" x14ac:dyDescent="0.35">
      <c r="A1447" s="63">
        <f t="shared" si="45"/>
        <v>1446</v>
      </c>
      <c r="B1447" s="54" t="s">
        <v>3731</v>
      </c>
      <c r="C1447" s="55" t="s">
        <v>3732</v>
      </c>
      <c r="D1447" s="54" t="s">
        <v>3726</v>
      </c>
      <c r="E1447" s="56">
        <v>0</v>
      </c>
      <c r="F1447" s="57" t="s">
        <v>815</v>
      </c>
      <c r="G1447" s="58">
        <v>45000</v>
      </c>
      <c r="H1447" s="59">
        <v>78900</v>
      </c>
      <c r="I1447" s="59">
        <f t="shared" si="44"/>
        <v>0</v>
      </c>
    </row>
    <row r="1448" spans="1:9" customFormat="1" ht="23" x14ac:dyDescent="0.35">
      <c r="A1448" s="63">
        <f t="shared" si="45"/>
        <v>1447</v>
      </c>
      <c r="B1448" s="54" t="s">
        <v>3733</v>
      </c>
      <c r="C1448" s="55" t="s">
        <v>3734</v>
      </c>
      <c r="D1448" s="54" t="s">
        <v>3726</v>
      </c>
      <c r="E1448" s="56">
        <v>0</v>
      </c>
      <c r="F1448" s="57" t="s">
        <v>878</v>
      </c>
      <c r="G1448" s="58">
        <v>0</v>
      </c>
      <c r="H1448" s="59">
        <v>45000</v>
      </c>
      <c r="I1448" s="59">
        <f t="shared" si="44"/>
        <v>0</v>
      </c>
    </row>
    <row r="1449" spans="1:9" customFormat="1" x14ac:dyDescent="0.35">
      <c r="A1449" s="63">
        <f t="shared" si="45"/>
        <v>1448</v>
      </c>
      <c r="B1449" s="54" t="s">
        <v>3735</v>
      </c>
      <c r="C1449" s="55" t="s">
        <v>3736</v>
      </c>
      <c r="D1449" s="54" t="s">
        <v>3726</v>
      </c>
      <c r="E1449" s="56">
        <v>0</v>
      </c>
      <c r="F1449" s="57" t="s">
        <v>844</v>
      </c>
      <c r="G1449" s="58">
        <v>2700000</v>
      </c>
      <c r="H1449" s="59">
        <v>3810240</v>
      </c>
      <c r="I1449" s="59">
        <f t="shared" si="44"/>
        <v>0</v>
      </c>
    </row>
    <row r="1450" spans="1:9" customFormat="1" x14ac:dyDescent="0.35">
      <c r="A1450" s="63">
        <f t="shared" si="45"/>
        <v>1449</v>
      </c>
      <c r="B1450" s="54" t="s">
        <v>3737</v>
      </c>
      <c r="C1450" s="55" t="s">
        <v>3738</v>
      </c>
      <c r="D1450" s="54" t="s">
        <v>3726</v>
      </c>
      <c r="E1450" s="56">
        <v>0</v>
      </c>
      <c r="F1450" s="57" t="s">
        <v>3109</v>
      </c>
      <c r="G1450" s="58">
        <v>0</v>
      </c>
      <c r="H1450" s="59">
        <v>3591000</v>
      </c>
      <c r="I1450" s="59">
        <f t="shared" si="44"/>
        <v>0</v>
      </c>
    </row>
    <row r="1451" spans="1:9" customFormat="1" x14ac:dyDescent="0.35">
      <c r="A1451" s="63">
        <f t="shared" si="45"/>
        <v>1450</v>
      </c>
      <c r="B1451" s="54" t="s">
        <v>3739</v>
      </c>
      <c r="C1451" s="55" t="s">
        <v>3740</v>
      </c>
      <c r="D1451" s="54" t="s">
        <v>3726</v>
      </c>
      <c r="E1451" s="56">
        <v>0</v>
      </c>
      <c r="F1451" s="57" t="s">
        <v>3109</v>
      </c>
      <c r="G1451" s="58">
        <v>0</v>
      </c>
      <c r="H1451" s="59">
        <v>6184500</v>
      </c>
      <c r="I1451" s="59">
        <f t="shared" si="44"/>
        <v>0</v>
      </c>
    </row>
    <row r="1452" spans="1:9" customFormat="1" x14ac:dyDescent="0.35">
      <c r="A1452" s="63">
        <f t="shared" si="45"/>
        <v>1451</v>
      </c>
      <c r="B1452" s="54" t="s">
        <v>3741</v>
      </c>
      <c r="C1452" s="55" t="s">
        <v>3742</v>
      </c>
      <c r="D1452" s="54" t="s">
        <v>3726</v>
      </c>
      <c r="E1452" s="56">
        <v>0</v>
      </c>
      <c r="F1452" s="57" t="s">
        <v>3109</v>
      </c>
      <c r="G1452" s="58">
        <v>0</v>
      </c>
      <c r="H1452" s="59">
        <v>4189500</v>
      </c>
      <c r="I1452" s="59">
        <f t="shared" si="44"/>
        <v>0</v>
      </c>
    </row>
    <row r="1453" spans="1:9" customFormat="1" x14ac:dyDescent="0.35">
      <c r="A1453" s="63">
        <f t="shared" si="45"/>
        <v>1452</v>
      </c>
      <c r="B1453" s="54" t="s">
        <v>3743</v>
      </c>
      <c r="C1453" s="55" t="s">
        <v>3744</v>
      </c>
      <c r="D1453" s="54" t="s">
        <v>3726</v>
      </c>
      <c r="E1453" s="56">
        <v>0</v>
      </c>
      <c r="F1453" s="57" t="s">
        <v>3109</v>
      </c>
      <c r="G1453" s="58">
        <v>0</v>
      </c>
      <c r="H1453" s="59">
        <v>4189500</v>
      </c>
      <c r="I1453" s="59">
        <f t="shared" si="44"/>
        <v>0</v>
      </c>
    </row>
    <row r="1454" spans="1:9" customFormat="1" x14ac:dyDescent="0.35">
      <c r="A1454" s="63">
        <f t="shared" si="45"/>
        <v>1453</v>
      </c>
      <c r="B1454" s="54" t="s">
        <v>3745</v>
      </c>
      <c r="C1454" s="55" t="s">
        <v>3746</v>
      </c>
      <c r="D1454" s="54" t="s">
        <v>3726</v>
      </c>
      <c r="E1454" s="56">
        <v>0</v>
      </c>
      <c r="F1454" s="57" t="s">
        <v>3109</v>
      </c>
      <c r="G1454" s="58">
        <v>0</v>
      </c>
      <c r="H1454" s="59">
        <v>4189500</v>
      </c>
      <c r="I1454" s="59">
        <f t="shared" si="44"/>
        <v>0</v>
      </c>
    </row>
    <row r="1455" spans="1:9" customFormat="1" x14ac:dyDescent="0.35">
      <c r="A1455" s="63">
        <f t="shared" si="45"/>
        <v>1454</v>
      </c>
      <c r="B1455" s="54" t="s">
        <v>3747</v>
      </c>
      <c r="C1455" s="55" t="s">
        <v>3748</v>
      </c>
      <c r="D1455" s="54" t="s">
        <v>3726</v>
      </c>
      <c r="E1455" s="56">
        <v>0</v>
      </c>
      <c r="F1455" s="57" t="s">
        <v>3109</v>
      </c>
      <c r="G1455" s="58">
        <v>0</v>
      </c>
      <c r="H1455" s="59">
        <v>4189500</v>
      </c>
      <c r="I1455" s="59">
        <f t="shared" si="44"/>
        <v>0</v>
      </c>
    </row>
    <row r="1456" spans="1:9" customFormat="1" x14ac:dyDescent="0.35">
      <c r="A1456" s="63">
        <f t="shared" si="45"/>
        <v>1455</v>
      </c>
      <c r="B1456" s="54" t="s">
        <v>3749</v>
      </c>
      <c r="C1456" s="55" t="s">
        <v>3750</v>
      </c>
      <c r="D1456" s="54" t="s">
        <v>3726</v>
      </c>
      <c r="E1456" s="56">
        <v>0</v>
      </c>
      <c r="F1456" s="57" t="s">
        <v>878</v>
      </c>
      <c r="G1456" s="58">
        <v>500000</v>
      </c>
      <c r="H1456" s="59">
        <v>776000</v>
      </c>
      <c r="I1456" s="59">
        <f t="shared" si="44"/>
        <v>0</v>
      </c>
    </row>
    <row r="1457" spans="1:9" customFormat="1" x14ac:dyDescent="0.35">
      <c r="A1457" s="63">
        <f t="shared" si="45"/>
        <v>1456</v>
      </c>
      <c r="B1457" s="54" t="s">
        <v>3751</v>
      </c>
      <c r="C1457" s="55" t="s">
        <v>3752</v>
      </c>
      <c r="D1457" s="54" t="s">
        <v>3726</v>
      </c>
      <c r="E1457" s="56">
        <v>0</v>
      </c>
      <c r="F1457" s="57" t="s">
        <v>792</v>
      </c>
      <c r="G1457" s="58">
        <v>297000</v>
      </c>
      <c r="H1457" s="59">
        <v>445000</v>
      </c>
      <c r="I1457" s="59">
        <f t="shared" si="44"/>
        <v>0</v>
      </c>
    </row>
    <row r="1458" spans="1:9" customFormat="1" x14ac:dyDescent="0.35">
      <c r="A1458" s="63">
        <f t="shared" si="45"/>
        <v>1457</v>
      </c>
      <c r="B1458" s="54" t="s">
        <v>3753</v>
      </c>
      <c r="C1458" s="55" t="s">
        <v>3754</v>
      </c>
      <c r="D1458" s="54" t="s">
        <v>3726</v>
      </c>
      <c r="E1458" s="56">
        <v>0</v>
      </c>
      <c r="F1458" s="57" t="s">
        <v>878</v>
      </c>
      <c r="G1458" s="58">
        <v>165000</v>
      </c>
      <c r="H1458" s="59">
        <v>0</v>
      </c>
      <c r="I1458" s="59">
        <f t="shared" si="44"/>
        <v>0</v>
      </c>
    </row>
    <row r="1459" spans="1:9" customFormat="1" x14ac:dyDescent="0.35">
      <c r="A1459" s="63">
        <f t="shared" si="45"/>
        <v>1458</v>
      </c>
      <c r="B1459" s="54" t="s">
        <v>3755</v>
      </c>
      <c r="C1459" s="55" t="s">
        <v>3756</v>
      </c>
      <c r="D1459" s="54" t="s">
        <v>3726</v>
      </c>
      <c r="E1459" s="56">
        <v>0</v>
      </c>
      <c r="F1459" s="57" t="s">
        <v>792</v>
      </c>
      <c r="G1459" s="58">
        <v>290000</v>
      </c>
      <c r="H1459" s="59">
        <v>0</v>
      </c>
      <c r="I1459" s="59">
        <f t="shared" si="44"/>
        <v>0</v>
      </c>
    </row>
    <row r="1460" spans="1:9" customFormat="1" x14ac:dyDescent="0.35">
      <c r="A1460" s="63">
        <f t="shared" si="45"/>
        <v>1459</v>
      </c>
      <c r="B1460" s="54" t="s">
        <v>3757</v>
      </c>
      <c r="C1460" s="55" t="s">
        <v>3758</v>
      </c>
      <c r="D1460" s="54" t="s">
        <v>3726</v>
      </c>
      <c r="E1460" s="92">
        <v>34</v>
      </c>
      <c r="F1460" s="57" t="s">
        <v>815</v>
      </c>
      <c r="G1460" s="58">
        <v>52000</v>
      </c>
      <c r="H1460" s="59">
        <v>78900</v>
      </c>
      <c r="I1460" s="59">
        <f t="shared" si="44"/>
        <v>2682600</v>
      </c>
    </row>
    <row r="1461" spans="1:9" customFormat="1" x14ac:dyDescent="0.35">
      <c r="A1461" s="63">
        <f t="shared" si="45"/>
        <v>1460</v>
      </c>
      <c r="B1461" s="54" t="s">
        <v>3759</v>
      </c>
      <c r="C1461" s="55" t="s">
        <v>3760</v>
      </c>
      <c r="D1461" s="54" t="s">
        <v>3726</v>
      </c>
      <c r="E1461" s="92">
        <v>98</v>
      </c>
      <c r="F1461" s="57" t="s">
        <v>815</v>
      </c>
      <c r="G1461" s="58">
        <v>52000</v>
      </c>
      <c r="H1461" s="59">
        <v>78900</v>
      </c>
      <c r="I1461" s="59">
        <f t="shared" si="44"/>
        <v>7732200</v>
      </c>
    </row>
    <row r="1462" spans="1:9" customFormat="1" x14ac:dyDescent="0.35">
      <c r="A1462" s="63">
        <f t="shared" si="45"/>
        <v>1461</v>
      </c>
      <c r="B1462" s="54" t="s">
        <v>3761</v>
      </c>
      <c r="C1462" s="55" t="s">
        <v>3762</v>
      </c>
      <c r="D1462" s="54" t="s">
        <v>3726</v>
      </c>
      <c r="E1462" s="92">
        <v>106</v>
      </c>
      <c r="F1462" s="57" t="s">
        <v>815</v>
      </c>
      <c r="G1462" s="58">
        <v>52000</v>
      </c>
      <c r="H1462" s="59">
        <v>78900</v>
      </c>
      <c r="I1462" s="59">
        <f t="shared" si="44"/>
        <v>8363400</v>
      </c>
    </row>
    <row r="1463" spans="1:9" customFormat="1" x14ac:dyDescent="0.35">
      <c r="A1463" s="63">
        <f t="shared" si="45"/>
        <v>1462</v>
      </c>
      <c r="B1463" s="54" t="s">
        <v>3763</v>
      </c>
      <c r="C1463" s="55" t="s">
        <v>3764</v>
      </c>
      <c r="D1463" s="54" t="s">
        <v>3726</v>
      </c>
      <c r="E1463" s="92">
        <v>228</v>
      </c>
      <c r="F1463" s="57" t="s">
        <v>792</v>
      </c>
      <c r="G1463" s="58">
        <v>2552</v>
      </c>
      <c r="H1463" s="59">
        <v>92000</v>
      </c>
      <c r="I1463" s="59">
        <f t="shared" si="44"/>
        <v>20976000</v>
      </c>
    </row>
    <row r="1464" spans="1:9" customFormat="1" ht="23" x14ac:dyDescent="0.35">
      <c r="A1464" s="63">
        <f t="shared" si="45"/>
        <v>1463</v>
      </c>
      <c r="B1464" s="54" t="s">
        <v>3765</v>
      </c>
      <c r="C1464" s="55" t="s">
        <v>3766</v>
      </c>
      <c r="D1464" s="54" t="s">
        <v>3726</v>
      </c>
      <c r="E1464" s="92">
        <v>994</v>
      </c>
      <c r="F1464" s="57" t="s">
        <v>3767</v>
      </c>
      <c r="G1464" s="58">
        <v>0</v>
      </c>
      <c r="H1464" s="59">
        <v>37000</v>
      </c>
      <c r="I1464" s="59">
        <f t="shared" si="44"/>
        <v>36778000</v>
      </c>
    </row>
    <row r="1465" spans="1:9" customFormat="1" x14ac:dyDescent="0.35">
      <c r="A1465" s="63">
        <f t="shared" si="45"/>
        <v>1464</v>
      </c>
      <c r="B1465" s="54" t="s">
        <v>3768</v>
      </c>
      <c r="C1465" s="55" t="s">
        <v>3769</v>
      </c>
      <c r="D1465" s="54" t="s">
        <v>3726</v>
      </c>
      <c r="E1465" s="92">
        <v>591</v>
      </c>
      <c r="F1465" s="57" t="s">
        <v>792</v>
      </c>
      <c r="G1465" s="58">
        <v>2552</v>
      </c>
      <c r="H1465" s="59">
        <v>125000</v>
      </c>
      <c r="I1465" s="59">
        <f t="shared" si="44"/>
        <v>73875000</v>
      </c>
    </row>
    <row r="1466" spans="1:9" customFormat="1" x14ac:dyDescent="0.35">
      <c r="A1466" s="63">
        <f t="shared" si="45"/>
        <v>1465</v>
      </c>
      <c r="B1466" s="54" t="s">
        <v>3770</v>
      </c>
      <c r="C1466" s="55" t="s">
        <v>3771</v>
      </c>
      <c r="D1466" s="54" t="s">
        <v>3772</v>
      </c>
      <c r="E1466" s="56">
        <v>0</v>
      </c>
      <c r="F1466" s="57" t="s">
        <v>974</v>
      </c>
      <c r="G1466" s="58">
        <v>110576.66</v>
      </c>
      <c r="H1466" s="59">
        <v>200000</v>
      </c>
      <c r="I1466" s="59">
        <f t="shared" si="44"/>
        <v>0</v>
      </c>
    </row>
    <row r="1467" spans="1:9" customFormat="1" x14ac:dyDescent="0.35">
      <c r="A1467" s="63">
        <f t="shared" si="45"/>
        <v>1466</v>
      </c>
      <c r="B1467" s="54" t="s">
        <v>3773</v>
      </c>
      <c r="C1467" s="55" t="s">
        <v>3774</v>
      </c>
      <c r="D1467" s="54" t="s">
        <v>3772</v>
      </c>
      <c r="E1467" s="56">
        <v>0</v>
      </c>
      <c r="F1467" s="57" t="s">
        <v>994</v>
      </c>
      <c r="G1467" s="58">
        <v>83600</v>
      </c>
      <c r="H1467" s="59">
        <v>83600</v>
      </c>
      <c r="I1467" s="59">
        <f t="shared" si="44"/>
        <v>0</v>
      </c>
    </row>
    <row r="1468" spans="1:9" x14ac:dyDescent="0.35">
      <c r="A1468" s="71">
        <f t="shared" si="45"/>
        <v>1467</v>
      </c>
      <c r="B1468" s="72" t="s">
        <v>3775</v>
      </c>
      <c r="C1468" s="73" t="s">
        <v>3776</v>
      </c>
      <c r="D1468" s="72" t="s">
        <v>3772</v>
      </c>
      <c r="E1468" s="93">
        <v>50</v>
      </c>
      <c r="F1468" s="74" t="s">
        <v>974</v>
      </c>
      <c r="G1468" s="75">
        <v>110576</v>
      </c>
      <c r="H1468" s="76">
        <v>200000</v>
      </c>
      <c r="I1468" s="59">
        <f t="shared" si="44"/>
        <v>10000000</v>
      </c>
    </row>
    <row r="1469" spans="1:9" customFormat="1" x14ac:dyDescent="0.35">
      <c r="A1469" s="63">
        <f t="shared" si="45"/>
        <v>1468</v>
      </c>
      <c r="B1469" s="54" t="s">
        <v>3777</v>
      </c>
      <c r="C1469" s="55" t="s">
        <v>3778</v>
      </c>
      <c r="D1469" s="54" t="s">
        <v>3772</v>
      </c>
      <c r="E1469" s="92">
        <v>100</v>
      </c>
      <c r="F1469" s="57" t="s">
        <v>974</v>
      </c>
      <c r="G1469" s="58">
        <v>110576.66</v>
      </c>
      <c r="H1469" s="59">
        <v>200000</v>
      </c>
      <c r="I1469" s="59">
        <f t="shared" si="44"/>
        <v>20000000</v>
      </c>
    </row>
    <row r="1470" spans="1:9" customFormat="1" ht="23" x14ac:dyDescent="0.35">
      <c r="A1470" s="63">
        <f t="shared" si="45"/>
        <v>1469</v>
      </c>
      <c r="B1470" s="54" t="s">
        <v>3779</v>
      </c>
      <c r="C1470" s="55" t="s">
        <v>3780</v>
      </c>
      <c r="D1470" s="54" t="s">
        <v>3781</v>
      </c>
      <c r="E1470" s="56">
        <v>0</v>
      </c>
      <c r="F1470" s="57" t="s">
        <v>844</v>
      </c>
      <c r="G1470" s="58">
        <v>650000</v>
      </c>
      <c r="H1470" s="59">
        <v>0</v>
      </c>
      <c r="I1470" s="59">
        <f t="shared" si="44"/>
        <v>0</v>
      </c>
    </row>
    <row r="1471" spans="1:9" customFormat="1" ht="23" x14ac:dyDescent="0.35">
      <c r="A1471" s="63">
        <f t="shared" si="45"/>
        <v>1470</v>
      </c>
      <c r="B1471" s="54" t="s">
        <v>3782</v>
      </c>
      <c r="C1471" s="55" t="s">
        <v>3783</v>
      </c>
      <c r="D1471" s="54" t="s">
        <v>3781</v>
      </c>
      <c r="E1471" s="56">
        <v>0</v>
      </c>
      <c r="F1471" s="57" t="s">
        <v>844</v>
      </c>
      <c r="G1471" s="58">
        <v>90000</v>
      </c>
      <c r="H1471" s="59">
        <v>0</v>
      </c>
      <c r="I1471" s="59">
        <f t="shared" si="44"/>
        <v>0</v>
      </c>
    </row>
    <row r="1472" spans="1:9" customFormat="1" x14ac:dyDescent="0.35">
      <c r="A1472" s="63">
        <f t="shared" si="45"/>
        <v>1471</v>
      </c>
      <c r="B1472" s="54" t="s">
        <v>3784</v>
      </c>
      <c r="C1472" s="55" t="s">
        <v>3785</v>
      </c>
      <c r="D1472" s="54" t="s">
        <v>3781</v>
      </c>
      <c r="E1472" s="56">
        <v>0</v>
      </c>
      <c r="F1472" s="57" t="s">
        <v>792</v>
      </c>
      <c r="G1472" s="58">
        <v>525000</v>
      </c>
      <c r="H1472" s="59">
        <v>446880</v>
      </c>
      <c r="I1472" s="59">
        <f t="shared" si="44"/>
        <v>0</v>
      </c>
    </row>
    <row r="1473" spans="1:9" customFormat="1" x14ac:dyDescent="0.35">
      <c r="A1473" s="63">
        <f t="shared" si="45"/>
        <v>1472</v>
      </c>
      <c r="B1473" s="54" t="s">
        <v>3786</v>
      </c>
      <c r="C1473" s="55" t="s">
        <v>3787</v>
      </c>
      <c r="D1473" s="54" t="s">
        <v>3781</v>
      </c>
      <c r="E1473" s="56">
        <v>0</v>
      </c>
      <c r="F1473" s="57" t="s">
        <v>792</v>
      </c>
      <c r="G1473" s="58">
        <v>93999</v>
      </c>
      <c r="H1473" s="59">
        <v>93999</v>
      </c>
      <c r="I1473" s="59">
        <f t="shared" si="44"/>
        <v>0</v>
      </c>
    </row>
    <row r="1474" spans="1:9" customFormat="1" x14ac:dyDescent="0.35">
      <c r="A1474" s="63">
        <f t="shared" si="45"/>
        <v>1473</v>
      </c>
      <c r="B1474" s="54" t="s">
        <v>3788</v>
      </c>
      <c r="C1474" s="55" t="s">
        <v>3789</v>
      </c>
      <c r="D1474" s="54" t="s">
        <v>3781</v>
      </c>
      <c r="E1474" s="56">
        <v>0</v>
      </c>
      <c r="F1474" s="57" t="s">
        <v>792</v>
      </c>
      <c r="G1474" s="58">
        <v>600000</v>
      </c>
      <c r="H1474" s="59">
        <v>600000</v>
      </c>
      <c r="I1474" s="59">
        <f t="shared" si="44"/>
        <v>0</v>
      </c>
    </row>
    <row r="1475" spans="1:9" customFormat="1" x14ac:dyDescent="0.35">
      <c r="A1475" s="63">
        <f t="shared" si="45"/>
        <v>1474</v>
      </c>
      <c r="B1475" s="54" t="s">
        <v>3790</v>
      </c>
      <c r="C1475" s="55" t="s">
        <v>3791</v>
      </c>
      <c r="D1475" s="54" t="s">
        <v>3781</v>
      </c>
      <c r="E1475" s="56">
        <v>0</v>
      </c>
      <c r="F1475" s="57" t="s">
        <v>792</v>
      </c>
      <c r="G1475" s="58">
        <v>800000</v>
      </c>
      <c r="H1475" s="59">
        <v>1176000</v>
      </c>
      <c r="I1475" s="59">
        <f t="shared" ref="I1475:I1538" si="46">H1475*E1475</f>
        <v>0</v>
      </c>
    </row>
    <row r="1476" spans="1:9" customFormat="1" x14ac:dyDescent="0.35">
      <c r="A1476" s="63">
        <f t="shared" ref="A1476:A1539" si="47">A1475+1</f>
        <v>1475</v>
      </c>
      <c r="B1476" s="54" t="s">
        <v>3792</v>
      </c>
      <c r="C1476" s="55" t="s">
        <v>3793</v>
      </c>
      <c r="D1476" s="54" t="s">
        <v>3781</v>
      </c>
      <c r="E1476" s="56">
        <v>0</v>
      </c>
      <c r="F1476" s="57" t="s">
        <v>792</v>
      </c>
      <c r="G1476" s="58">
        <v>334000</v>
      </c>
      <c r="H1476" s="59">
        <v>491000</v>
      </c>
      <c r="I1476" s="59">
        <f t="shared" si="46"/>
        <v>0</v>
      </c>
    </row>
    <row r="1477" spans="1:9" customFormat="1" x14ac:dyDescent="0.35">
      <c r="A1477" s="63">
        <f t="shared" si="47"/>
        <v>1476</v>
      </c>
      <c r="B1477" s="54" t="s">
        <v>3794</v>
      </c>
      <c r="C1477" s="55" t="s">
        <v>3795</v>
      </c>
      <c r="D1477" s="54" t="s">
        <v>3781</v>
      </c>
      <c r="E1477" s="56">
        <v>0</v>
      </c>
      <c r="F1477" s="57" t="s">
        <v>792</v>
      </c>
      <c r="G1477" s="58">
        <v>5600</v>
      </c>
      <c r="H1477" s="59">
        <v>7000</v>
      </c>
      <c r="I1477" s="59">
        <f t="shared" si="46"/>
        <v>0</v>
      </c>
    </row>
    <row r="1478" spans="1:9" customFormat="1" x14ac:dyDescent="0.35">
      <c r="A1478" s="63">
        <f t="shared" si="47"/>
        <v>1477</v>
      </c>
      <c r="B1478" s="54" t="s">
        <v>3796</v>
      </c>
      <c r="C1478" s="55" t="s">
        <v>3797</v>
      </c>
      <c r="D1478" s="54" t="s">
        <v>3781</v>
      </c>
      <c r="E1478" s="56">
        <v>0</v>
      </c>
      <c r="F1478" s="57" t="s">
        <v>994</v>
      </c>
      <c r="G1478" s="58">
        <v>41816</v>
      </c>
      <c r="H1478" s="59">
        <v>41816</v>
      </c>
      <c r="I1478" s="59">
        <f t="shared" si="46"/>
        <v>0</v>
      </c>
    </row>
    <row r="1479" spans="1:9" customFormat="1" x14ac:dyDescent="0.35">
      <c r="A1479" s="63">
        <f t="shared" si="47"/>
        <v>1478</v>
      </c>
      <c r="B1479" s="54" t="s">
        <v>3798</v>
      </c>
      <c r="C1479" s="55" t="s">
        <v>3799</v>
      </c>
      <c r="D1479" s="54" t="s">
        <v>3781</v>
      </c>
      <c r="E1479" s="56">
        <v>0</v>
      </c>
      <c r="F1479" s="57" t="s">
        <v>792</v>
      </c>
      <c r="G1479" s="58">
        <v>70000</v>
      </c>
      <c r="H1479" s="59">
        <v>102900</v>
      </c>
      <c r="I1479" s="59">
        <f t="shared" si="46"/>
        <v>0</v>
      </c>
    </row>
    <row r="1480" spans="1:9" customFormat="1" x14ac:dyDescent="0.35">
      <c r="A1480" s="63">
        <f t="shared" si="47"/>
        <v>1479</v>
      </c>
      <c r="B1480" s="54" t="s">
        <v>3800</v>
      </c>
      <c r="C1480" s="55" t="s">
        <v>3801</v>
      </c>
      <c r="D1480" s="54" t="s">
        <v>3781</v>
      </c>
      <c r="E1480" s="56">
        <v>0</v>
      </c>
      <c r="F1480" s="57" t="s">
        <v>792</v>
      </c>
      <c r="G1480" s="58">
        <v>850000</v>
      </c>
      <c r="H1480" s="59">
        <v>1154500</v>
      </c>
      <c r="I1480" s="59">
        <f t="shared" si="46"/>
        <v>0</v>
      </c>
    </row>
    <row r="1481" spans="1:9" customFormat="1" ht="23" x14ac:dyDescent="0.35">
      <c r="A1481" s="63">
        <f t="shared" si="47"/>
        <v>1480</v>
      </c>
      <c r="B1481" s="54" t="s">
        <v>3802</v>
      </c>
      <c r="C1481" s="55" t="s">
        <v>3803</v>
      </c>
      <c r="D1481" s="54" t="s">
        <v>3781</v>
      </c>
      <c r="E1481" s="56">
        <v>0</v>
      </c>
      <c r="F1481" s="57" t="s">
        <v>792</v>
      </c>
      <c r="G1481" s="58">
        <v>126000</v>
      </c>
      <c r="H1481" s="59">
        <v>185900</v>
      </c>
      <c r="I1481" s="59">
        <f t="shared" si="46"/>
        <v>0</v>
      </c>
    </row>
    <row r="1482" spans="1:9" customFormat="1" x14ac:dyDescent="0.35">
      <c r="A1482" s="63">
        <f t="shared" si="47"/>
        <v>1481</v>
      </c>
      <c r="B1482" s="54" t="s">
        <v>3804</v>
      </c>
      <c r="C1482" s="55" t="s">
        <v>3805</v>
      </c>
      <c r="D1482" s="54" t="s">
        <v>3781</v>
      </c>
      <c r="E1482" s="56">
        <v>0</v>
      </c>
      <c r="F1482" s="57" t="s">
        <v>994</v>
      </c>
      <c r="G1482" s="58">
        <v>25000</v>
      </c>
      <c r="H1482" s="59">
        <v>25000</v>
      </c>
      <c r="I1482" s="59">
        <f t="shared" si="46"/>
        <v>0</v>
      </c>
    </row>
    <row r="1483" spans="1:9" customFormat="1" x14ac:dyDescent="0.35">
      <c r="A1483" s="63">
        <f t="shared" si="47"/>
        <v>1482</v>
      </c>
      <c r="B1483" s="54" t="s">
        <v>3806</v>
      </c>
      <c r="C1483" s="55" t="s">
        <v>3807</v>
      </c>
      <c r="D1483" s="54" t="s">
        <v>3781</v>
      </c>
      <c r="E1483" s="56">
        <v>0</v>
      </c>
      <c r="F1483" s="57" t="s">
        <v>792</v>
      </c>
      <c r="G1483" s="58">
        <v>1044050</v>
      </c>
      <c r="H1483" s="59">
        <v>1148500</v>
      </c>
      <c r="I1483" s="59">
        <f t="shared" si="46"/>
        <v>0</v>
      </c>
    </row>
    <row r="1484" spans="1:9" customFormat="1" x14ac:dyDescent="0.35">
      <c r="A1484" s="63">
        <f t="shared" si="47"/>
        <v>1483</v>
      </c>
      <c r="B1484" s="54" t="s">
        <v>3808</v>
      </c>
      <c r="C1484" s="55" t="s">
        <v>3809</v>
      </c>
      <c r="D1484" s="54" t="s">
        <v>3781</v>
      </c>
      <c r="E1484" s="56">
        <v>0</v>
      </c>
      <c r="F1484" s="57" t="s">
        <v>844</v>
      </c>
      <c r="G1484" s="58">
        <v>8350000</v>
      </c>
      <c r="H1484" s="59">
        <v>8350000</v>
      </c>
      <c r="I1484" s="59">
        <f t="shared" si="46"/>
        <v>0</v>
      </c>
    </row>
    <row r="1485" spans="1:9" customFormat="1" x14ac:dyDescent="0.35">
      <c r="A1485" s="63">
        <f t="shared" si="47"/>
        <v>1484</v>
      </c>
      <c r="B1485" s="54" t="s">
        <v>3810</v>
      </c>
      <c r="C1485" s="55" t="s">
        <v>3811</v>
      </c>
      <c r="D1485" s="54" t="s">
        <v>3781</v>
      </c>
      <c r="E1485" s="56">
        <v>0</v>
      </c>
      <c r="F1485" s="57" t="s">
        <v>878</v>
      </c>
      <c r="G1485" s="58">
        <v>4250000</v>
      </c>
      <c r="H1485" s="59">
        <v>7370000</v>
      </c>
      <c r="I1485" s="59">
        <f t="shared" si="46"/>
        <v>0</v>
      </c>
    </row>
    <row r="1486" spans="1:9" customFormat="1" x14ac:dyDescent="0.35">
      <c r="A1486" s="63">
        <f t="shared" si="47"/>
        <v>1485</v>
      </c>
      <c r="B1486" s="54" t="s">
        <v>3812</v>
      </c>
      <c r="C1486" s="55" t="s">
        <v>3813</v>
      </c>
      <c r="D1486" s="54" t="s">
        <v>3781</v>
      </c>
      <c r="E1486" s="56">
        <v>0</v>
      </c>
      <c r="F1486" s="57" t="s">
        <v>792</v>
      </c>
      <c r="G1486" s="58">
        <v>18000</v>
      </c>
      <c r="H1486" s="59">
        <v>18000</v>
      </c>
      <c r="I1486" s="59">
        <f t="shared" si="46"/>
        <v>0</v>
      </c>
    </row>
    <row r="1487" spans="1:9" customFormat="1" x14ac:dyDescent="0.35">
      <c r="A1487" s="63">
        <f t="shared" si="47"/>
        <v>1486</v>
      </c>
      <c r="B1487" s="54" t="s">
        <v>3814</v>
      </c>
      <c r="C1487" s="55" t="s">
        <v>3815</v>
      </c>
      <c r="D1487" s="54" t="s">
        <v>3781</v>
      </c>
      <c r="E1487" s="56">
        <v>0</v>
      </c>
      <c r="F1487" s="57" t="s">
        <v>792</v>
      </c>
      <c r="G1487" s="58">
        <v>320000</v>
      </c>
      <c r="H1487" s="59">
        <v>349125</v>
      </c>
      <c r="I1487" s="59">
        <f t="shared" si="46"/>
        <v>0</v>
      </c>
    </row>
    <row r="1488" spans="1:9" customFormat="1" x14ac:dyDescent="0.35">
      <c r="A1488" s="63">
        <f t="shared" si="47"/>
        <v>1487</v>
      </c>
      <c r="B1488" s="54" t="s">
        <v>3816</v>
      </c>
      <c r="C1488" s="55" t="s">
        <v>3817</v>
      </c>
      <c r="D1488" s="54" t="s">
        <v>3781</v>
      </c>
      <c r="E1488" s="56">
        <v>0</v>
      </c>
      <c r="F1488" s="57" t="s">
        <v>792</v>
      </c>
      <c r="G1488" s="58">
        <v>1000000</v>
      </c>
      <c r="H1488" s="59">
        <v>1000000</v>
      </c>
      <c r="I1488" s="59">
        <f t="shared" si="46"/>
        <v>0</v>
      </c>
    </row>
    <row r="1489" spans="1:9" customFormat="1" x14ac:dyDescent="0.35">
      <c r="A1489" s="63">
        <f t="shared" si="47"/>
        <v>1488</v>
      </c>
      <c r="B1489" s="54" t="s">
        <v>3818</v>
      </c>
      <c r="C1489" s="55" t="s">
        <v>3819</v>
      </c>
      <c r="D1489" s="54" t="s">
        <v>3781</v>
      </c>
      <c r="E1489" s="56">
        <v>0</v>
      </c>
      <c r="F1489" s="57" t="s">
        <v>792</v>
      </c>
      <c r="G1489" s="58">
        <v>1000000</v>
      </c>
      <c r="H1489" s="59">
        <v>1470000</v>
      </c>
      <c r="I1489" s="59">
        <f t="shared" si="46"/>
        <v>0</v>
      </c>
    </row>
    <row r="1490" spans="1:9" customFormat="1" x14ac:dyDescent="0.35">
      <c r="A1490" s="63">
        <f t="shared" si="47"/>
        <v>1489</v>
      </c>
      <c r="B1490" s="54" t="s">
        <v>3820</v>
      </c>
      <c r="C1490" s="55" t="s">
        <v>3821</v>
      </c>
      <c r="D1490" s="54" t="s">
        <v>3781</v>
      </c>
      <c r="E1490" s="56">
        <v>0</v>
      </c>
      <c r="F1490" s="57" t="s">
        <v>792</v>
      </c>
      <c r="G1490" s="58">
        <v>400335</v>
      </c>
      <c r="H1490" s="59">
        <v>538560</v>
      </c>
      <c r="I1490" s="59">
        <f t="shared" si="46"/>
        <v>0</v>
      </c>
    </row>
    <row r="1491" spans="1:9" customFormat="1" x14ac:dyDescent="0.35">
      <c r="A1491" s="63">
        <f t="shared" si="47"/>
        <v>1490</v>
      </c>
      <c r="B1491" s="54" t="s">
        <v>3822</v>
      </c>
      <c r="C1491" s="55" t="s">
        <v>3823</v>
      </c>
      <c r="D1491" s="54" t="s">
        <v>3781</v>
      </c>
      <c r="E1491" s="56">
        <v>0</v>
      </c>
      <c r="F1491" s="57" t="s">
        <v>792</v>
      </c>
      <c r="G1491" s="58">
        <v>150000</v>
      </c>
      <c r="H1491" s="59">
        <v>251370</v>
      </c>
      <c r="I1491" s="59">
        <f t="shared" si="46"/>
        <v>0</v>
      </c>
    </row>
    <row r="1492" spans="1:9" customFormat="1" x14ac:dyDescent="0.35">
      <c r="A1492" s="63">
        <f t="shared" si="47"/>
        <v>1491</v>
      </c>
      <c r="B1492" s="54" t="s">
        <v>3824</v>
      </c>
      <c r="C1492" s="55" t="s">
        <v>3825</v>
      </c>
      <c r="D1492" s="54" t="s">
        <v>3781</v>
      </c>
      <c r="E1492" s="56">
        <v>0</v>
      </c>
      <c r="F1492" s="57" t="s">
        <v>792</v>
      </c>
      <c r="G1492" s="58">
        <v>0</v>
      </c>
      <c r="H1492" s="59">
        <v>128000</v>
      </c>
      <c r="I1492" s="59">
        <f t="shared" si="46"/>
        <v>0</v>
      </c>
    </row>
    <row r="1493" spans="1:9" customFormat="1" x14ac:dyDescent="0.35">
      <c r="A1493" s="63">
        <f t="shared" si="47"/>
        <v>1492</v>
      </c>
      <c r="B1493" s="54" t="s">
        <v>3826</v>
      </c>
      <c r="C1493" s="55" t="s">
        <v>3827</v>
      </c>
      <c r="D1493" s="54" t="s">
        <v>3781</v>
      </c>
      <c r="E1493" s="56">
        <v>0</v>
      </c>
      <c r="F1493" s="57" t="s">
        <v>792</v>
      </c>
      <c r="G1493" s="58">
        <v>0</v>
      </c>
      <c r="H1493" s="59">
        <v>178000</v>
      </c>
      <c r="I1493" s="59">
        <f t="shared" si="46"/>
        <v>0</v>
      </c>
    </row>
    <row r="1494" spans="1:9" customFormat="1" x14ac:dyDescent="0.35">
      <c r="A1494" s="63">
        <f t="shared" si="47"/>
        <v>1493</v>
      </c>
      <c r="B1494" s="54" t="s">
        <v>3828</v>
      </c>
      <c r="C1494" s="55" t="s">
        <v>3829</v>
      </c>
      <c r="D1494" s="54" t="s">
        <v>3781</v>
      </c>
      <c r="E1494" s="56">
        <v>0</v>
      </c>
      <c r="F1494" s="57" t="s">
        <v>792</v>
      </c>
      <c r="G1494" s="58">
        <v>880000</v>
      </c>
      <c r="H1494" s="59">
        <v>1572250</v>
      </c>
      <c r="I1494" s="59">
        <f t="shared" si="46"/>
        <v>0</v>
      </c>
    </row>
    <row r="1495" spans="1:9" customFormat="1" x14ac:dyDescent="0.35">
      <c r="A1495" s="63">
        <f t="shared" si="47"/>
        <v>1494</v>
      </c>
      <c r="B1495" s="54" t="s">
        <v>3830</v>
      </c>
      <c r="C1495" s="55" t="s">
        <v>3831</v>
      </c>
      <c r="D1495" s="54" t="s">
        <v>3781</v>
      </c>
      <c r="E1495" s="56">
        <v>0</v>
      </c>
      <c r="F1495" s="57" t="s">
        <v>792</v>
      </c>
      <c r="G1495" s="58">
        <v>350000</v>
      </c>
      <c r="H1495" s="59">
        <v>488775</v>
      </c>
      <c r="I1495" s="59">
        <f t="shared" si="46"/>
        <v>0</v>
      </c>
    </row>
    <row r="1496" spans="1:9" customFormat="1" x14ac:dyDescent="0.35">
      <c r="A1496" s="63">
        <f t="shared" si="47"/>
        <v>1495</v>
      </c>
      <c r="B1496" s="54" t="s">
        <v>3832</v>
      </c>
      <c r="C1496" s="55" t="s">
        <v>3833</v>
      </c>
      <c r="D1496" s="54" t="s">
        <v>3781</v>
      </c>
      <c r="E1496" s="56">
        <v>0</v>
      </c>
      <c r="F1496" s="57" t="s">
        <v>792</v>
      </c>
      <c r="G1496" s="58">
        <v>140000</v>
      </c>
      <c r="H1496" s="59">
        <v>0</v>
      </c>
      <c r="I1496" s="59">
        <f t="shared" si="46"/>
        <v>0</v>
      </c>
    </row>
    <row r="1497" spans="1:9" customFormat="1" x14ac:dyDescent="0.35">
      <c r="A1497" s="63">
        <f t="shared" si="47"/>
        <v>1496</v>
      </c>
      <c r="B1497" s="54" t="s">
        <v>3834</v>
      </c>
      <c r="C1497" s="55" t="s">
        <v>3835</v>
      </c>
      <c r="D1497" s="54" t="s">
        <v>3781</v>
      </c>
      <c r="E1497" s="56">
        <v>0</v>
      </c>
      <c r="F1497" s="57" t="s">
        <v>792</v>
      </c>
      <c r="G1497" s="58">
        <v>150000</v>
      </c>
      <c r="H1497" s="59">
        <v>150000</v>
      </c>
      <c r="I1497" s="59">
        <f t="shared" si="46"/>
        <v>0</v>
      </c>
    </row>
    <row r="1498" spans="1:9" customFormat="1" x14ac:dyDescent="0.35">
      <c r="A1498" s="63">
        <f t="shared" si="47"/>
        <v>1497</v>
      </c>
      <c r="B1498" s="54" t="s">
        <v>3836</v>
      </c>
      <c r="C1498" s="55" t="s">
        <v>3837</v>
      </c>
      <c r="D1498" s="54" t="s">
        <v>3781</v>
      </c>
      <c r="E1498" s="56">
        <v>0</v>
      </c>
      <c r="F1498" s="57" t="s">
        <v>792</v>
      </c>
      <c r="G1498" s="58">
        <v>250000</v>
      </c>
      <c r="H1498" s="59">
        <v>250000</v>
      </c>
      <c r="I1498" s="59">
        <f t="shared" si="46"/>
        <v>0</v>
      </c>
    </row>
    <row r="1499" spans="1:9" customFormat="1" x14ac:dyDescent="0.35">
      <c r="A1499" s="63">
        <f t="shared" si="47"/>
        <v>1498</v>
      </c>
      <c r="B1499" s="54" t="s">
        <v>3838</v>
      </c>
      <c r="C1499" s="55" t="s">
        <v>3839</v>
      </c>
      <c r="D1499" s="54" t="s">
        <v>3781</v>
      </c>
      <c r="E1499" s="56">
        <v>0</v>
      </c>
      <c r="F1499" s="57" t="s">
        <v>792</v>
      </c>
      <c r="G1499" s="58">
        <v>180000</v>
      </c>
      <c r="H1499" s="59">
        <v>180000</v>
      </c>
      <c r="I1499" s="59">
        <f t="shared" si="46"/>
        <v>0</v>
      </c>
    </row>
    <row r="1500" spans="1:9" customFormat="1" x14ac:dyDescent="0.35">
      <c r="A1500" s="63">
        <f t="shared" si="47"/>
        <v>1499</v>
      </c>
      <c r="B1500" s="54" t="s">
        <v>3840</v>
      </c>
      <c r="C1500" s="55" t="s">
        <v>3841</v>
      </c>
      <c r="D1500" s="54" t="s">
        <v>3781</v>
      </c>
      <c r="E1500" s="56">
        <v>0</v>
      </c>
      <c r="F1500" s="57" t="s">
        <v>792</v>
      </c>
      <c r="G1500" s="58">
        <v>145000</v>
      </c>
      <c r="H1500" s="59">
        <v>145000</v>
      </c>
      <c r="I1500" s="59">
        <f t="shared" si="46"/>
        <v>0</v>
      </c>
    </row>
    <row r="1501" spans="1:9" customFormat="1" x14ac:dyDescent="0.35">
      <c r="A1501" s="63">
        <f t="shared" si="47"/>
        <v>1500</v>
      </c>
      <c r="B1501" s="54" t="s">
        <v>3842</v>
      </c>
      <c r="C1501" s="55" t="s">
        <v>3843</v>
      </c>
      <c r="D1501" s="54" t="s">
        <v>3781</v>
      </c>
      <c r="E1501" s="56">
        <v>0</v>
      </c>
      <c r="F1501" s="57" t="s">
        <v>792</v>
      </c>
      <c r="G1501" s="58">
        <v>0</v>
      </c>
      <c r="H1501" s="59">
        <v>14189910</v>
      </c>
      <c r="I1501" s="59">
        <f t="shared" si="46"/>
        <v>0</v>
      </c>
    </row>
    <row r="1502" spans="1:9" customFormat="1" x14ac:dyDescent="0.35">
      <c r="A1502" s="63">
        <f t="shared" si="47"/>
        <v>1501</v>
      </c>
      <c r="B1502" s="54" t="s">
        <v>3844</v>
      </c>
      <c r="C1502" s="55" t="s">
        <v>3845</v>
      </c>
      <c r="D1502" s="54" t="s">
        <v>3781</v>
      </c>
      <c r="E1502" s="56">
        <v>0</v>
      </c>
      <c r="F1502" s="57" t="s">
        <v>792</v>
      </c>
      <c r="G1502" s="58">
        <v>1911000</v>
      </c>
      <c r="H1502" s="59">
        <v>1911000</v>
      </c>
      <c r="I1502" s="59">
        <f t="shared" si="46"/>
        <v>0</v>
      </c>
    </row>
    <row r="1503" spans="1:9" customFormat="1" x14ac:dyDescent="0.35">
      <c r="A1503" s="63">
        <f t="shared" si="47"/>
        <v>1502</v>
      </c>
      <c r="B1503" s="54" t="s">
        <v>3846</v>
      </c>
      <c r="C1503" s="55" t="s">
        <v>3847</v>
      </c>
      <c r="D1503" s="54" t="s">
        <v>3781</v>
      </c>
      <c r="E1503" s="56">
        <v>0</v>
      </c>
      <c r="F1503" s="57" t="s">
        <v>1217</v>
      </c>
      <c r="G1503" s="58">
        <v>1911000</v>
      </c>
      <c r="H1503" s="59">
        <v>1911000</v>
      </c>
      <c r="I1503" s="59">
        <f t="shared" si="46"/>
        <v>0</v>
      </c>
    </row>
    <row r="1504" spans="1:9" customFormat="1" x14ac:dyDescent="0.35">
      <c r="A1504" s="63">
        <f t="shared" si="47"/>
        <v>1503</v>
      </c>
      <c r="B1504" s="54" t="s">
        <v>3848</v>
      </c>
      <c r="C1504" s="55" t="s">
        <v>3849</v>
      </c>
      <c r="D1504" s="54" t="s">
        <v>3781</v>
      </c>
      <c r="E1504" s="56">
        <v>0</v>
      </c>
      <c r="F1504" s="57" t="s">
        <v>844</v>
      </c>
      <c r="G1504" s="58">
        <v>6250000</v>
      </c>
      <c r="H1504" s="59">
        <v>8728125</v>
      </c>
      <c r="I1504" s="59">
        <f t="shared" si="46"/>
        <v>0</v>
      </c>
    </row>
    <row r="1505" spans="1:9" customFormat="1" x14ac:dyDescent="0.35">
      <c r="A1505" s="63">
        <f t="shared" si="47"/>
        <v>1504</v>
      </c>
      <c r="B1505" s="54" t="s">
        <v>3850</v>
      </c>
      <c r="C1505" s="55" t="s">
        <v>3851</v>
      </c>
      <c r="D1505" s="54" t="s">
        <v>3781</v>
      </c>
      <c r="E1505" s="56">
        <v>0</v>
      </c>
      <c r="F1505" s="57" t="s">
        <v>792</v>
      </c>
      <c r="G1505" s="58">
        <v>8500000</v>
      </c>
      <c r="H1505" s="59">
        <v>16200000</v>
      </c>
      <c r="I1505" s="59">
        <f t="shared" si="46"/>
        <v>0</v>
      </c>
    </row>
    <row r="1506" spans="1:9" customFormat="1" x14ac:dyDescent="0.35">
      <c r="A1506" s="63">
        <f t="shared" si="47"/>
        <v>1505</v>
      </c>
      <c r="B1506" s="54" t="s">
        <v>3852</v>
      </c>
      <c r="C1506" s="55" t="s">
        <v>3853</v>
      </c>
      <c r="D1506" s="54" t="s">
        <v>3781</v>
      </c>
      <c r="E1506" s="56">
        <v>0</v>
      </c>
      <c r="F1506" s="57" t="s">
        <v>792</v>
      </c>
      <c r="G1506" s="58">
        <v>30000</v>
      </c>
      <c r="H1506" s="59">
        <v>42000</v>
      </c>
      <c r="I1506" s="59">
        <f t="shared" si="46"/>
        <v>0</v>
      </c>
    </row>
    <row r="1507" spans="1:9" customFormat="1" x14ac:dyDescent="0.35">
      <c r="A1507" s="63">
        <f t="shared" si="47"/>
        <v>1506</v>
      </c>
      <c r="B1507" s="54" t="s">
        <v>3854</v>
      </c>
      <c r="C1507" s="55" t="s">
        <v>3855</v>
      </c>
      <c r="D1507" s="54" t="s">
        <v>3781</v>
      </c>
      <c r="E1507" s="56">
        <v>0</v>
      </c>
      <c r="F1507" s="57" t="s">
        <v>792</v>
      </c>
      <c r="G1507" s="58">
        <v>528182</v>
      </c>
      <c r="H1507" s="59">
        <v>776427</v>
      </c>
      <c r="I1507" s="59">
        <f t="shared" si="46"/>
        <v>0</v>
      </c>
    </row>
    <row r="1508" spans="1:9" customFormat="1" x14ac:dyDescent="0.35">
      <c r="A1508" s="63">
        <f t="shared" si="47"/>
        <v>1507</v>
      </c>
      <c r="B1508" s="54" t="s">
        <v>3856</v>
      </c>
      <c r="C1508" s="55" t="s">
        <v>3857</v>
      </c>
      <c r="D1508" s="54" t="s">
        <v>3781</v>
      </c>
      <c r="E1508" s="92">
        <v>200</v>
      </c>
      <c r="F1508" s="57" t="s">
        <v>1217</v>
      </c>
      <c r="G1508" s="58">
        <v>2800</v>
      </c>
      <c r="H1508" s="59">
        <v>2800</v>
      </c>
      <c r="I1508" s="59">
        <f t="shared" si="46"/>
        <v>560000</v>
      </c>
    </row>
    <row r="1509" spans="1:9" customFormat="1" x14ac:dyDescent="0.35">
      <c r="A1509" s="63">
        <f t="shared" si="47"/>
        <v>1508</v>
      </c>
      <c r="B1509" s="54" t="s">
        <v>3858</v>
      </c>
      <c r="C1509" s="55" t="s">
        <v>3859</v>
      </c>
      <c r="D1509" s="54" t="s">
        <v>3781</v>
      </c>
      <c r="E1509" s="92">
        <v>5</v>
      </c>
      <c r="F1509" s="57" t="s">
        <v>815</v>
      </c>
      <c r="G1509" s="58">
        <v>380000</v>
      </c>
      <c r="H1509" s="59">
        <v>380000</v>
      </c>
      <c r="I1509" s="59">
        <f t="shared" si="46"/>
        <v>1900000</v>
      </c>
    </row>
    <row r="1510" spans="1:9" customFormat="1" x14ac:dyDescent="0.35">
      <c r="A1510" s="63">
        <f t="shared" si="47"/>
        <v>1509</v>
      </c>
      <c r="B1510" s="54" t="s">
        <v>3860</v>
      </c>
      <c r="C1510" s="55" t="s">
        <v>3861</v>
      </c>
      <c r="D1510" s="54" t="s">
        <v>3781</v>
      </c>
      <c r="E1510" s="92">
        <v>164</v>
      </c>
      <c r="F1510" s="57" t="s">
        <v>792</v>
      </c>
      <c r="G1510" s="58">
        <v>0</v>
      </c>
      <c r="H1510" s="59">
        <v>15500</v>
      </c>
      <c r="I1510" s="59">
        <f t="shared" si="46"/>
        <v>2542000</v>
      </c>
    </row>
    <row r="1511" spans="1:9" customFormat="1" x14ac:dyDescent="0.35">
      <c r="A1511" s="63">
        <f t="shared" si="47"/>
        <v>1510</v>
      </c>
      <c r="B1511" s="54" t="s">
        <v>3862</v>
      </c>
      <c r="C1511" s="55" t="s">
        <v>3863</v>
      </c>
      <c r="D1511" s="54" t="s">
        <v>3781</v>
      </c>
      <c r="E1511" s="92">
        <v>72</v>
      </c>
      <c r="F1511" s="57" t="s">
        <v>792</v>
      </c>
      <c r="G1511" s="58">
        <v>3750</v>
      </c>
      <c r="H1511" s="59">
        <v>4800</v>
      </c>
      <c r="I1511" s="59">
        <f t="shared" si="46"/>
        <v>345600</v>
      </c>
    </row>
    <row r="1512" spans="1:9" customFormat="1" x14ac:dyDescent="0.35">
      <c r="A1512" s="63">
        <f t="shared" si="47"/>
        <v>1511</v>
      </c>
      <c r="B1512" s="54" t="s">
        <v>3864</v>
      </c>
      <c r="C1512" s="55" t="s">
        <v>3865</v>
      </c>
      <c r="D1512" s="54" t="s">
        <v>3866</v>
      </c>
      <c r="E1512" s="56">
        <v>0</v>
      </c>
      <c r="F1512" s="57" t="s">
        <v>792</v>
      </c>
      <c r="G1512" s="58">
        <v>0</v>
      </c>
      <c r="H1512" s="59">
        <v>155250</v>
      </c>
      <c r="I1512" s="59">
        <f t="shared" si="46"/>
        <v>0</v>
      </c>
    </row>
    <row r="1513" spans="1:9" customFormat="1" x14ac:dyDescent="0.35">
      <c r="A1513" s="63">
        <f t="shared" si="47"/>
        <v>1512</v>
      </c>
      <c r="B1513" s="54" t="s">
        <v>3867</v>
      </c>
      <c r="C1513" s="55" t="s">
        <v>3868</v>
      </c>
      <c r="D1513" s="54" t="s">
        <v>3866</v>
      </c>
      <c r="E1513" s="56">
        <v>0</v>
      </c>
      <c r="F1513" s="57" t="s">
        <v>792</v>
      </c>
      <c r="G1513" s="58">
        <v>30000</v>
      </c>
      <c r="H1513" s="59">
        <v>47250</v>
      </c>
      <c r="I1513" s="59">
        <f t="shared" si="46"/>
        <v>0</v>
      </c>
    </row>
    <row r="1514" spans="1:9" customFormat="1" x14ac:dyDescent="0.35">
      <c r="A1514" s="63">
        <f t="shared" si="47"/>
        <v>1513</v>
      </c>
      <c r="B1514" s="54" t="s">
        <v>3869</v>
      </c>
      <c r="C1514" s="55" t="s">
        <v>3870</v>
      </c>
      <c r="D1514" s="54" t="s">
        <v>3866</v>
      </c>
      <c r="E1514" s="56">
        <v>0</v>
      </c>
      <c r="F1514" s="57" t="s">
        <v>792</v>
      </c>
      <c r="G1514" s="58">
        <v>25000</v>
      </c>
      <c r="H1514" s="59">
        <v>33750</v>
      </c>
      <c r="I1514" s="59">
        <f t="shared" si="46"/>
        <v>0</v>
      </c>
    </row>
    <row r="1515" spans="1:9" customFormat="1" x14ac:dyDescent="0.35">
      <c r="A1515" s="63">
        <f t="shared" si="47"/>
        <v>1514</v>
      </c>
      <c r="B1515" s="54" t="s">
        <v>3871</v>
      </c>
      <c r="C1515" s="55" t="s">
        <v>3872</v>
      </c>
      <c r="D1515" s="54" t="s">
        <v>3866</v>
      </c>
      <c r="E1515" s="56">
        <v>0</v>
      </c>
      <c r="F1515" s="57" t="s">
        <v>792</v>
      </c>
      <c r="G1515" s="58">
        <v>0</v>
      </c>
      <c r="H1515" s="59">
        <v>150000</v>
      </c>
      <c r="I1515" s="59">
        <f t="shared" si="46"/>
        <v>0</v>
      </c>
    </row>
    <row r="1516" spans="1:9" customFormat="1" x14ac:dyDescent="0.35">
      <c r="A1516" s="63">
        <f t="shared" si="47"/>
        <v>1515</v>
      </c>
      <c r="B1516" s="54" t="s">
        <v>3873</v>
      </c>
      <c r="C1516" s="55" t="s">
        <v>3874</v>
      </c>
      <c r="D1516" s="54" t="s">
        <v>3866</v>
      </c>
      <c r="E1516" s="56">
        <v>0</v>
      </c>
      <c r="F1516" s="57" t="s">
        <v>792</v>
      </c>
      <c r="G1516" s="58">
        <v>115000</v>
      </c>
      <c r="H1516" s="59">
        <v>115000</v>
      </c>
      <c r="I1516" s="59">
        <f t="shared" si="46"/>
        <v>0</v>
      </c>
    </row>
    <row r="1517" spans="1:9" customFormat="1" x14ac:dyDescent="0.35">
      <c r="A1517" s="63">
        <f t="shared" si="47"/>
        <v>1516</v>
      </c>
      <c r="B1517" s="54" t="s">
        <v>3875</v>
      </c>
      <c r="C1517" s="55" t="s">
        <v>3876</v>
      </c>
      <c r="D1517" s="54" t="s">
        <v>3866</v>
      </c>
      <c r="E1517" s="56">
        <v>0</v>
      </c>
      <c r="F1517" s="57" t="s">
        <v>792</v>
      </c>
      <c r="G1517" s="58">
        <v>45000</v>
      </c>
      <c r="H1517" s="59">
        <v>60750</v>
      </c>
      <c r="I1517" s="59">
        <f t="shared" si="46"/>
        <v>0</v>
      </c>
    </row>
    <row r="1518" spans="1:9" customFormat="1" x14ac:dyDescent="0.35">
      <c r="A1518" s="63">
        <f t="shared" si="47"/>
        <v>1517</v>
      </c>
      <c r="B1518" s="54" t="s">
        <v>3877</v>
      </c>
      <c r="C1518" s="55" t="s">
        <v>3878</v>
      </c>
      <c r="D1518" s="54" t="s">
        <v>3866</v>
      </c>
      <c r="E1518" s="56">
        <v>0</v>
      </c>
      <c r="F1518" s="57" t="s">
        <v>792</v>
      </c>
      <c r="G1518" s="58">
        <v>65000</v>
      </c>
      <c r="H1518" s="59">
        <v>65000</v>
      </c>
      <c r="I1518" s="59">
        <f t="shared" si="46"/>
        <v>0</v>
      </c>
    </row>
    <row r="1519" spans="1:9" customFormat="1" x14ac:dyDescent="0.35">
      <c r="A1519" s="63">
        <f t="shared" si="47"/>
        <v>1518</v>
      </c>
      <c r="B1519" s="54" t="s">
        <v>3879</v>
      </c>
      <c r="C1519" s="55" t="s">
        <v>3880</v>
      </c>
      <c r="D1519" s="54" t="s">
        <v>3866</v>
      </c>
      <c r="E1519" s="56">
        <v>0</v>
      </c>
      <c r="F1519" s="57" t="s">
        <v>792</v>
      </c>
      <c r="G1519" s="58">
        <v>70000</v>
      </c>
      <c r="H1519" s="59">
        <v>94500</v>
      </c>
      <c r="I1519" s="59">
        <f t="shared" si="46"/>
        <v>0</v>
      </c>
    </row>
    <row r="1520" spans="1:9" customFormat="1" x14ac:dyDescent="0.35">
      <c r="A1520" s="63">
        <f t="shared" si="47"/>
        <v>1519</v>
      </c>
      <c r="B1520" s="54" t="s">
        <v>3881</v>
      </c>
      <c r="C1520" s="55" t="s">
        <v>3882</v>
      </c>
      <c r="D1520" s="54" t="s">
        <v>3866</v>
      </c>
      <c r="E1520" s="56">
        <v>0</v>
      </c>
      <c r="F1520" s="57" t="s">
        <v>792</v>
      </c>
      <c r="G1520" s="58">
        <v>25000</v>
      </c>
      <c r="H1520" s="59">
        <v>40500</v>
      </c>
      <c r="I1520" s="59">
        <f t="shared" si="46"/>
        <v>0</v>
      </c>
    </row>
    <row r="1521" spans="1:9" customFormat="1" x14ac:dyDescent="0.35">
      <c r="A1521" s="63">
        <f t="shared" si="47"/>
        <v>1520</v>
      </c>
      <c r="B1521" s="54" t="s">
        <v>3883</v>
      </c>
      <c r="C1521" s="55" t="s">
        <v>3884</v>
      </c>
      <c r="D1521" s="54" t="s">
        <v>3866</v>
      </c>
      <c r="E1521" s="56">
        <v>0</v>
      </c>
      <c r="F1521" s="57" t="s">
        <v>792</v>
      </c>
      <c r="G1521" s="58">
        <v>85000</v>
      </c>
      <c r="H1521" s="59">
        <v>87750</v>
      </c>
      <c r="I1521" s="59">
        <f t="shared" si="46"/>
        <v>0</v>
      </c>
    </row>
    <row r="1522" spans="1:9" customFormat="1" x14ac:dyDescent="0.35">
      <c r="A1522" s="63">
        <f t="shared" si="47"/>
        <v>1521</v>
      </c>
      <c r="B1522" s="54" t="s">
        <v>3885</v>
      </c>
      <c r="C1522" s="55" t="s">
        <v>3886</v>
      </c>
      <c r="D1522" s="54" t="s">
        <v>3866</v>
      </c>
      <c r="E1522" s="56">
        <v>0</v>
      </c>
      <c r="F1522" s="57" t="s">
        <v>792</v>
      </c>
      <c r="G1522" s="58">
        <v>85000</v>
      </c>
      <c r="H1522" s="59">
        <v>114750</v>
      </c>
      <c r="I1522" s="59">
        <f t="shared" si="46"/>
        <v>0</v>
      </c>
    </row>
    <row r="1523" spans="1:9" customFormat="1" x14ac:dyDescent="0.35">
      <c r="A1523" s="63">
        <f t="shared" si="47"/>
        <v>1522</v>
      </c>
      <c r="B1523" s="54" t="s">
        <v>3887</v>
      </c>
      <c r="C1523" s="55" t="s">
        <v>3888</v>
      </c>
      <c r="D1523" s="54" t="s">
        <v>3866</v>
      </c>
      <c r="E1523" s="56">
        <v>0</v>
      </c>
      <c r="F1523" s="57" t="s">
        <v>792</v>
      </c>
      <c r="G1523" s="58">
        <v>172500</v>
      </c>
      <c r="H1523" s="59">
        <v>232900</v>
      </c>
      <c r="I1523" s="59">
        <f t="shared" si="46"/>
        <v>0</v>
      </c>
    </row>
    <row r="1524" spans="1:9" customFormat="1" x14ac:dyDescent="0.35">
      <c r="A1524" s="63">
        <f t="shared" si="47"/>
        <v>1523</v>
      </c>
      <c r="B1524" s="54" t="s">
        <v>3889</v>
      </c>
      <c r="C1524" s="55" t="s">
        <v>3890</v>
      </c>
      <c r="D1524" s="54" t="s">
        <v>3866</v>
      </c>
      <c r="E1524" s="56">
        <v>0</v>
      </c>
      <c r="F1524" s="57" t="s">
        <v>792</v>
      </c>
      <c r="G1524" s="58">
        <v>52000</v>
      </c>
      <c r="H1524" s="59">
        <v>70200</v>
      </c>
      <c r="I1524" s="59">
        <f t="shared" si="46"/>
        <v>0</v>
      </c>
    </row>
    <row r="1525" spans="1:9" customFormat="1" x14ac:dyDescent="0.35">
      <c r="A1525" s="63">
        <f t="shared" si="47"/>
        <v>1524</v>
      </c>
      <c r="B1525" s="54" t="s">
        <v>3891</v>
      </c>
      <c r="C1525" s="55" t="s">
        <v>3892</v>
      </c>
      <c r="D1525" s="54" t="s">
        <v>3866</v>
      </c>
      <c r="E1525" s="56">
        <v>0</v>
      </c>
      <c r="F1525" s="57" t="s">
        <v>792</v>
      </c>
      <c r="G1525" s="58">
        <v>256500</v>
      </c>
      <c r="H1525" s="59">
        <v>256500</v>
      </c>
      <c r="I1525" s="59">
        <f t="shared" si="46"/>
        <v>0</v>
      </c>
    </row>
    <row r="1526" spans="1:9" customFormat="1" x14ac:dyDescent="0.35">
      <c r="A1526" s="63">
        <f t="shared" si="47"/>
        <v>1525</v>
      </c>
      <c r="B1526" s="54" t="s">
        <v>3893</v>
      </c>
      <c r="C1526" s="55" t="s">
        <v>3894</v>
      </c>
      <c r="D1526" s="54" t="s">
        <v>3866</v>
      </c>
      <c r="E1526" s="56">
        <v>0</v>
      </c>
      <c r="F1526" s="57" t="s">
        <v>792</v>
      </c>
      <c r="G1526" s="58">
        <v>180000</v>
      </c>
      <c r="H1526" s="59">
        <v>243000</v>
      </c>
      <c r="I1526" s="59">
        <f t="shared" si="46"/>
        <v>0</v>
      </c>
    </row>
    <row r="1527" spans="1:9" customFormat="1" x14ac:dyDescent="0.35">
      <c r="A1527" s="63">
        <f t="shared" si="47"/>
        <v>1526</v>
      </c>
      <c r="B1527" s="54" t="s">
        <v>3895</v>
      </c>
      <c r="C1527" s="55" t="s">
        <v>3896</v>
      </c>
      <c r="D1527" s="54" t="s">
        <v>3866</v>
      </c>
      <c r="E1527" s="56">
        <v>0</v>
      </c>
      <c r="F1527" s="57" t="s">
        <v>994</v>
      </c>
      <c r="G1527" s="58">
        <v>320000</v>
      </c>
      <c r="H1527" s="59">
        <v>320000</v>
      </c>
      <c r="I1527" s="59">
        <f t="shared" si="46"/>
        <v>0</v>
      </c>
    </row>
    <row r="1528" spans="1:9" customFormat="1" x14ac:dyDescent="0.35">
      <c r="A1528" s="63">
        <f t="shared" si="47"/>
        <v>1527</v>
      </c>
      <c r="B1528" s="54" t="s">
        <v>3897</v>
      </c>
      <c r="C1528" s="55" t="s">
        <v>3898</v>
      </c>
      <c r="D1528" s="54" t="s">
        <v>3866</v>
      </c>
      <c r="E1528" s="56">
        <v>0</v>
      </c>
      <c r="F1528" s="57" t="s">
        <v>815</v>
      </c>
      <c r="G1528" s="58">
        <v>0</v>
      </c>
      <c r="H1528" s="59">
        <v>303750</v>
      </c>
      <c r="I1528" s="59">
        <f t="shared" si="46"/>
        <v>0</v>
      </c>
    </row>
    <row r="1529" spans="1:9" customFormat="1" x14ac:dyDescent="0.35">
      <c r="A1529" s="63">
        <f t="shared" si="47"/>
        <v>1528</v>
      </c>
      <c r="B1529" s="54" t="s">
        <v>3899</v>
      </c>
      <c r="C1529" s="55" t="s">
        <v>3900</v>
      </c>
      <c r="D1529" s="54" t="s">
        <v>3866</v>
      </c>
      <c r="E1529" s="56">
        <v>0</v>
      </c>
      <c r="F1529" s="57" t="s">
        <v>994</v>
      </c>
      <c r="G1529" s="58">
        <v>90000</v>
      </c>
      <c r="H1529" s="59">
        <v>90000</v>
      </c>
      <c r="I1529" s="59">
        <f t="shared" si="46"/>
        <v>0</v>
      </c>
    </row>
    <row r="1530" spans="1:9" customFormat="1" x14ac:dyDescent="0.35">
      <c r="A1530" s="63">
        <f t="shared" si="47"/>
        <v>1529</v>
      </c>
      <c r="B1530" s="54" t="s">
        <v>3901</v>
      </c>
      <c r="C1530" s="55" t="s">
        <v>3902</v>
      </c>
      <c r="D1530" s="54" t="s">
        <v>3866</v>
      </c>
      <c r="E1530" s="56">
        <v>0</v>
      </c>
      <c r="F1530" s="57" t="s">
        <v>792</v>
      </c>
      <c r="G1530" s="58">
        <v>550000</v>
      </c>
      <c r="H1530" s="59">
        <v>961200</v>
      </c>
      <c r="I1530" s="59">
        <f t="shared" si="46"/>
        <v>0</v>
      </c>
    </row>
    <row r="1531" spans="1:9" customFormat="1" x14ac:dyDescent="0.35">
      <c r="A1531" s="63">
        <f t="shared" si="47"/>
        <v>1530</v>
      </c>
      <c r="B1531" s="54" t="s">
        <v>3903</v>
      </c>
      <c r="C1531" s="55" t="s">
        <v>3904</v>
      </c>
      <c r="D1531" s="54" t="s">
        <v>3866</v>
      </c>
      <c r="E1531" s="56">
        <v>0</v>
      </c>
      <c r="F1531" s="57" t="s">
        <v>792</v>
      </c>
      <c r="G1531" s="58">
        <v>3415000</v>
      </c>
      <c r="H1531" s="59">
        <v>3415000</v>
      </c>
      <c r="I1531" s="59">
        <f t="shared" si="46"/>
        <v>0</v>
      </c>
    </row>
    <row r="1532" spans="1:9" customFormat="1" x14ac:dyDescent="0.35">
      <c r="A1532" s="63">
        <f t="shared" si="47"/>
        <v>1531</v>
      </c>
      <c r="B1532" s="54" t="s">
        <v>3905</v>
      </c>
      <c r="C1532" s="55" t="s">
        <v>3906</v>
      </c>
      <c r="D1532" s="54" t="s">
        <v>3866</v>
      </c>
      <c r="E1532" s="56">
        <v>0</v>
      </c>
      <c r="F1532" s="57" t="s">
        <v>977</v>
      </c>
      <c r="G1532" s="58">
        <v>0</v>
      </c>
      <c r="H1532" s="59">
        <v>60000</v>
      </c>
      <c r="I1532" s="59">
        <f t="shared" si="46"/>
        <v>0</v>
      </c>
    </row>
    <row r="1533" spans="1:9" customFormat="1" x14ac:dyDescent="0.35">
      <c r="A1533" s="63">
        <f t="shared" si="47"/>
        <v>1532</v>
      </c>
      <c r="B1533" s="54" t="s">
        <v>3907</v>
      </c>
      <c r="C1533" s="55" t="s">
        <v>3908</v>
      </c>
      <c r="D1533" s="54" t="s">
        <v>3866</v>
      </c>
      <c r="E1533" s="56">
        <v>0</v>
      </c>
      <c r="F1533" s="57" t="s">
        <v>792</v>
      </c>
      <c r="G1533" s="58">
        <v>265000</v>
      </c>
      <c r="H1533" s="59">
        <v>357000</v>
      </c>
      <c r="I1533" s="59">
        <f t="shared" si="46"/>
        <v>0</v>
      </c>
    </row>
    <row r="1534" spans="1:9" customFormat="1" x14ac:dyDescent="0.35">
      <c r="A1534" s="63">
        <f t="shared" si="47"/>
        <v>1533</v>
      </c>
      <c r="B1534" s="54" t="s">
        <v>3909</v>
      </c>
      <c r="C1534" s="55" t="s">
        <v>3910</v>
      </c>
      <c r="D1534" s="54" t="s">
        <v>3866</v>
      </c>
      <c r="E1534" s="56">
        <v>0</v>
      </c>
      <c r="F1534" s="57" t="s">
        <v>792</v>
      </c>
      <c r="G1534" s="58">
        <v>170000</v>
      </c>
      <c r="H1534" s="59">
        <v>229500</v>
      </c>
      <c r="I1534" s="59">
        <f t="shared" si="46"/>
        <v>0</v>
      </c>
    </row>
    <row r="1535" spans="1:9" customFormat="1" x14ac:dyDescent="0.35">
      <c r="A1535" s="63">
        <f t="shared" si="47"/>
        <v>1534</v>
      </c>
      <c r="B1535" s="54" t="s">
        <v>3911</v>
      </c>
      <c r="C1535" s="55" t="s">
        <v>3912</v>
      </c>
      <c r="D1535" s="54" t="s">
        <v>3866</v>
      </c>
      <c r="E1535" s="56">
        <v>0</v>
      </c>
      <c r="F1535" s="57" t="s">
        <v>792</v>
      </c>
      <c r="G1535" s="58">
        <v>587250</v>
      </c>
      <c r="H1535" s="59">
        <v>587250</v>
      </c>
      <c r="I1535" s="59">
        <f t="shared" si="46"/>
        <v>0</v>
      </c>
    </row>
    <row r="1536" spans="1:9" customFormat="1" x14ac:dyDescent="0.35">
      <c r="A1536" s="63">
        <f t="shared" si="47"/>
        <v>1535</v>
      </c>
      <c r="B1536" s="54" t="s">
        <v>3913</v>
      </c>
      <c r="C1536" s="55" t="s">
        <v>3914</v>
      </c>
      <c r="D1536" s="54" t="s">
        <v>3866</v>
      </c>
      <c r="E1536" s="56">
        <v>0</v>
      </c>
      <c r="F1536" s="57" t="s">
        <v>792</v>
      </c>
      <c r="G1536" s="58">
        <v>200000</v>
      </c>
      <c r="H1536" s="59">
        <v>200000</v>
      </c>
      <c r="I1536" s="59">
        <f t="shared" si="46"/>
        <v>0</v>
      </c>
    </row>
    <row r="1537" spans="1:9" customFormat="1" x14ac:dyDescent="0.35">
      <c r="A1537" s="63">
        <f t="shared" si="47"/>
        <v>1536</v>
      </c>
      <c r="B1537" s="54" t="s">
        <v>3915</v>
      </c>
      <c r="C1537" s="55" t="s">
        <v>3916</v>
      </c>
      <c r="D1537" s="54" t="s">
        <v>3866</v>
      </c>
      <c r="E1537" s="56">
        <v>0</v>
      </c>
      <c r="F1537" s="57" t="s">
        <v>792</v>
      </c>
      <c r="G1537" s="58">
        <v>0</v>
      </c>
      <c r="H1537" s="59">
        <v>63450</v>
      </c>
      <c r="I1537" s="59">
        <f t="shared" si="46"/>
        <v>0</v>
      </c>
    </row>
    <row r="1538" spans="1:9" customFormat="1" x14ac:dyDescent="0.35">
      <c r="A1538" s="63">
        <f t="shared" si="47"/>
        <v>1537</v>
      </c>
      <c r="B1538" s="54" t="s">
        <v>3917</v>
      </c>
      <c r="C1538" s="55" t="s">
        <v>3918</v>
      </c>
      <c r="D1538" s="54" t="s">
        <v>3866</v>
      </c>
      <c r="E1538" s="56">
        <v>0</v>
      </c>
      <c r="F1538" s="57" t="s">
        <v>792</v>
      </c>
      <c r="G1538" s="58">
        <v>87750</v>
      </c>
      <c r="H1538" s="59">
        <v>87750</v>
      </c>
      <c r="I1538" s="59">
        <f t="shared" si="46"/>
        <v>0</v>
      </c>
    </row>
    <row r="1539" spans="1:9" customFormat="1" x14ac:dyDescent="0.35">
      <c r="A1539" s="63">
        <f t="shared" si="47"/>
        <v>1538</v>
      </c>
      <c r="B1539" s="54" t="s">
        <v>3919</v>
      </c>
      <c r="C1539" s="55" t="s">
        <v>3920</v>
      </c>
      <c r="D1539" s="54" t="s">
        <v>3866</v>
      </c>
      <c r="E1539" s="56">
        <v>0</v>
      </c>
      <c r="F1539" s="57" t="s">
        <v>792</v>
      </c>
      <c r="G1539" s="58">
        <v>65000</v>
      </c>
      <c r="H1539" s="59">
        <v>65000</v>
      </c>
      <c r="I1539" s="59">
        <f t="shared" ref="I1539:I1602" si="48">H1539*E1539</f>
        <v>0</v>
      </c>
    </row>
    <row r="1540" spans="1:9" customFormat="1" x14ac:dyDescent="0.35">
      <c r="A1540" s="63">
        <f t="shared" ref="A1540:A1603" si="49">A1539+1</f>
        <v>1539</v>
      </c>
      <c r="B1540" s="54" t="s">
        <v>3921</v>
      </c>
      <c r="C1540" s="55" t="s">
        <v>3922</v>
      </c>
      <c r="D1540" s="54" t="s">
        <v>3866</v>
      </c>
      <c r="E1540" s="56">
        <v>0</v>
      </c>
      <c r="F1540" s="57" t="s">
        <v>792</v>
      </c>
      <c r="G1540" s="58">
        <v>40000</v>
      </c>
      <c r="H1540" s="59">
        <v>54000</v>
      </c>
      <c r="I1540" s="59">
        <f t="shared" si="48"/>
        <v>0</v>
      </c>
    </row>
    <row r="1541" spans="1:9" customFormat="1" x14ac:dyDescent="0.35">
      <c r="A1541" s="63">
        <f t="shared" si="49"/>
        <v>1540</v>
      </c>
      <c r="B1541" s="54" t="s">
        <v>3923</v>
      </c>
      <c r="C1541" s="55" t="s">
        <v>3924</v>
      </c>
      <c r="D1541" s="54" t="s">
        <v>3866</v>
      </c>
      <c r="E1541" s="56">
        <v>0</v>
      </c>
      <c r="F1541" s="57" t="s">
        <v>792</v>
      </c>
      <c r="G1541" s="58">
        <v>95000</v>
      </c>
      <c r="H1541" s="59">
        <v>95000</v>
      </c>
      <c r="I1541" s="59">
        <f t="shared" si="48"/>
        <v>0</v>
      </c>
    </row>
    <row r="1542" spans="1:9" customFormat="1" x14ac:dyDescent="0.35">
      <c r="A1542" s="63">
        <f t="shared" si="49"/>
        <v>1541</v>
      </c>
      <c r="B1542" s="54" t="s">
        <v>3925</v>
      </c>
      <c r="C1542" s="55" t="s">
        <v>3926</v>
      </c>
      <c r="D1542" s="54" t="s">
        <v>3866</v>
      </c>
      <c r="E1542" s="56">
        <v>0</v>
      </c>
      <c r="F1542" s="57" t="s">
        <v>792</v>
      </c>
      <c r="G1542" s="58">
        <v>0</v>
      </c>
      <c r="H1542" s="59">
        <v>78300</v>
      </c>
      <c r="I1542" s="59">
        <f t="shared" si="48"/>
        <v>0</v>
      </c>
    </row>
    <row r="1543" spans="1:9" customFormat="1" x14ac:dyDescent="0.35">
      <c r="A1543" s="63">
        <f t="shared" si="49"/>
        <v>1542</v>
      </c>
      <c r="B1543" s="54" t="s">
        <v>3927</v>
      </c>
      <c r="C1543" s="55" t="s">
        <v>3928</v>
      </c>
      <c r="D1543" s="54" t="s">
        <v>3866</v>
      </c>
      <c r="E1543" s="56">
        <v>0</v>
      </c>
      <c r="F1543" s="57" t="s">
        <v>792</v>
      </c>
      <c r="G1543" s="58">
        <v>0</v>
      </c>
      <c r="H1543" s="59">
        <v>702000</v>
      </c>
      <c r="I1543" s="59">
        <f t="shared" si="48"/>
        <v>0</v>
      </c>
    </row>
    <row r="1544" spans="1:9" customFormat="1" x14ac:dyDescent="0.35">
      <c r="A1544" s="63">
        <f t="shared" si="49"/>
        <v>1543</v>
      </c>
      <c r="B1544" s="54" t="s">
        <v>3929</v>
      </c>
      <c r="C1544" s="55" t="s">
        <v>3930</v>
      </c>
      <c r="D1544" s="54" t="s">
        <v>3866</v>
      </c>
      <c r="E1544" s="56">
        <v>0</v>
      </c>
      <c r="F1544" s="57" t="s">
        <v>792</v>
      </c>
      <c r="G1544" s="58">
        <v>350000</v>
      </c>
      <c r="H1544" s="59">
        <v>472500</v>
      </c>
      <c r="I1544" s="59">
        <f t="shared" si="48"/>
        <v>0</v>
      </c>
    </row>
    <row r="1545" spans="1:9" customFormat="1" x14ac:dyDescent="0.35">
      <c r="A1545" s="63">
        <f t="shared" si="49"/>
        <v>1544</v>
      </c>
      <c r="B1545" s="54" t="s">
        <v>3931</v>
      </c>
      <c r="C1545" s="55" t="s">
        <v>3932</v>
      </c>
      <c r="D1545" s="54" t="s">
        <v>3866</v>
      </c>
      <c r="E1545" s="56">
        <v>0</v>
      </c>
      <c r="F1545" s="57" t="s">
        <v>792</v>
      </c>
      <c r="G1545" s="58">
        <v>130000</v>
      </c>
      <c r="H1545" s="59">
        <v>175500</v>
      </c>
      <c r="I1545" s="59">
        <f t="shared" si="48"/>
        <v>0</v>
      </c>
    </row>
    <row r="1546" spans="1:9" customFormat="1" x14ac:dyDescent="0.35">
      <c r="A1546" s="63">
        <f t="shared" si="49"/>
        <v>1545</v>
      </c>
      <c r="B1546" s="54" t="s">
        <v>3933</v>
      </c>
      <c r="C1546" s="55" t="s">
        <v>3934</v>
      </c>
      <c r="D1546" s="54" t="s">
        <v>3866</v>
      </c>
      <c r="E1546" s="56">
        <v>0</v>
      </c>
      <c r="F1546" s="57" t="s">
        <v>792</v>
      </c>
      <c r="G1546" s="58">
        <v>316000</v>
      </c>
      <c r="H1546" s="59">
        <v>426600</v>
      </c>
      <c r="I1546" s="59">
        <f t="shared" si="48"/>
        <v>0</v>
      </c>
    </row>
    <row r="1547" spans="1:9" customFormat="1" x14ac:dyDescent="0.35">
      <c r="A1547" s="63">
        <f t="shared" si="49"/>
        <v>1546</v>
      </c>
      <c r="B1547" s="54" t="s">
        <v>3935</v>
      </c>
      <c r="C1547" s="55" t="s">
        <v>3936</v>
      </c>
      <c r="D1547" s="54" t="s">
        <v>3866</v>
      </c>
      <c r="E1547" s="56">
        <v>0</v>
      </c>
      <c r="F1547" s="57" t="s">
        <v>792</v>
      </c>
      <c r="G1547" s="58">
        <v>640000</v>
      </c>
      <c r="H1547" s="59">
        <v>64000</v>
      </c>
      <c r="I1547" s="59">
        <f t="shared" si="48"/>
        <v>0</v>
      </c>
    </row>
    <row r="1548" spans="1:9" customFormat="1" x14ac:dyDescent="0.35">
      <c r="A1548" s="63">
        <f t="shared" si="49"/>
        <v>1547</v>
      </c>
      <c r="B1548" s="54" t="s">
        <v>3937</v>
      </c>
      <c r="C1548" s="55" t="s">
        <v>3938</v>
      </c>
      <c r="D1548" s="54" t="s">
        <v>3866</v>
      </c>
      <c r="E1548" s="56">
        <v>0</v>
      </c>
      <c r="F1548" s="57" t="s">
        <v>792</v>
      </c>
      <c r="G1548" s="58">
        <v>137000</v>
      </c>
      <c r="H1548" s="59">
        <v>201390</v>
      </c>
      <c r="I1548" s="59">
        <f t="shared" si="48"/>
        <v>0</v>
      </c>
    </row>
    <row r="1549" spans="1:9" customFormat="1" x14ac:dyDescent="0.35">
      <c r="A1549" s="63">
        <f t="shared" si="49"/>
        <v>1548</v>
      </c>
      <c r="B1549" s="54" t="s">
        <v>3939</v>
      </c>
      <c r="C1549" s="55" t="s">
        <v>3940</v>
      </c>
      <c r="D1549" s="54" t="s">
        <v>3866</v>
      </c>
      <c r="E1549" s="56">
        <v>0</v>
      </c>
      <c r="F1549" s="57" t="s">
        <v>977</v>
      </c>
      <c r="G1549" s="58">
        <v>180000</v>
      </c>
      <c r="H1549" s="59">
        <v>243000</v>
      </c>
      <c r="I1549" s="59">
        <f t="shared" si="48"/>
        <v>0</v>
      </c>
    </row>
    <row r="1550" spans="1:9" customFormat="1" x14ac:dyDescent="0.35">
      <c r="A1550" s="63">
        <f t="shared" si="49"/>
        <v>1549</v>
      </c>
      <c r="B1550" s="54" t="s">
        <v>3941</v>
      </c>
      <c r="C1550" s="55" t="s">
        <v>3942</v>
      </c>
      <c r="D1550" s="54" t="s">
        <v>3866</v>
      </c>
      <c r="E1550" s="56">
        <v>0</v>
      </c>
      <c r="F1550" s="57" t="s">
        <v>792</v>
      </c>
      <c r="G1550" s="58">
        <v>78000</v>
      </c>
      <c r="H1550" s="59">
        <v>105300</v>
      </c>
      <c r="I1550" s="59">
        <f t="shared" si="48"/>
        <v>0</v>
      </c>
    </row>
    <row r="1551" spans="1:9" customFormat="1" x14ac:dyDescent="0.35">
      <c r="A1551" s="63">
        <f t="shared" si="49"/>
        <v>1550</v>
      </c>
      <c r="B1551" s="54" t="s">
        <v>3943</v>
      </c>
      <c r="C1551" s="55" t="s">
        <v>3944</v>
      </c>
      <c r="D1551" s="54" t="s">
        <v>3866</v>
      </c>
      <c r="E1551" s="56">
        <v>0</v>
      </c>
      <c r="F1551" s="57" t="s">
        <v>792</v>
      </c>
      <c r="G1551" s="58">
        <v>210000</v>
      </c>
      <c r="H1551" s="59">
        <v>283500</v>
      </c>
      <c r="I1551" s="59">
        <f t="shared" si="48"/>
        <v>0</v>
      </c>
    </row>
    <row r="1552" spans="1:9" customFormat="1" x14ac:dyDescent="0.35">
      <c r="A1552" s="63">
        <f t="shared" si="49"/>
        <v>1551</v>
      </c>
      <c r="B1552" s="54" t="s">
        <v>3945</v>
      </c>
      <c r="C1552" s="55" t="s">
        <v>3946</v>
      </c>
      <c r="D1552" s="54" t="s">
        <v>3866</v>
      </c>
      <c r="E1552" s="56">
        <v>0</v>
      </c>
      <c r="F1552" s="57" t="s">
        <v>792</v>
      </c>
      <c r="G1552" s="58">
        <v>0</v>
      </c>
      <c r="H1552" s="59">
        <v>538650</v>
      </c>
      <c r="I1552" s="59">
        <f t="shared" si="48"/>
        <v>0</v>
      </c>
    </row>
    <row r="1553" spans="1:9" customFormat="1" x14ac:dyDescent="0.35">
      <c r="A1553" s="63">
        <f t="shared" si="49"/>
        <v>1552</v>
      </c>
      <c r="B1553" s="54" t="s">
        <v>3947</v>
      </c>
      <c r="C1553" s="55" t="s">
        <v>3948</v>
      </c>
      <c r="D1553" s="54" t="s">
        <v>3866</v>
      </c>
      <c r="E1553" s="56">
        <v>0</v>
      </c>
      <c r="F1553" s="57" t="s">
        <v>792</v>
      </c>
      <c r="G1553" s="58">
        <v>295000</v>
      </c>
      <c r="H1553" s="59">
        <v>398300</v>
      </c>
      <c r="I1553" s="59">
        <f t="shared" si="48"/>
        <v>0</v>
      </c>
    </row>
    <row r="1554" spans="1:9" customFormat="1" x14ac:dyDescent="0.35">
      <c r="A1554" s="63">
        <f t="shared" si="49"/>
        <v>1553</v>
      </c>
      <c r="B1554" s="54" t="s">
        <v>3949</v>
      </c>
      <c r="C1554" s="55" t="s">
        <v>3950</v>
      </c>
      <c r="D1554" s="54" t="s">
        <v>3866</v>
      </c>
      <c r="E1554" s="56">
        <v>0</v>
      </c>
      <c r="F1554" s="57" t="s">
        <v>792</v>
      </c>
      <c r="G1554" s="58">
        <v>0</v>
      </c>
      <c r="H1554" s="59">
        <v>450000</v>
      </c>
      <c r="I1554" s="59">
        <f t="shared" si="48"/>
        <v>0</v>
      </c>
    </row>
    <row r="1555" spans="1:9" customFormat="1" x14ac:dyDescent="0.35">
      <c r="A1555" s="63">
        <f t="shared" si="49"/>
        <v>1554</v>
      </c>
      <c r="B1555" s="54" t="s">
        <v>3951</v>
      </c>
      <c r="C1555" s="55" t="s">
        <v>3952</v>
      </c>
      <c r="D1555" s="54" t="s">
        <v>3866</v>
      </c>
      <c r="E1555" s="56">
        <v>0</v>
      </c>
      <c r="F1555" s="57" t="s">
        <v>792</v>
      </c>
      <c r="G1555" s="58">
        <v>0</v>
      </c>
      <c r="H1555" s="59">
        <v>118800</v>
      </c>
      <c r="I1555" s="59">
        <f t="shared" si="48"/>
        <v>0</v>
      </c>
    </row>
    <row r="1556" spans="1:9" customFormat="1" x14ac:dyDescent="0.35">
      <c r="A1556" s="63">
        <f t="shared" si="49"/>
        <v>1555</v>
      </c>
      <c r="B1556" s="54" t="s">
        <v>3953</v>
      </c>
      <c r="C1556" s="55" t="s">
        <v>3954</v>
      </c>
      <c r="D1556" s="54" t="s">
        <v>3866</v>
      </c>
      <c r="E1556" s="56">
        <v>0</v>
      </c>
      <c r="F1556" s="57" t="s">
        <v>792</v>
      </c>
      <c r="G1556" s="58">
        <v>345000</v>
      </c>
      <c r="H1556" s="59">
        <v>345000</v>
      </c>
      <c r="I1556" s="59">
        <f t="shared" si="48"/>
        <v>0</v>
      </c>
    </row>
    <row r="1557" spans="1:9" customFormat="1" x14ac:dyDescent="0.35">
      <c r="A1557" s="63">
        <f t="shared" si="49"/>
        <v>1556</v>
      </c>
      <c r="B1557" s="54" t="s">
        <v>3955</v>
      </c>
      <c r="C1557" s="55" t="s">
        <v>3956</v>
      </c>
      <c r="D1557" s="54" t="s">
        <v>3866</v>
      </c>
      <c r="E1557" s="56">
        <v>0</v>
      </c>
      <c r="F1557" s="57" t="s">
        <v>792</v>
      </c>
      <c r="G1557" s="58">
        <v>0</v>
      </c>
      <c r="H1557" s="59">
        <v>148500</v>
      </c>
      <c r="I1557" s="59">
        <f t="shared" si="48"/>
        <v>0</v>
      </c>
    </row>
    <row r="1558" spans="1:9" customFormat="1" x14ac:dyDescent="0.35">
      <c r="A1558" s="63">
        <f t="shared" si="49"/>
        <v>1557</v>
      </c>
      <c r="B1558" s="54" t="s">
        <v>3957</v>
      </c>
      <c r="C1558" s="55" t="s">
        <v>3958</v>
      </c>
      <c r="D1558" s="54" t="s">
        <v>3866</v>
      </c>
      <c r="E1558" s="56">
        <v>0</v>
      </c>
      <c r="F1558" s="57" t="s">
        <v>792</v>
      </c>
      <c r="G1558" s="58">
        <v>0</v>
      </c>
      <c r="H1558" s="59">
        <v>51300</v>
      </c>
      <c r="I1558" s="59">
        <f t="shared" si="48"/>
        <v>0</v>
      </c>
    </row>
    <row r="1559" spans="1:9" customFormat="1" x14ac:dyDescent="0.35">
      <c r="A1559" s="63">
        <f t="shared" si="49"/>
        <v>1558</v>
      </c>
      <c r="B1559" s="54" t="s">
        <v>3959</v>
      </c>
      <c r="C1559" s="55" t="s">
        <v>3960</v>
      </c>
      <c r="D1559" s="54" t="s">
        <v>3866</v>
      </c>
      <c r="E1559" s="56">
        <v>0</v>
      </c>
      <c r="F1559" s="57" t="s">
        <v>792</v>
      </c>
      <c r="G1559" s="58">
        <v>52000</v>
      </c>
      <c r="H1559" s="59">
        <v>70200</v>
      </c>
      <c r="I1559" s="59">
        <f t="shared" si="48"/>
        <v>0</v>
      </c>
    </row>
    <row r="1560" spans="1:9" customFormat="1" x14ac:dyDescent="0.35">
      <c r="A1560" s="63">
        <f t="shared" si="49"/>
        <v>1559</v>
      </c>
      <c r="B1560" s="54" t="s">
        <v>3961</v>
      </c>
      <c r="C1560" s="55" t="s">
        <v>3962</v>
      </c>
      <c r="D1560" s="54" t="s">
        <v>3866</v>
      </c>
      <c r="E1560" s="56">
        <v>0</v>
      </c>
      <c r="F1560" s="57" t="s">
        <v>792</v>
      </c>
      <c r="G1560" s="58">
        <v>230000</v>
      </c>
      <c r="H1560" s="59">
        <v>338100</v>
      </c>
      <c r="I1560" s="59">
        <f t="shared" si="48"/>
        <v>0</v>
      </c>
    </row>
    <row r="1561" spans="1:9" customFormat="1" x14ac:dyDescent="0.35">
      <c r="A1561" s="63">
        <f t="shared" si="49"/>
        <v>1560</v>
      </c>
      <c r="B1561" s="54" t="s">
        <v>3963</v>
      </c>
      <c r="C1561" s="55" t="s">
        <v>3964</v>
      </c>
      <c r="D1561" s="54" t="s">
        <v>3866</v>
      </c>
      <c r="E1561" s="56">
        <v>0</v>
      </c>
      <c r="F1561" s="57" t="s">
        <v>792</v>
      </c>
      <c r="G1561" s="58">
        <v>170000</v>
      </c>
      <c r="H1561" s="59">
        <v>249900</v>
      </c>
      <c r="I1561" s="59">
        <f t="shared" si="48"/>
        <v>0</v>
      </c>
    </row>
    <row r="1562" spans="1:9" customFormat="1" x14ac:dyDescent="0.35">
      <c r="A1562" s="63">
        <f t="shared" si="49"/>
        <v>1561</v>
      </c>
      <c r="B1562" s="54" t="s">
        <v>3965</v>
      </c>
      <c r="C1562" s="55" t="s">
        <v>3966</v>
      </c>
      <c r="D1562" s="54" t="s">
        <v>3866</v>
      </c>
      <c r="E1562" s="56">
        <v>0</v>
      </c>
      <c r="F1562" s="57" t="s">
        <v>792</v>
      </c>
      <c r="G1562" s="58">
        <v>60000</v>
      </c>
      <c r="H1562" s="59">
        <v>81000</v>
      </c>
      <c r="I1562" s="59">
        <f t="shared" si="48"/>
        <v>0</v>
      </c>
    </row>
    <row r="1563" spans="1:9" customFormat="1" x14ac:dyDescent="0.35">
      <c r="A1563" s="63">
        <f t="shared" si="49"/>
        <v>1562</v>
      </c>
      <c r="B1563" s="54" t="s">
        <v>3967</v>
      </c>
      <c r="C1563" s="55" t="s">
        <v>3968</v>
      </c>
      <c r="D1563" s="54" t="s">
        <v>3866</v>
      </c>
      <c r="E1563" s="56">
        <v>0</v>
      </c>
      <c r="F1563" s="57" t="s">
        <v>792</v>
      </c>
      <c r="G1563" s="58">
        <v>180000</v>
      </c>
      <c r="H1563" s="59">
        <v>243000</v>
      </c>
      <c r="I1563" s="59">
        <f t="shared" si="48"/>
        <v>0</v>
      </c>
    </row>
    <row r="1564" spans="1:9" customFormat="1" x14ac:dyDescent="0.35">
      <c r="A1564" s="63">
        <f t="shared" si="49"/>
        <v>1563</v>
      </c>
      <c r="B1564" s="54" t="s">
        <v>3969</v>
      </c>
      <c r="C1564" s="55" t="s">
        <v>3970</v>
      </c>
      <c r="D1564" s="54" t="s">
        <v>3866</v>
      </c>
      <c r="E1564" s="56">
        <v>0</v>
      </c>
      <c r="F1564" s="57" t="s">
        <v>792</v>
      </c>
      <c r="G1564" s="58">
        <v>158000</v>
      </c>
      <c r="H1564" s="59">
        <v>213300</v>
      </c>
      <c r="I1564" s="59">
        <f t="shared" si="48"/>
        <v>0</v>
      </c>
    </row>
    <row r="1565" spans="1:9" customFormat="1" x14ac:dyDescent="0.35">
      <c r="A1565" s="63">
        <f t="shared" si="49"/>
        <v>1564</v>
      </c>
      <c r="B1565" s="54" t="s">
        <v>3971</v>
      </c>
      <c r="C1565" s="55" t="s">
        <v>3972</v>
      </c>
      <c r="D1565" s="54" t="s">
        <v>3866</v>
      </c>
      <c r="E1565" s="56">
        <v>0</v>
      </c>
      <c r="F1565" s="57" t="s">
        <v>792</v>
      </c>
      <c r="G1565" s="58">
        <v>243000</v>
      </c>
      <c r="H1565" s="59">
        <v>328050</v>
      </c>
      <c r="I1565" s="59">
        <f t="shared" si="48"/>
        <v>0</v>
      </c>
    </row>
    <row r="1566" spans="1:9" customFormat="1" x14ac:dyDescent="0.35">
      <c r="A1566" s="63">
        <f t="shared" si="49"/>
        <v>1565</v>
      </c>
      <c r="B1566" s="54" t="s">
        <v>3973</v>
      </c>
      <c r="C1566" s="55" t="s">
        <v>3974</v>
      </c>
      <c r="D1566" s="54" t="s">
        <v>3866</v>
      </c>
      <c r="E1566" s="56">
        <v>0</v>
      </c>
      <c r="F1566" s="57" t="s">
        <v>792</v>
      </c>
      <c r="G1566" s="58">
        <v>175000</v>
      </c>
      <c r="H1566" s="59">
        <v>236250</v>
      </c>
      <c r="I1566" s="59">
        <f t="shared" si="48"/>
        <v>0</v>
      </c>
    </row>
    <row r="1567" spans="1:9" customFormat="1" x14ac:dyDescent="0.35">
      <c r="A1567" s="63">
        <f t="shared" si="49"/>
        <v>1566</v>
      </c>
      <c r="B1567" s="54" t="s">
        <v>3975</v>
      </c>
      <c r="C1567" s="55" t="s">
        <v>3976</v>
      </c>
      <c r="D1567" s="54" t="s">
        <v>3866</v>
      </c>
      <c r="E1567" s="56">
        <v>0</v>
      </c>
      <c r="F1567" s="57" t="s">
        <v>792</v>
      </c>
      <c r="G1567" s="58">
        <v>380000</v>
      </c>
      <c r="H1567" s="59">
        <v>513000</v>
      </c>
      <c r="I1567" s="59">
        <f t="shared" si="48"/>
        <v>0</v>
      </c>
    </row>
    <row r="1568" spans="1:9" customFormat="1" x14ac:dyDescent="0.35">
      <c r="A1568" s="63">
        <f t="shared" si="49"/>
        <v>1567</v>
      </c>
      <c r="B1568" s="54" t="s">
        <v>3977</v>
      </c>
      <c r="C1568" s="55" t="s">
        <v>3978</v>
      </c>
      <c r="D1568" s="54" t="s">
        <v>3866</v>
      </c>
      <c r="E1568" s="56">
        <v>0</v>
      </c>
      <c r="F1568" s="57" t="s">
        <v>792</v>
      </c>
      <c r="G1568" s="58">
        <v>72000</v>
      </c>
      <c r="H1568" s="59">
        <v>97200</v>
      </c>
      <c r="I1568" s="59">
        <f t="shared" si="48"/>
        <v>0</v>
      </c>
    </row>
    <row r="1569" spans="1:9" customFormat="1" x14ac:dyDescent="0.35">
      <c r="A1569" s="63">
        <f t="shared" si="49"/>
        <v>1568</v>
      </c>
      <c r="B1569" s="54" t="s">
        <v>3979</v>
      </c>
      <c r="C1569" s="55" t="s">
        <v>3980</v>
      </c>
      <c r="D1569" s="54" t="s">
        <v>3866</v>
      </c>
      <c r="E1569" s="56">
        <v>0</v>
      </c>
      <c r="F1569" s="57" t="s">
        <v>792</v>
      </c>
      <c r="G1569" s="58">
        <v>78000</v>
      </c>
      <c r="H1569" s="59">
        <v>105300</v>
      </c>
      <c r="I1569" s="59">
        <f t="shared" si="48"/>
        <v>0</v>
      </c>
    </row>
    <row r="1570" spans="1:9" customFormat="1" x14ac:dyDescent="0.35">
      <c r="A1570" s="63">
        <f t="shared" si="49"/>
        <v>1569</v>
      </c>
      <c r="B1570" s="54" t="s">
        <v>3981</v>
      </c>
      <c r="C1570" s="55" t="s">
        <v>3982</v>
      </c>
      <c r="D1570" s="54" t="s">
        <v>3866</v>
      </c>
      <c r="E1570" s="56">
        <v>0</v>
      </c>
      <c r="F1570" s="57" t="s">
        <v>977</v>
      </c>
      <c r="G1570" s="58">
        <v>505000</v>
      </c>
      <c r="H1570" s="59">
        <v>682000</v>
      </c>
      <c r="I1570" s="59">
        <f t="shared" si="48"/>
        <v>0</v>
      </c>
    </row>
    <row r="1571" spans="1:9" customFormat="1" x14ac:dyDescent="0.35">
      <c r="A1571" s="63">
        <f t="shared" si="49"/>
        <v>1570</v>
      </c>
      <c r="B1571" s="54" t="s">
        <v>3983</v>
      </c>
      <c r="C1571" s="55" t="s">
        <v>3984</v>
      </c>
      <c r="D1571" s="54" t="s">
        <v>3866</v>
      </c>
      <c r="E1571" s="56">
        <v>0</v>
      </c>
      <c r="F1571" s="57" t="s">
        <v>792</v>
      </c>
      <c r="G1571" s="58">
        <v>150000</v>
      </c>
      <c r="H1571" s="59">
        <v>202500</v>
      </c>
      <c r="I1571" s="59">
        <f t="shared" si="48"/>
        <v>0</v>
      </c>
    </row>
    <row r="1572" spans="1:9" customFormat="1" x14ac:dyDescent="0.35">
      <c r="A1572" s="63">
        <f t="shared" si="49"/>
        <v>1571</v>
      </c>
      <c r="B1572" s="54" t="s">
        <v>3985</v>
      </c>
      <c r="C1572" s="55" t="s">
        <v>3986</v>
      </c>
      <c r="D1572" s="54" t="s">
        <v>3866</v>
      </c>
      <c r="E1572" s="56">
        <v>0</v>
      </c>
      <c r="F1572" s="57" t="s">
        <v>792</v>
      </c>
      <c r="G1572" s="58">
        <v>130000</v>
      </c>
      <c r="H1572" s="59">
        <v>175500</v>
      </c>
      <c r="I1572" s="59">
        <f t="shared" si="48"/>
        <v>0</v>
      </c>
    </row>
    <row r="1573" spans="1:9" customFormat="1" x14ac:dyDescent="0.35">
      <c r="A1573" s="63">
        <f t="shared" si="49"/>
        <v>1572</v>
      </c>
      <c r="B1573" s="54" t="s">
        <v>3987</v>
      </c>
      <c r="C1573" s="55" t="s">
        <v>3988</v>
      </c>
      <c r="D1573" s="54" t="s">
        <v>3866</v>
      </c>
      <c r="E1573" s="56">
        <v>0</v>
      </c>
      <c r="F1573" s="57" t="s">
        <v>792</v>
      </c>
      <c r="G1573" s="58">
        <v>42000</v>
      </c>
      <c r="H1573" s="59">
        <v>56700</v>
      </c>
      <c r="I1573" s="59">
        <f t="shared" si="48"/>
        <v>0</v>
      </c>
    </row>
    <row r="1574" spans="1:9" customFormat="1" x14ac:dyDescent="0.35">
      <c r="A1574" s="63">
        <f t="shared" si="49"/>
        <v>1573</v>
      </c>
      <c r="B1574" s="54" t="s">
        <v>3989</v>
      </c>
      <c r="C1574" s="55" t="s">
        <v>3990</v>
      </c>
      <c r="D1574" s="54" t="s">
        <v>3866</v>
      </c>
      <c r="E1574" s="56">
        <v>0</v>
      </c>
      <c r="F1574" s="57" t="s">
        <v>792</v>
      </c>
      <c r="G1574" s="58">
        <v>285000</v>
      </c>
      <c r="H1574" s="59">
        <v>285000</v>
      </c>
      <c r="I1574" s="59">
        <f t="shared" si="48"/>
        <v>0</v>
      </c>
    </row>
    <row r="1575" spans="1:9" customFormat="1" x14ac:dyDescent="0.35">
      <c r="A1575" s="63">
        <f t="shared" si="49"/>
        <v>1574</v>
      </c>
      <c r="B1575" s="54" t="s">
        <v>3991</v>
      </c>
      <c r="C1575" s="55" t="s">
        <v>3992</v>
      </c>
      <c r="D1575" s="54" t="s">
        <v>3866</v>
      </c>
      <c r="E1575" s="56">
        <v>0</v>
      </c>
      <c r="F1575" s="57" t="s">
        <v>977</v>
      </c>
      <c r="G1575" s="58">
        <v>61000</v>
      </c>
      <c r="H1575" s="59">
        <v>82350</v>
      </c>
      <c r="I1575" s="59">
        <f t="shared" si="48"/>
        <v>0</v>
      </c>
    </row>
    <row r="1576" spans="1:9" customFormat="1" x14ac:dyDescent="0.35">
      <c r="A1576" s="63">
        <f t="shared" si="49"/>
        <v>1575</v>
      </c>
      <c r="B1576" s="54" t="s">
        <v>3993</v>
      </c>
      <c r="C1576" s="55" t="s">
        <v>3994</v>
      </c>
      <c r="D1576" s="54" t="s">
        <v>3866</v>
      </c>
      <c r="E1576" s="56">
        <v>0</v>
      </c>
      <c r="F1576" s="57" t="s">
        <v>792</v>
      </c>
      <c r="G1576" s="58">
        <v>189000</v>
      </c>
      <c r="H1576" s="59">
        <v>189000</v>
      </c>
      <c r="I1576" s="59">
        <f t="shared" si="48"/>
        <v>0</v>
      </c>
    </row>
    <row r="1577" spans="1:9" customFormat="1" x14ac:dyDescent="0.35">
      <c r="A1577" s="63">
        <f t="shared" si="49"/>
        <v>1576</v>
      </c>
      <c r="B1577" s="54" t="s">
        <v>3995</v>
      </c>
      <c r="C1577" s="55" t="s">
        <v>3996</v>
      </c>
      <c r="D1577" s="54" t="s">
        <v>3866</v>
      </c>
      <c r="E1577" s="56">
        <v>0</v>
      </c>
      <c r="F1577" s="57" t="s">
        <v>792</v>
      </c>
      <c r="G1577" s="58">
        <v>0</v>
      </c>
      <c r="H1577" s="59">
        <v>0</v>
      </c>
      <c r="I1577" s="59">
        <f t="shared" si="48"/>
        <v>0</v>
      </c>
    </row>
    <row r="1578" spans="1:9" customFormat="1" x14ac:dyDescent="0.35">
      <c r="A1578" s="63">
        <f t="shared" si="49"/>
        <v>1577</v>
      </c>
      <c r="B1578" s="54" t="s">
        <v>3997</v>
      </c>
      <c r="C1578" s="55" t="s">
        <v>3998</v>
      </c>
      <c r="D1578" s="54" t="s">
        <v>3866</v>
      </c>
      <c r="E1578" s="56">
        <v>0</v>
      </c>
      <c r="F1578" s="57" t="s">
        <v>792</v>
      </c>
      <c r="G1578" s="58">
        <v>0</v>
      </c>
      <c r="H1578" s="59">
        <v>290250</v>
      </c>
      <c r="I1578" s="59">
        <f t="shared" si="48"/>
        <v>0</v>
      </c>
    </row>
    <row r="1579" spans="1:9" customFormat="1" x14ac:dyDescent="0.35">
      <c r="A1579" s="63">
        <f t="shared" si="49"/>
        <v>1578</v>
      </c>
      <c r="B1579" s="54" t="s">
        <v>3999</v>
      </c>
      <c r="C1579" s="55" t="s">
        <v>4000</v>
      </c>
      <c r="D1579" s="54" t="s">
        <v>3866</v>
      </c>
      <c r="E1579" s="56">
        <v>0</v>
      </c>
      <c r="F1579" s="57" t="s">
        <v>792</v>
      </c>
      <c r="G1579" s="58">
        <v>0</v>
      </c>
      <c r="H1579" s="59">
        <v>398250</v>
      </c>
      <c r="I1579" s="59">
        <f t="shared" si="48"/>
        <v>0</v>
      </c>
    </row>
    <row r="1580" spans="1:9" customFormat="1" x14ac:dyDescent="0.35">
      <c r="A1580" s="63">
        <f t="shared" si="49"/>
        <v>1579</v>
      </c>
      <c r="B1580" s="54" t="s">
        <v>4001</v>
      </c>
      <c r="C1580" s="55" t="s">
        <v>4002</v>
      </c>
      <c r="D1580" s="54" t="s">
        <v>3866</v>
      </c>
      <c r="E1580" s="56">
        <v>0</v>
      </c>
      <c r="F1580" s="57" t="s">
        <v>792</v>
      </c>
      <c r="G1580" s="58">
        <v>450000</v>
      </c>
      <c r="H1580" s="59">
        <v>627750</v>
      </c>
      <c r="I1580" s="59">
        <f t="shared" si="48"/>
        <v>0</v>
      </c>
    </row>
    <row r="1581" spans="1:9" customFormat="1" x14ac:dyDescent="0.35">
      <c r="A1581" s="63">
        <f t="shared" si="49"/>
        <v>1580</v>
      </c>
      <c r="B1581" s="54" t="s">
        <v>4003</v>
      </c>
      <c r="C1581" s="55" t="s">
        <v>4004</v>
      </c>
      <c r="D1581" s="54" t="s">
        <v>3866</v>
      </c>
      <c r="E1581" s="56">
        <v>0</v>
      </c>
      <c r="F1581" s="57" t="s">
        <v>792</v>
      </c>
      <c r="G1581" s="58">
        <v>0</v>
      </c>
      <c r="H1581" s="59">
        <v>30000</v>
      </c>
      <c r="I1581" s="59">
        <f t="shared" si="48"/>
        <v>0</v>
      </c>
    </row>
    <row r="1582" spans="1:9" customFormat="1" x14ac:dyDescent="0.35">
      <c r="A1582" s="63">
        <f t="shared" si="49"/>
        <v>1581</v>
      </c>
      <c r="B1582" s="54" t="s">
        <v>4005</v>
      </c>
      <c r="C1582" s="55" t="s">
        <v>4006</v>
      </c>
      <c r="D1582" s="54" t="s">
        <v>3866</v>
      </c>
      <c r="E1582" s="56">
        <v>0</v>
      </c>
      <c r="F1582" s="57" t="s">
        <v>792</v>
      </c>
      <c r="G1582" s="58">
        <v>0</v>
      </c>
      <c r="H1582" s="59">
        <v>0</v>
      </c>
      <c r="I1582" s="59">
        <f t="shared" si="48"/>
        <v>0</v>
      </c>
    </row>
    <row r="1583" spans="1:9" customFormat="1" x14ac:dyDescent="0.35">
      <c r="A1583" s="63">
        <f t="shared" si="49"/>
        <v>1582</v>
      </c>
      <c r="B1583" s="54" t="s">
        <v>4007</v>
      </c>
      <c r="C1583" s="55" t="s">
        <v>4008</v>
      </c>
      <c r="D1583" s="54" t="s">
        <v>3866</v>
      </c>
      <c r="E1583" s="56">
        <v>0</v>
      </c>
      <c r="F1583" s="57" t="s">
        <v>792</v>
      </c>
      <c r="G1583" s="58">
        <v>0</v>
      </c>
      <c r="H1583" s="59">
        <v>0</v>
      </c>
      <c r="I1583" s="59">
        <f t="shared" si="48"/>
        <v>0</v>
      </c>
    </row>
    <row r="1584" spans="1:9" customFormat="1" x14ac:dyDescent="0.35">
      <c r="A1584" s="63">
        <f t="shared" si="49"/>
        <v>1583</v>
      </c>
      <c r="B1584" s="54" t="s">
        <v>4009</v>
      </c>
      <c r="C1584" s="55" t="s">
        <v>4010</v>
      </c>
      <c r="D1584" s="54" t="s">
        <v>3866</v>
      </c>
      <c r="E1584" s="56">
        <v>0</v>
      </c>
      <c r="F1584" s="57" t="s">
        <v>792</v>
      </c>
      <c r="G1584" s="58">
        <v>0</v>
      </c>
      <c r="H1584" s="59">
        <v>0</v>
      </c>
      <c r="I1584" s="59">
        <f t="shared" si="48"/>
        <v>0</v>
      </c>
    </row>
    <row r="1585" spans="1:9" customFormat="1" x14ac:dyDescent="0.35">
      <c r="A1585" s="63">
        <f t="shared" si="49"/>
        <v>1584</v>
      </c>
      <c r="B1585" s="54" t="s">
        <v>4011</v>
      </c>
      <c r="C1585" s="55" t="s">
        <v>4012</v>
      </c>
      <c r="D1585" s="54" t="s">
        <v>3866</v>
      </c>
      <c r="E1585" s="56">
        <v>0</v>
      </c>
      <c r="F1585" s="57" t="s">
        <v>792</v>
      </c>
      <c r="G1585" s="58">
        <v>0</v>
      </c>
      <c r="H1585" s="59">
        <v>0</v>
      </c>
      <c r="I1585" s="59">
        <f t="shared" si="48"/>
        <v>0</v>
      </c>
    </row>
    <row r="1586" spans="1:9" customFormat="1" x14ac:dyDescent="0.35">
      <c r="A1586" s="63">
        <f t="shared" si="49"/>
        <v>1585</v>
      </c>
      <c r="B1586" s="54" t="s">
        <v>4013</v>
      </c>
      <c r="C1586" s="55" t="s">
        <v>4014</v>
      </c>
      <c r="D1586" s="54" t="s">
        <v>3866</v>
      </c>
      <c r="E1586" s="56">
        <v>0</v>
      </c>
      <c r="F1586" s="57" t="s">
        <v>792</v>
      </c>
      <c r="G1586" s="58">
        <v>0</v>
      </c>
      <c r="H1586" s="59">
        <v>0</v>
      </c>
      <c r="I1586" s="59">
        <f t="shared" si="48"/>
        <v>0</v>
      </c>
    </row>
    <row r="1587" spans="1:9" customFormat="1" x14ac:dyDescent="0.35">
      <c r="A1587" s="63">
        <f t="shared" si="49"/>
        <v>1586</v>
      </c>
      <c r="B1587" s="54" t="s">
        <v>4015</v>
      </c>
      <c r="C1587" s="55" t="s">
        <v>4016</v>
      </c>
      <c r="D1587" s="54" t="s">
        <v>3866</v>
      </c>
      <c r="E1587" s="56">
        <v>0</v>
      </c>
      <c r="F1587" s="57" t="s">
        <v>792</v>
      </c>
      <c r="G1587" s="58">
        <v>0</v>
      </c>
      <c r="H1587" s="59">
        <v>0</v>
      </c>
      <c r="I1587" s="59">
        <f t="shared" si="48"/>
        <v>0</v>
      </c>
    </row>
    <row r="1588" spans="1:9" customFormat="1" x14ac:dyDescent="0.35">
      <c r="A1588" s="63">
        <f t="shared" si="49"/>
        <v>1587</v>
      </c>
      <c r="B1588" s="54" t="s">
        <v>4017</v>
      </c>
      <c r="C1588" s="55" t="s">
        <v>4018</v>
      </c>
      <c r="D1588" s="54" t="s">
        <v>3866</v>
      </c>
      <c r="E1588" s="56">
        <v>0</v>
      </c>
      <c r="F1588" s="57" t="s">
        <v>792</v>
      </c>
      <c r="G1588" s="58">
        <v>0</v>
      </c>
      <c r="H1588" s="59">
        <v>0</v>
      </c>
      <c r="I1588" s="59">
        <f t="shared" si="48"/>
        <v>0</v>
      </c>
    </row>
    <row r="1589" spans="1:9" customFormat="1" x14ac:dyDescent="0.35">
      <c r="A1589" s="63">
        <f t="shared" si="49"/>
        <v>1588</v>
      </c>
      <c r="B1589" s="54" t="s">
        <v>4019</v>
      </c>
      <c r="C1589" s="55" t="s">
        <v>4020</v>
      </c>
      <c r="D1589" s="54" t="s">
        <v>3866</v>
      </c>
      <c r="E1589" s="56">
        <v>0</v>
      </c>
      <c r="F1589" s="57" t="s">
        <v>792</v>
      </c>
      <c r="G1589" s="58">
        <v>0</v>
      </c>
      <c r="H1589" s="59">
        <v>0</v>
      </c>
      <c r="I1589" s="59">
        <f t="shared" si="48"/>
        <v>0</v>
      </c>
    </row>
    <row r="1590" spans="1:9" customFormat="1" x14ac:dyDescent="0.35">
      <c r="A1590" s="63">
        <f t="shared" si="49"/>
        <v>1589</v>
      </c>
      <c r="B1590" s="54" t="s">
        <v>4021</v>
      </c>
      <c r="C1590" s="55" t="s">
        <v>4022</v>
      </c>
      <c r="D1590" s="54" t="s">
        <v>3866</v>
      </c>
      <c r="E1590" s="56">
        <v>0</v>
      </c>
      <c r="F1590" s="57" t="s">
        <v>792</v>
      </c>
      <c r="G1590" s="58">
        <v>16690</v>
      </c>
      <c r="H1590" s="59">
        <v>25000</v>
      </c>
      <c r="I1590" s="59">
        <f t="shared" si="48"/>
        <v>0</v>
      </c>
    </row>
    <row r="1591" spans="1:9" customFormat="1" x14ac:dyDescent="0.35">
      <c r="A1591" s="63">
        <f t="shared" si="49"/>
        <v>1590</v>
      </c>
      <c r="B1591" s="54" t="s">
        <v>4023</v>
      </c>
      <c r="C1591" s="55" t="s">
        <v>4024</v>
      </c>
      <c r="D1591" s="54" t="s">
        <v>3866</v>
      </c>
      <c r="E1591" s="56">
        <v>0</v>
      </c>
      <c r="F1591" s="57" t="s">
        <v>792</v>
      </c>
      <c r="G1591" s="58">
        <v>0</v>
      </c>
      <c r="H1591" s="59">
        <v>20250</v>
      </c>
      <c r="I1591" s="59">
        <f t="shared" si="48"/>
        <v>0</v>
      </c>
    </row>
    <row r="1592" spans="1:9" customFormat="1" x14ac:dyDescent="0.35">
      <c r="A1592" s="63">
        <f t="shared" si="49"/>
        <v>1591</v>
      </c>
      <c r="B1592" s="54" t="s">
        <v>4025</v>
      </c>
      <c r="C1592" s="55" t="s">
        <v>4026</v>
      </c>
      <c r="D1592" s="54" t="s">
        <v>3866</v>
      </c>
      <c r="E1592" s="56">
        <v>0</v>
      </c>
      <c r="F1592" s="57" t="s">
        <v>792</v>
      </c>
      <c r="G1592" s="58">
        <v>0</v>
      </c>
      <c r="H1592" s="59">
        <v>36585</v>
      </c>
      <c r="I1592" s="59">
        <f t="shared" si="48"/>
        <v>0</v>
      </c>
    </row>
    <row r="1593" spans="1:9" customFormat="1" x14ac:dyDescent="0.35">
      <c r="A1593" s="63">
        <f t="shared" si="49"/>
        <v>1592</v>
      </c>
      <c r="B1593" s="54" t="s">
        <v>4027</v>
      </c>
      <c r="C1593" s="55" t="s">
        <v>4028</v>
      </c>
      <c r="D1593" s="54" t="s">
        <v>3866</v>
      </c>
      <c r="E1593" s="56">
        <v>0</v>
      </c>
      <c r="F1593" s="57" t="s">
        <v>792</v>
      </c>
      <c r="G1593" s="58">
        <v>0</v>
      </c>
      <c r="H1593" s="59">
        <v>28350</v>
      </c>
      <c r="I1593" s="59">
        <f t="shared" si="48"/>
        <v>0</v>
      </c>
    </row>
    <row r="1594" spans="1:9" customFormat="1" x14ac:dyDescent="0.35">
      <c r="A1594" s="63">
        <f t="shared" si="49"/>
        <v>1593</v>
      </c>
      <c r="B1594" s="54" t="s">
        <v>4029</v>
      </c>
      <c r="C1594" s="55" t="s">
        <v>4030</v>
      </c>
      <c r="D1594" s="54" t="s">
        <v>3866</v>
      </c>
      <c r="E1594" s="56">
        <v>0</v>
      </c>
      <c r="F1594" s="57" t="s">
        <v>792</v>
      </c>
      <c r="G1594" s="58">
        <v>114810</v>
      </c>
      <c r="H1594" s="59">
        <v>155500</v>
      </c>
      <c r="I1594" s="59">
        <f t="shared" si="48"/>
        <v>0</v>
      </c>
    </row>
    <row r="1595" spans="1:9" customFormat="1" x14ac:dyDescent="0.35">
      <c r="A1595" s="63">
        <f t="shared" si="49"/>
        <v>1594</v>
      </c>
      <c r="B1595" s="54" t="s">
        <v>4031</v>
      </c>
      <c r="C1595" s="55" t="s">
        <v>4032</v>
      </c>
      <c r="D1595" s="54" t="s">
        <v>3866</v>
      </c>
      <c r="E1595" s="56">
        <v>0</v>
      </c>
      <c r="F1595" s="57" t="s">
        <v>792</v>
      </c>
      <c r="G1595" s="58">
        <v>106720</v>
      </c>
      <c r="H1595" s="59">
        <v>144450</v>
      </c>
      <c r="I1595" s="59">
        <f t="shared" si="48"/>
        <v>0</v>
      </c>
    </row>
    <row r="1596" spans="1:9" customFormat="1" x14ac:dyDescent="0.35">
      <c r="A1596" s="63">
        <f t="shared" si="49"/>
        <v>1595</v>
      </c>
      <c r="B1596" s="54" t="s">
        <v>4033</v>
      </c>
      <c r="C1596" s="55" t="s">
        <v>4034</v>
      </c>
      <c r="D1596" s="54" t="s">
        <v>3866</v>
      </c>
      <c r="E1596" s="56">
        <v>0</v>
      </c>
      <c r="F1596" s="57" t="s">
        <v>792</v>
      </c>
      <c r="G1596" s="58">
        <v>0</v>
      </c>
      <c r="H1596" s="59">
        <v>141750</v>
      </c>
      <c r="I1596" s="59">
        <f t="shared" si="48"/>
        <v>0</v>
      </c>
    </row>
    <row r="1597" spans="1:9" customFormat="1" x14ac:dyDescent="0.35">
      <c r="A1597" s="63">
        <f t="shared" si="49"/>
        <v>1596</v>
      </c>
      <c r="B1597" s="54" t="s">
        <v>4035</v>
      </c>
      <c r="C1597" s="55" t="s">
        <v>4036</v>
      </c>
      <c r="D1597" s="54" t="s">
        <v>3866</v>
      </c>
      <c r="E1597" s="56">
        <v>0</v>
      </c>
      <c r="F1597" s="57" t="s">
        <v>792</v>
      </c>
      <c r="G1597" s="58">
        <v>0</v>
      </c>
      <c r="H1597" s="59">
        <v>290250</v>
      </c>
      <c r="I1597" s="59">
        <f t="shared" si="48"/>
        <v>0</v>
      </c>
    </row>
    <row r="1598" spans="1:9" customFormat="1" x14ac:dyDescent="0.35">
      <c r="A1598" s="63">
        <f t="shared" si="49"/>
        <v>1597</v>
      </c>
      <c r="B1598" s="54" t="s">
        <v>4037</v>
      </c>
      <c r="C1598" s="55" t="s">
        <v>4038</v>
      </c>
      <c r="D1598" s="54" t="s">
        <v>3866</v>
      </c>
      <c r="E1598" s="56">
        <v>0</v>
      </c>
      <c r="F1598" s="57" t="s">
        <v>792</v>
      </c>
      <c r="G1598" s="58">
        <v>0</v>
      </c>
      <c r="H1598" s="59">
        <v>1009719</v>
      </c>
      <c r="I1598" s="59">
        <f t="shared" si="48"/>
        <v>0</v>
      </c>
    </row>
    <row r="1599" spans="1:9" customFormat="1" x14ac:dyDescent="0.35">
      <c r="A1599" s="63">
        <f t="shared" si="49"/>
        <v>1598</v>
      </c>
      <c r="B1599" s="54" t="s">
        <v>4039</v>
      </c>
      <c r="C1599" s="55" t="s">
        <v>4040</v>
      </c>
      <c r="D1599" s="54" t="s">
        <v>3866</v>
      </c>
      <c r="E1599" s="56">
        <v>0</v>
      </c>
      <c r="F1599" s="57" t="s">
        <v>792</v>
      </c>
      <c r="G1599" s="58">
        <v>0</v>
      </c>
      <c r="H1599" s="59">
        <v>194400</v>
      </c>
      <c r="I1599" s="59">
        <f t="shared" si="48"/>
        <v>0</v>
      </c>
    </row>
    <row r="1600" spans="1:9" customFormat="1" x14ac:dyDescent="0.35">
      <c r="A1600" s="63">
        <f t="shared" si="49"/>
        <v>1599</v>
      </c>
      <c r="B1600" s="54" t="s">
        <v>4041</v>
      </c>
      <c r="C1600" s="55" t="s">
        <v>4042</v>
      </c>
      <c r="D1600" s="54" t="s">
        <v>3866</v>
      </c>
      <c r="E1600" s="56">
        <v>0</v>
      </c>
      <c r="F1600" s="57" t="s">
        <v>792</v>
      </c>
      <c r="G1600" s="58">
        <v>32225</v>
      </c>
      <c r="H1600" s="59">
        <v>49950</v>
      </c>
      <c r="I1600" s="59">
        <f t="shared" si="48"/>
        <v>0</v>
      </c>
    </row>
    <row r="1601" spans="1:9" customFormat="1" x14ac:dyDescent="0.35">
      <c r="A1601" s="63">
        <f t="shared" si="49"/>
        <v>1600</v>
      </c>
      <c r="B1601" s="54" t="s">
        <v>4043</v>
      </c>
      <c r="C1601" s="55" t="s">
        <v>4044</v>
      </c>
      <c r="D1601" s="54" t="s">
        <v>3866</v>
      </c>
      <c r="E1601" s="56">
        <v>0</v>
      </c>
      <c r="F1601" s="57" t="s">
        <v>792</v>
      </c>
      <c r="G1601" s="58">
        <v>14255</v>
      </c>
      <c r="H1601" s="59">
        <v>21748</v>
      </c>
      <c r="I1601" s="59">
        <f t="shared" si="48"/>
        <v>0</v>
      </c>
    </row>
    <row r="1602" spans="1:9" customFormat="1" x14ac:dyDescent="0.35">
      <c r="A1602" s="63">
        <f t="shared" si="49"/>
        <v>1601</v>
      </c>
      <c r="B1602" s="54" t="s">
        <v>4045</v>
      </c>
      <c r="C1602" s="55" t="s">
        <v>4046</v>
      </c>
      <c r="D1602" s="54" t="s">
        <v>3866</v>
      </c>
      <c r="E1602" s="56">
        <v>0</v>
      </c>
      <c r="F1602" s="57" t="s">
        <v>792</v>
      </c>
      <c r="G1602" s="58">
        <v>393775</v>
      </c>
      <c r="H1602" s="59">
        <v>531600</v>
      </c>
      <c r="I1602" s="59">
        <f t="shared" si="48"/>
        <v>0</v>
      </c>
    </row>
    <row r="1603" spans="1:9" customFormat="1" x14ac:dyDescent="0.35">
      <c r="A1603" s="63">
        <f t="shared" si="49"/>
        <v>1602</v>
      </c>
      <c r="B1603" s="54" t="s">
        <v>4047</v>
      </c>
      <c r="C1603" s="55" t="s">
        <v>4048</v>
      </c>
      <c r="D1603" s="54" t="s">
        <v>3866</v>
      </c>
      <c r="E1603" s="56">
        <v>0</v>
      </c>
      <c r="F1603" s="57" t="s">
        <v>1217</v>
      </c>
      <c r="G1603" s="58">
        <v>0</v>
      </c>
      <c r="H1603" s="59">
        <v>261988</v>
      </c>
      <c r="I1603" s="59">
        <f t="shared" ref="I1603:I1666" si="50">H1603*E1603</f>
        <v>0</v>
      </c>
    </row>
    <row r="1604" spans="1:9" customFormat="1" x14ac:dyDescent="0.35">
      <c r="A1604" s="63">
        <f t="shared" ref="A1604:A1667" si="51">A1603+1</f>
        <v>1603</v>
      </c>
      <c r="B1604" s="54" t="s">
        <v>4049</v>
      </c>
      <c r="C1604" s="55" t="s">
        <v>4050</v>
      </c>
      <c r="D1604" s="54" t="s">
        <v>3866</v>
      </c>
      <c r="E1604" s="56">
        <v>0</v>
      </c>
      <c r="F1604" s="57" t="s">
        <v>792</v>
      </c>
      <c r="G1604" s="58">
        <v>0</v>
      </c>
      <c r="H1604" s="59">
        <v>246893</v>
      </c>
      <c r="I1604" s="59">
        <f t="shared" si="50"/>
        <v>0</v>
      </c>
    </row>
    <row r="1605" spans="1:9" customFormat="1" x14ac:dyDescent="0.35">
      <c r="A1605" s="63">
        <f t="shared" si="51"/>
        <v>1604</v>
      </c>
      <c r="B1605" s="54" t="s">
        <v>4051</v>
      </c>
      <c r="C1605" s="55" t="s">
        <v>4052</v>
      </c>
      <c r="D1605" s="54" t="s">
        <v>3866</v>
      </c>
      <c r="E1605" s="56">
        <v>0</v>
      </c>
      <c r="F1605" s="57" t="s">
        <v>792</v>
      </c>
      <c r="G1605" s="58">
        <v>267810</v>
      </c>
      <c r="H1605" s="59">
        <v>361800</v>
      </c>
      <c r="I1605" s="59">
        <f t="shared" si="50"/>
        <v>0</v>
      </c>
    </row>
    <row r="1606" spans="1:9" customFormat="1" x14ac:dyDescent="0.35">
      <c r="A1606" s="63">
        <f t="shared" si="51"/>
        <v>1605</v>
      </c>
      <c r="B1606" s="54" t="s">
        <v>4053</v>
      </c>
      <c r="C1606" s="55" t="s">
        <v>4054</v>
      </c>
      <c r="D1606" s="54" t="s">
        <v>3866</v>
      </c>
      <c r="E1606" s="56">
        <v>0</v>
      </c>
      <c r="F1606" s="57" t="s">
        <v>792</v>
      </c>
      <c r="G1606" s="58">
        <v>595000</v>
      </c>
      <c r="H1606" s="59">
        <v>804000</v>
      </c>
      <c r="I1606" s="59">
        <f t="shared" si="50"/>
        <v>0</v>
      </c>
    </row>
    <row r="1607" spans="1:9" customFormat="1" x14ac:dyDescent="0.35">
      <c r="A1607" s="63">
        <f t="shared" si="51"/>
        <v>1606</v>
      </c>
      <c r="B1607" s="54" t="s">
        <v>4055</v>
      </c>
      <c r="C1607" s="55" t="s">
        <v>4056</v>
      </c>
      <c r="D1607" s="54" t="s">
        <v>3866</v>
      </c>
      <c r="E1607" s="56">
        <v>0</v>
      </c>
      <c r="F1607" s="57" t="s">
        <v>792</v>
      </c>
      <c r="G1607" s="58">
        <v>1095000</v>
      </c>
      <c r="H1607" s="59">
        <v>1478250</v>
      </c>
      <c r="I1607" s="59">
        <f t="shared" si="50"/>
        <v>0</v>
      </c>
    </row>
    <row r="1608" spans="1:9" customFormat="1" x14ac:dyDescent="0.35">
      <c r="A1608" s="63">
        <f t="shared" si="51"/>
        <v>1607</v>
      </c>
      <c r="B1608" s="54" t="s">
        <v>4057</v>
      </c>
      <c r="C1608" s="55" t="s">
        <v>4058</v>
      </c>
      <c r="D1608" s="54" t="s">
        <v>3866</v>
      </c>
      <c r="E1608" s="56">
        <v>0</v>
      </c>
      <c r="F1608" s="57" t="s">
        <v>792</v>
      </c>
      <c r="G1608" s="58">
        <v>210000</v>
      </c>
      <c r="H1608" s="59">
        <v>283500</v>
      </c>
      <c r="I1608" s="59">
        <f t="shared" si="50"/>
        <v>0</v>
      </c>
    </row>
    <row r="1609" spans="1:9" customFormat="1" x14ac:dyDescent="0.35">
      <c r="A1609" s="63">
        <f t="shared" si="51"/>
        <v>1608</v>
      </c>
      <c r="B1609" s="54" t="s">
        <v>4059</v>
      </c>
      <c r="C1609" s="55" t="s">
        <v>4060</v>
      </c>
      <c r="D1609" s="54" t="s">
        <v>3866</v>
      </c>
      <c r="E1609" s="56">
        <v>0</v>
      </c>
      <c r="F1609" s="57" t="s">
        <v>792</v>
      </c>
      <c r="G1609" s="58">
        <v>95000</v>
      </c>
      <c r="H1609" s="59">
        <v>156500</v>
      </c>
      <c r="I1609" s="59">
        <f t="shared" si="50"/>
        <v>0</v>
      </c>
    </row>
    <row r="1610" spans="1:9" customFormat="1" x14ac:dyDescent="0.35">
      <c r="A1610" s="63">
        <f t="shared" si="51"/>
        <v>1609</v>
      </c>
      <c r="B1610" s="54" t="s">
        <v>4061</v>
      </c>
      <c r="C1610" s="55" t="s">
        <v>4062</v>
      </c>
      <c r="D1610" s="54" t="s">
        <v>3866</v>
      </c>
      <c r="E1610" s="56">
        <v>0</v>
      </c>
      <c r="F1610" s="57" t="s">
        <v>792</v>
      </c>
      <c r="G1610" s="58">
        <v>10000</v>
      </c>
      <c r="H1610" s="59">
        <v>10000</v>
      </c>
      <c r="I1610" s="59">
        <f t="shared" si="50"/>
        <v>0</v>
      </c>
    </row>
    <row r="1611" spans="1:9" customFormat="1" x14ac:dyDescent="0.35">
      <c r="A1611" s="63">
        <f t="shared" si="51"/>
        <v>1610</v>
      </c>
      <c r="B1611" s="54" t="s">
        <v>4063</v>
      </c>
      <c r="C1611" s="55" t="s">
        <v>4064</v>
      </c>
      <c r="D1611" s="54" t="s">
        <v>3866</v>
      </c>
      <c r="E1611" s="56">
        <v>0</v>
      </c>
      <c r="F1611" s="57" t="s">
        <v>792</v>
      </c>
      <c r="G1611" s="58">
        <v>229500</v>
      </c>
      <c r="H1611" s="59">
        <v>337500</v>
      </c>
      <c r="I1611" s="59">
        <f t="shared" si="50"/>
        <v>0</v>
      </c>
    </row>
    <row r="1612" spans="1:9" customFormat="1" x14ac:dyDescent="0.35">
      <c r="A1612" s="63">
        <f t="shared" si="51"/>
        <v>1611</v>
      </c>
      <c r="B1612" s="54" t="s">
        <v>4065</v>
      </c>
      <c r="C1612" s="55" t="s">
        <v>4066</v>
      </c>
      <c r="D1612" s="54" t="s">
        <v>3866</v>
      </c>
      <c r="E1612" s="56">
        <v>0</v>
      </c>
      <c r="F1612" s="57" t="s">
        <v>1563</v>
      </c>
      <c r="G1612" s="58">
        <v>0</v>
      </c>
      <c r="H1612" s="59">
        <v>0</v>
      </c>
      <c r="I1612" s="59">
        <f t="shared" si="50"/>
        <v>0</v>
      </c>
    </row>
    <row r="1613" spans="1:9" customFormat="1" x14ac:dyDescent="0.35">
      <c r="A1613" s="63">
        <f t="shared" si="51"/>
        <v>1612</v>
      </c>
      <c r="B1613" s="54" t="s">
        <v>4067</v>
      </c>
      <c r="C1613" s="55" t="s">
        <v>4068</v>
      </c>
      <c r="D1613" s="54" t="s">
        <v>3866</v>
      </c>
      <c r="E1613" s="56">
        <v>0</v>
      </c>
      <c r="F1613" s="57" t="s">
        <v>792</v>
      </c>
      <c r="G1613" s="58">
        <v>1500</v>
      </c>
      <c r="H1613" s="59">
        <v>1500</v>
      </c>
      <c r="I1613" s="59">
        <f t="shared" si="50"/>
        <v>0</v>
      </c>
    </row>
    <row r="1614" spans="1:9" customFormat="1" x14ac:dyDescent="0.35">
      <c r="A1614" s="63">
        <f t="shared" si="51"/>
        <v>1613</v>
      </c>
      <c r="B1614" s="54" t="s">
        <v>4069</v>
      </c>
      <c r="C1614" s="55" t="s">
        <v>4070</v>
      </c>
      <c r="D1614" s="54" t="s">
        <v>3866</v>
      </c>
      <c r="E1614" s="56">
        <v>0</v>
      </c>
      <c r="F1614" s="57" t="s">
        <v>792</v>
      </c>
      <c r="G1614" s="58">
        <v>45000</v>
      </c>
      <c r="H1614" s="59">
        <v>45000</v>
      </c>
      <c r="I1614" s="59">
        <f t="shared" si="50"/>
        <v>0</v>
      </c>
    </row>
    <row r="1615" spans="1:9" customFormat="1" x14ac:dyDescent="0.35">
      <c r="A1615" s="63">
        <f t="shared" si="51"/>
        <v>1614</v>
      </c>
      <c r="B1615" s="54" t="s">
        <v>4071</v>
      </c>
      <c r="C1615" s="55" t="s">
        <v>4072</v>
      </c>
      <c r="D1615" s="54" t="s">
        <v>3866</v>
      </c>
      <c r="E1615" s="56">
        <v>0</v>
      </c>
      <c r="F1615" s="57" t="s">
        <v>792</v>
      </c>
      <c r="G1615" s="58">
        <v>10000</v>
      </c>
      <c r="H1615" s="59">
        <v>13500</v>
      </c>
      <c r="I1615" s="59">
        <f t="shared" si="50"/>
        <v>0</v>
      </c>
    </row>
    <row r="1616" spans="1:9" customFormat="1" x14ac:dyDescent="0.35">
      <c r="A1616" s="63">
        <f t="shared" si="51"/>
        <v>1615</v>
      </c>
      <c r="B1616" s="54" t="s">
        <v>4073</v>
      </c>
      <c r="C1616" s="55" t="s">
        <v>4074</v>
      </c>
      <c r="D1616" s="54" t="s">
        <v>3866</v>
      </c>
      <c r="E1616" s="56">
        <v>0</v>
      </c>
      <c r="F1616" s="57" t="s">
        <v>792</v>
      </c>
      <c r="G1616" s="58">
        <v>0</v>
      </c>
      <c r="H1616" s="59">
        <v>23625</v>
      </c>
      <c r="I1616" s="59">
        <f t="shared" si="50"/>
        <v>0</v>
      </c>
    </row>
    <row r="1617" spans="1:9" customFormat="1" x14ac:dyDescent="0.35">
      <c r="A1617" s="63">
        <f t="shared" si="51"/>
        <v>1616</v>
      </c>
      <c r="B1617" s="54" t="s">
        <v>4075</v>
      </c>
      <c r="C1617" s="55" t="s">
        <v>4076</v>
      </c>
      <c r="D1617" s="54" t="s">
        <v>3866</v>
      </c>
      <c r="E1617" s="56">
        <v>0</v>
      </c>
      <c r="F1617" s="57" t="s">
        <v>792</v>
      </c>
      <c r="G1617" s="58">
        <v>0</v>
      </c>
      <c r="H1617" s="59">
        <v>12150</v>
      </c>
      <c r="I1617" s="59">
        <f t="shared" si="50"/>
        <v>0</v>
      </c>
    </row>
    <row r="1618" spans="1:9" customFormat="1" x14ac:dyDescent="0.35">
      <c r="A1618" s="63">
        <f t="shared" si="51"/>
        <v>1617</v>
      </c>
      <c r="B1618" s="54" t="s">
        <v>4077</v>
      </c>
      <c r="C1618" s="55" t="s">
        <v>4078</v>
      </c>
      <c r="D1618" s="54" t="s">
        <v>3866</v>
      </c>
      <c r="E1618" s="56">
        <v>0</v>
      </c>
      <c r="F1618" s="57" t="s">
        <v>792</v>
      </c>
      <c r="G1618" s="58">
        <v>87750</v>
      </c>
      <c r="H1618" s="59">
        <v>118463</v>
      </c>
      <c r="I1618" s="59">
        <f t="shared" si="50"/>
        <v>0</v>
      </c>
    </row>
    <row r="1619" spans="1:9" customFormat="1" x14ac:dyDescent="0.35">
      <c r="A1619" s="63">
        <f t="shared" si="51"/>
        <v>1618</v>
      </c>
      <c r="B1619" s="54" t="s">
        <v>4079</v>
      </c>
      <c r="C1619" s="55" t="s">
        <v>4080</v>
      </c>
      <c r="D1619" s="54" t="s">
        <v>3866</v>
      </c>
      <c r="E1619" s="56">
        <v>0</v>
      </c>
      <c r="F1619" s="57" t="s">
        <v>792</v>
      </c>
      <c r="G1619" s="58">
        <v>19000</v>
      </c>
      <c r="H1619" s="59">
        <v>27000</v>
      </c>
      <c r="I1619" s="59">
        <f t="shared" si="50"/>
        <v>0</v>
      </c>
    </row>
    <row r="1620" spans="1:9" customFormat="1" x14ac:dyDescent="0.35">
      <c r="A1620" s="63">
        <f t="shared" si="51"/>
        <v>1619</v>
      </c>
      <c r="B1620" s="54" t="s">
        <v>4081</v>
      </c>
      <c r="C1620" s="55" t="s">
        <v>4082</v>
      </c>
      <c r="D1620" s="54" t="s">
        <v>3866</v>
      </c>
      <c r="E1620" s="56">
        <v>0</v>
      </c>
      <c r="F1620" s="57" t="s">
        <v>792</v>
      </c>
      <c r="G1620" s="58">
        <v>19000</v>
      </c>
      <c r="H1620" s="59">
        <v>28900</v>
      </c>
      <c r="I1620" s="59">
        <f t="shared" si="50"/>
        <v>0</v>
      </c>
    </row>
    <row r="1621" spans="1:9" customFormat="1" x14ac:dyDescent="0.35">
      <c r="A1621" s="63">
        <f t="shared" si="51"/>
        <v>1620</v>
      </c>
      <c r="B1621" s="54" t="s">
        <v>4083</v>
      </c>
      <c r="C1621" s="55" t="s">
        <v>4084</v>
      </c>
      <c r="D1621" s="54" t="s">
        <v>3866</v>
      </c>
      <c r="E1621" s="56">
        <v>0</v>
      </c>
      <c r="F1621" s="57" t="s">
        <v>969</v>
      </c>
      <c r="G1621" s="58">
        <v>30000</v>
      </c>
      <c r="H1621" s="59">
        <v>40500</v>
      </c>
      <c r="I1621" s="59">
        <f t="shared" si="50"/>
        <v>0</v>
      </c>
    </row>
    <row r="1622" spans="1:9" customFormat="1" x14ac:dyDescent="0.35">
      <c r="A1622" s="63">
        <f t="shared" si="51"/>
        <v>1621</v>
      </c>
      <c r="B1622" s="54" t="s">
        <v>4085</v>
      </c>
      <c r="C1622" s="55" t="s">
        <v>4086</v>
      </c>
      <c r="D1622" s="54" t="s">
        <v>3866</v>
      </c>
      <c r="E1622" s="56">
        <v>0</v>
      </c>
      <c r="F1622" s="57" t="s">
        <v>844</v>
      </c>
      <c r="G1622" s="58">
        <v>0</v>
      </c>
      <c r="H1622" s="59">
        <v>1147500</v>
      </c>
      <c r="I1622" s="59">
        <f t="shared" si="50"/>
        <v>0</v>
      </c>
    </row>
    <row r="1623" spans="1:9" customFormat="1" x14ac:dyDescent="0.35">
      <c r="A1623" s="63">
        <f t="shared" si="51"/>
        <v>1622</v>
      </c>
      <c r="B1623" s="54" t="s">
        <v>4087</v>
      </c>
      <c r="C1623" s="55" t="s">
        <v>4088</v>
      </c>
      <c r="D1623" s="54" t="s">
        <v>3866</v>
      </c>
      <c r="E1623" s="56">
        <v>0</v>
      </c>
      <c r="F1623" s="57" t="s">
        <v>792</v>
      </c>
      <c r="G1623" s="58">
        <v>85000</v>
      </c>
      <c r="H1623" s="59">
        <v>115000</v>
      </c>
      <c r="I1623" s="59">
        <f t="shared" si="50"/>
        <v>0</v>
      </c>
    </row>
    <row r="1624" spans="1:9" customFormat="1" x14ac:dyDescent="0.35">
      <c r="A1624" s="63">
        <f t="shared" si="51"/>
        <v>1623</v>
      </c>
      <c r="B1624" s="54" t="s">
        <v>4089</v>
      </c>
      <c r="C1624" s="55" t="s">
        <v>4090</v>
      </c>
      <c r="D1624" s="54" t="s">
        <v>3866</v>
      </c>
      <c r="E1624" s="56">
        <v>0</v>
      </c>
      <c r="F1624" s="57" t="s">
        <v>792</v>
      </c>
      <c r="G1624" s="58">
        <v>195000</v>
      </c>
      <c r="H1624" s="59">
        <v>195000</v>
      </c>
      <c r="I1624" s="59">
        <f t="shared" si="50"/>
        <v>0</v>
      </c>
    </row>
    <row r="1625" spans="1:9" customFormat="1" ht="23" x14ac:dyDescent="0.35">
      <c r="A1625" s="63">
        <f t="shared" si="51"/>
        <v>1624</v>
      </c>
      <c r="B1625" s="54" t="s">
        <v>4091</v>
      </c>
      <c r="C1625" s="55" t="s">
        <v>4092</v>
      </c>
      <c r="D1625" s="54" t="s">
        <v>3866</v>
      </c>
      <c r="E1625" s="56">
        <v>0</v>
      </c>
      <c r="F1625" s="57" t="s">
        <v>792</v>
      </c>
      <c r="G1625" s="58">
        <v>6600000</v>
      </c>
      <c r="H1625" s="59">
        <v>9747000</v>
      </c>
      <c r="I1625" s="59">
        <f t="shared" si="50"/>
        <v>0</v>
      </c>
    </row>
    <row r="1626" spans="1:9" customFormat="1" x14ac:dyDescent="0.35">
      <c r="A1626" s="63">
        <f t="shared" si="51"/>
        <v>1625</v>
      </c>
      <c r="B1626" s="54" t="s">
        <v>4093</v>
      </c>
      <c r="C1626" s="55" t="s">
        <v>4094</v>
      </c>
      <c r="D1626" s="54" t="s">
        <v>3866</v>
      </c>
      <c r="E1626" s="56">
        <v>0</v>
      </c>
      <c r="F1626" s="57" t="s">
        <v>792</v>
      </c>
      <c r="G1626" s="58">
        <v>0</v>
      </c>
      <c r="H1626" s="59">
        <v>58050</v>
      </c>
      <c r="I1626" s="59">
        <f t="shared" si="50"/>
        <v>0</v>
      </c>
    </row>
    <row r="1627" spans="1:9" customFormat="1" ht="23" x14ac:dyDescent="0.35">
      <c r="A1627" s="63">
        <f t="shared" si="51"/>
        <v>1626</v>
      </c>
      <c r="B1627" s="54" t="s">
        <v>4095</v>
      </c>
      <c r="C1627" s="55" t="s">
        <v>4096</v>
      </c>
      <c r="D1627" s="54" t="s">
        <v>3866</v>
      </c>
      <c r="E1627" s="56">
        <v>0</v>
      </c>
      <c r="F1627" s="57" t="s">
        <v>815</v>
      </c>
      <c r="G1627" s="58">
        <v>0</v>
      </c>
      <c r="H1627" s="59">
        <v>465750</v>
      </c>
      <c r="I1627" s="59">
        <f t="shared" si="50"/>
        <v>0</v>
      </c>
    </row>
    <row r="1628" spans="1:9" customFormat="1" x14ac:dyDescent="0.35">
      <c r="A1628" s="63">
        <f t="shared" si="51"/>
        <v>1627</v>
      </c>
      <c r="B1628" s="54" t="s">
        <v>4097</v>
      </c>
      <c r="C1628" s="55" t="s">
        <v>4098</v>
      </c>
      <c r="D1628" s="54" t="s">
        <v>3866</v>
      </c>
      <c r="E1628" s="56">
        <v>0</v>
      </c>
      <c r="F1628" s="57" t="s">
        <v>792</v>
      </c>
      <c r="G1628" s="58">
        <v>0</v>
      </c>
      <c r="H1628" s="59">
        <v>33750</v>
      </c>
      <c r="I1628" s="59">
        <f t="shared" si="50"/>
        <v>0</v>
      </c>
    </row>
    <row r="1629" spans="1:9" customFormat="1" x14ac:dyDescent="0.35">
      <c r="A1629" s="63">
        <f t="shared" si="51"/>
        <v>1628</v>
      </c>
      <c r="B1629" s="54" t="s">
        <v>4099</v>
      </c>
      <c r="C1629" s="55" t="s">
        <v>4100</v>
      </c>
      <c r="D1629" s="54" t="s">
        <v>3866</v>
      </c>
      <c r="E1629" s="56">
        <v>0</v>
      </c>
      <c r="F1629" s="57" t="s">
        <v>792</v>
      </c>
      <c r="G1629" s="58">
        <v>0</v>
      </c>
      <c r="H1629" s="59">
        <v>33750</v>
      </c>
      <c r="I1629" s="59">
        <f t="shared" si="50"/>
        <v>0</v>
      </c>
    </row>
    <row r="1630" spans="1:9" customFormat="1" x14ac:dyDescent="0.35">
      <c r="A1630" s="63">
        <f t="shared" si="51"/>
        <v>1629</v>
      </c>
      <c r="B1630" s="54" t="s">
        <v>4101</v>
      </c>
      <c r="C1630" s="55" t="s">
        <v>4102</v>
      </c>
      <c r="D1630" s="54" t="s">
        <v>3866</v>
      </c>
      <c r="E1630" s="56">
        <v>0</v>
      </c>
      <c r="F1630" s="57" t="s">
        <v>792</v>
      </c>
      <c r="G1630" s="58">
        <v>0</v>
      </c>
      <c r="H1630" s="59">
        <v>40500</v>
      </c>
      <c r="I1630" s="59">
        <f t="shared" si="50"/>
        <v>0</v>
      </c>
    </row>
    <row r="1631" spans="1:9" customFormat="1" x14ac:dyDescent="0.35">
      <c r="A1631" s="63">
        <f t="shared" si="51"/>
        <v>1630</v>
      </c>
      <c r="B1631" s="54" t="s">
        <v>4103</v>
      </c>
      <c r="C1631" s="55" t="s">
        <v>4104</v>
      </c>
      <c r="D1631" s="54" t="s">
        <v>3866</v>
      </c>
      <c r="E1631" s="56">
        <v>0</v>
      </c>
      <c r="F1631" s="57" t="s">
        <v>792</v>
      </c>
      <c r="G1631" s="58">
        <v>0</v>
      </c>
      <c r="H1631" s="59">
        <v>20250</v>
      </c>
      <c r="I1631" s="59">
        <f t="shared" si="50"/>
        <v>0</v>
      </c>
    </row>
    <row r="1632" spans="1:9" customFormat="1" x14ac:dyDescent="0.35">
      <c r="A1632" s="63">
        <f t="shared" si="51"/>
        <v>1631</v>
      </c>
      <c r="B1632" s="54" t="s">
        <v>4105</v>
      </c>
      <c r="C1632" s="55" t="s">
        <v>4106</v>
      </c>
      <c r="D1632" s="54" t="s">
        <v>3866</v>
      </c>
      <c r="E1632" s="56">
        <v>0</v>
      </c>
      <c r="F1632" s="57" t="s">
        <v>792</v>
      </c>
      <c r="G1632" s="58">
        <v>0</v>
      </c>
      <c r="H1632" s="59">
        <v>20250</v>
      </c>
      <c r="I1632" s="59">
        <f t="shared" si="50"/>
        <v>0</v>
      </c>
    </row>
    <row r="1633" spans="1:9" customFormat="1" ht="23" x14ac:dyDescent="0.35">
      <c r="A1633" s="63">
        <f t="shared" si="51"/>
        <v>1632</v>
      </c>
      <c r="B1633" s="54" t="s">
        <v>4107</v>
      </c>
      <c r="C1633" s="55" t="s">
        <v>4108</v>
      </c>
      <c r="D1633" s="54" t="s">
        <v>3866</v>
      </c>
      <c r="E1633" s="56">
        <v>0</v>
      </c>
      <c r="F1633" s="57" t="s">
        <v>792</v>
      </c>
      <c r="G1633" s="58">
        <v>0</v>
      </c>
      <c r="H1633" s="59">
        <v>275000</v>
      </c>
      <c r="I1633" s="59">
        <f t="shared" si="50"/>
        <v>0</v>
      </c>
    </row>
    <row r="1634" spans="1:9" customFormat="1" x14ac:dyDescent="0.35">
      <c r="A1634" s="63">
        <f t="shared" si="51"/>
        <v>1633</v>
      </c>
      <c r="B1634" s="54" t="s">
        <v>4109</v>
      </c>
      <c r="C1634" s="55" t="s">
        <v>4110</v>
      </c>
      <c r="D1634" s="54" t="s">
        <v>3866</v>
      </c>
      <c r="E1634" s="56">
        <v>0</v>
      </c>
      <c r="F1634" s="57" t="s">
        <v>792</v>
      </c>
      <c r="G1634" s="58">
        <v>265000</v>
      </c>
      <c r="H1634" s="59">
        <v>357800</v>
      </c>
      <c r="I1634" s="59">
        <f t="shared" si="50"/>
        <v>0</v>
      </c>
    </row>
    <row r="1635" spans="1:9" customFormat="1" x14ac:dyDescent="0.35">
      <c r="A1635" s="63">
        <f t="shared" si="51"/>
        <v>1634</v>
      </c>
      <c r="B1635" s="54" t="s">
        <v>4111</v>
      </c>
      <c r="C1635" s="55" t="s">
        <v>4112</v>
      </c>
      <c r="D1635" s="54" t="s">
        <v>3866</v>
      </c>
      <c r="E1635" s="56">
        <v>0</v>
      </c>
      <c r="F1635" s="57" t="s">
        <v>792</v>
      </c>
      <c r="G1635" s="58">
        <v>240000</v>
      </c>
      <c r="H1635" s="59">
        <v>324000</v>
      </c>
      <c r="I1635" s="59">
        <f t="shared" si="50"/>
        <v>0</v>
      </c>
    </row>
    <row r="1636" spans="1:9" customFormat="1" x14ac:dyDescent="0.35">
      <c r="A1636" s="63">
        <f t="shared" si="51"/>
        <v>1635</v>
      </c>
      <c r="B1636" s="54" t="s">
        <v>4113</v>
      </c>
      <c r="C1636" s="55" t="s">
        <v>4114</v>
      </c>
      <c r="D1636" s="54" t="s">
        <v>3866</v>
      </c>
      <c r="E1636" s="56">
        <v>0</v>
      </c>
      <c r="F1636" s="57" t="s">
        <v>792</v>
      </c>
      <c r="G1636" s="58">
        <v>0</v>
      </c>
      <c r="H1636" s="59">
        <v>60750</v>
      </c>
      <c r="I1636" s="59">
        <f t="shared" si="50"/>
        <v>0</v>
      </c>
    </row>
    <row r="1637" spans="1:9" customFormat="1" x14ac:dyDescent="0.35">
      <c r="A1637" s="63">
        <f t="shared" si="51"/>
        <v>1636</v>
      </c>
      <c r="B1637" s="54" t="s">
        <v>4115</v>
      </c>
      <c r="C1637" s="55" t="s">
        <v>4116</v>
      </c>
      <c r="D1637" s="54" t="s">
        <v>3866</v>
      </c>
      <c r="E1637" s="56">
        <v>0</v>
      </c>
      <c r="F1637" s="57" t="s">
        <v>870</v>
      </c>
      <c r="G1637" s="58">
        <v>0</v>
      </c>
      <c r="H1637" s="59">
        <v>54000</v>
      </c>
      <c r="I1637" s="59">
        <f t="shared" si="50"/>
        <v>0</v>
      </c>
    </row>
    <row r="1638" spans="1:9" customFormat="1" x14ac:dyDescent="0.35">
      <c r="A1638" s="63">
        <f t="shared" si="51"/>
        <v>1637</v>
      </c>
      <c r="B1638" s="54" t="s">
        <v>4117</v>
      </c>
      <c r="C1638" s="55" t="s">
        <v>4118</v>
      </c>
      <c r="D1638" s="54" t="s">
        <v>3866</v>
      </c>
      <c r="E1638" s="56">
        <v>0</v>
      </c>
      <c r="F1638" s="57" t="s">
        <v>792</v>
      </c>
      <c r="G1638" s="58">
        <v>150000</v>
      </c>
      <c r="H1638" s="59">
        <v>202502</v>
      </c>
      <c r="I1638" s="59">
        <f t="shared" si="50"/>
        <v>0</v>
      </c>
    </row>
    <row r="1639" spans="1:9" customFormat="1" x14ac:dyDescent="0.35">
      <c r="A1639" s="63">
        <f t="shared" si="51"/>
        <v>1638</v>
      </c>
      <c r="B1639" s="54" t="s">
        <v>4119</v>
      </c>
      <c r="C1639" s="55" t="s">
        <v>4120</v>
      </c>
      <c r="D1639" s="54" t="s">
        <v>3866</v>
      </c>
      <c r="E1639" s="56">
        <v>0</v>
      </c>
      <c r="F1639" s="57" t="s">
        <v>792</v>
      </c>
      <c r="G1639" s="58">
        <v>0</v>
      </c>
      <c r="H1639" s="59">
        <v>74250</v>
      </c>
      <c r="I1639" s="59">
        <f t="shared" si="50"/>
        <v>0</v>
      </c>
    </row>
    <row r="1640" spans="1:9" customFormat="1" x14ac:dyDescent="0.35">
      <c r="A1640" s="63">
        <f t="shared" si="51"/>
        <v>1639</v>
      </c>
      <c r="B1640" s="54" t="s">
        <v>4121</v>
      </c>
      <c r="C1640" s="55" t="s">
        <v>4122</v>
      </c>
      <c r="D1640" s="54" t="s">
        <v>3866</v>
      </c>
      <c r="E1640" s="56">
        <v>0</v>
      </c>
      <c r="F1640" s="57" t="s">
        <v>792</v>
      </c>
      <c r="G1640" s="58">
        <v>0</v>
      </c>
      <c r="H1640" s="59">
        <v>37800</v>
      </c>
      <c r="I1640" s="59">
        <f t="shared" si="50"/>
        <v>0</v>
      </c>
    </row>
    <row r="1641" spans="1:9" customFormat="1" x14ac:dyDescent="0.35">
      <c r="A1641" s="63">
        <f t="shared" si="51"/>
        <v>1640</v>
      </c>
      <c r="B1641" s="54" t="s">
        <v>4123</v>
      </c>
      <c r="C1641" s="55" t="s">
        <v>4124</v>
      </c>
      <c r="D1641" s="54" t="s">
        <v>3866</v>
      </c>
      <c r="E1641" s="56">
        <v>0</v>
      </c>
      <c r="F1641" s="57" t="s">
        <v>792</v>
      </c>
      <c r="G1641" s="58">
        <v>0</v>
      </c>
      <c r="H1641" s="59">
        <v>40500</v>
      </c>
      <c r="I1641" s="59">
        <f t="shared" si="50"/>
        <v>0</v>
      </c>
    </row>
    <row r="1642" spans="1:9" customFormat="1" x14ac:dyDescent="0.35">
      <c r="A1642" s="63">
        <f t="shared" si="51"/>
        <v>1641</v>
      </c>
      <c r="B1642" s="54" t="s">
        <v>4125</v>
      </c>
      <c r="C1642" s="55" t="s">
        <v>4126</v>
      </c>
      <c r="D1642" s="54" t="s">
        <v>3866</v>
      </c>
      <c r="E1642" s="56">
        <v>0</v>
      </c>
      <c r="F1642" s="57" t="s">
        <v>792</v>
      </c>
      <c r="G1642" s="58">
        <v>0</v>
      </c>
      <c r="H1642" s="59">
        <v>472500</v>
      </c>
      <c r="I1642" s="59">
        <f t="shared" si="50"/>
        <v>0</v>
      </c>
    </row>
    <row r="1643" spans="1:9" customFormat="1" x14ac:dyDescent="0.35">
      <c r="A1643" s="63">
        <f t="shared" si="51"/>
        <v>1642</v>
      </c>
      <c r="B1643" s="54" t="s">
        <v>4127</v>
      </c>
      <c r="C1643" s="55" t="s">
        <v>4128</v>
      </c>
      <c r="D1643" s="54" t="s">
        <v>3866</v>
      </c>
      <c r="E1643" s="56">
        <v>0</v>
      </c>
      <c r="F1643" s="57" t="s">
        <v>792</v>
      </c>
      <c r="G1643" s="58">
        <v>0</v>
      </c>
      <c r="H1643" s="59">
        <v>0</v>
      </c>
      <c r="I1643" s="59">
        <f t="shared" si="50"/>
        <v>0</v>
      </c>
    </row>
    <row r="1644" spans="1:9" customFormat="1" x14ac:dyDescent="0.35">
      <c r="A1644" s="63">
        <f t="shared" si="51"/>
        <v>1643</v>
      </c>
      <c r="B1644" s="54" t="s">
        <v>4129</v>
      </c>
      <c r="C1644" s="55" t="s">
        <v>4130</v>
      </c>
      <c r="D1644" s="54" t="s">
        <v>3866</v>
      </c>
      <c r="E1644" s="56">
        <v>0</v>
      </c>
      <c r="F1644" s="57" t="s">
        <v>792</v>
      </c>
      <c r="G1644" s="58">
        <v>322</v>
      </c>
      <c r="H1644" s="59">
        <v>905</v>
      </c>
      <c r="I1644" s="59">
        <f t="shared" si="50"/>
        <v>0</v>
      </c>
    </row>
    <row r="1645" spans="1:9" customFormat="1" x14ac:dyDescent="0.35">
      <c r="A1645" s="63">
        <f t="shared" si="51"/>
        <v>1644</v>
      </c>
      <c r="B1645" s="54" t="s">
        <v>4131</v>
      </c>
      <c r="C1645" s="55" t="s">
        <v>4132</v>
      </c>
      <c r="D1645" s="54" t="s">
        <v>3866</v>
      </c>
      <c r="E1645" s="56">
        <v>0</v>
      </c>
      <c r="F1645" s="57" t="s">
        <v>792</v>
      </c>
      <c r="G1645" s="58">
        <v>349</v>
      </c>
      <c r="H1645" s="59">
        <v>980</v>
      </c>
      <c r="I1645" s="59">
        <f t="shared" si="50"/>
        <v>0</v>
      </c>
    </row>
    <row r="1646" spans="1:9" customFormat="1" x14ac:dyDescent="0.35">
      <c r="A1646" s="63">
        <f t="shared" si="51"/>
        <v>1645</v>
      </c>
      <c r="B1646" s="54" t="s">
        <v>4133</v>
      </c>
      <c r="C1646" s="55" t="s">
        <v>4134</v>
      </c>
      <c r="D1646" s="54" t="s">
        <v>3866</v>
      </c>
      <c r="E1646" s="56">
        <v>0</v>
      </c>
      <c r="F1646" s="57" t="s">
        <v>792</v>
      </c>
      <c r="G1646" s="58">
        <v>416</v>
      </c>
      <c r="H1646" s="59">
        <v>710</v>
      </c>
      <c r="I1646" s="59">
        <f t="shared" si="50"/>
        <v>0</v>
      </c>
    </row>
    <row r="1647" spans="1:9" customFormat="1" x14ac:dyDescent="0.35">
      <c r="A1647" s="63">
        <f t="shared" si="51"/>
        <v>1646</v>
      </c>
      <c r="B1647" s="54" t="s">
        <v>4135</v>
      </c>
      <c r="C1647" s="55" t="s">
        <v>4136</v>
      </c>
      <c r="D1647" s="54" t="s">
        <v>3866</v>
      </c>
      <c r="E1647" s="56">
        <v>0</v>
      </c>
      <c r="F1647" s="57" t="s">
        <v>792</v>
      </c>
      <c r="G1647" s="58">
        <v>756</v>
      </c>
      <c r="H1647" s="59">
        <v>1285</v>
      </c>
      <c r="I1647" s="59">
        <f t="shared" si="50"/>
        <v>0</v>
      </c>
    </row>
    <row r="1648" spans="1:9" customFormat="1" x14ac:dyDescent="0.35">
      <c r="A1648" s="63">
        <f t="shared" si="51"/>
        <v>1647</v>
      </c>
      <c r="B1648" s="54" t="s">
        <v>4137</v>
      </c>
      <c r="C1648" s="55" t="s">
        <v>4138</v>
      </c>
      <c r="D1648" s="54" t="s">
        <v>3866</v>
      </c>
      <c r="E1648" s="56">
        <v>0</v>
      </c>
      <c r="F1648" s="57" t="s">
        <v>792</v>
      </c>
      <c r="G1648" s="58">
        <v>2115</v>
      </c>
      <c r="H1648" s="59">
        <v>3600</v>
      </c>
      <c r="I1648" s="59">
        <f t="shared" si="50"/>
        <v>0</v>
      </c>
    </row>
    <row r="1649" spans="1:9" customFormat="1" x14ac:dyDescent="0.35">
      <c r="A1649" s="63">
        <f t="shared" si="51"/>
        <v>1648</v>
      </c>
      <c r="B1649" s="54" t="s">
        <v>4139</v>
      </c>
      <c r="C1649" s="55" t="s">
        <v>4140</v>
      </c>
      <c r="D1649" s="54" t="s">
        <v>3866</v>
      </c>
      <c r="E1649" s="56">
        <v>0</v>
      </c>
      <c r="F1649" s="57" t="s">
        <v>792</v>
      </c>
      <c r="G1649" s="58">
        <v>18000</v>
      </c>
      <c r="H1649" s="59">
        <v>24300</v>
      </c>
      <c r="I1649" s="59">
        <f t="shared" si="50"/>
        <v>0</v>
      </c>
    </row>
    <row r="1650" spans="1:9" customFormat="1" x14ac:dyDescent="0.35">
      <c r="A1650" s="63">
        <f t="shared" si="51"/>
        <v>1649</v>
      </c>
      <c r="B1650" s="54" t="s">
        <v>4141</v>
      </c>
      <c r="C1650" s="55" t="s">
        <v>4142</v>
      </c>
      <c r="D1650" s="54" t="s">
        <v>3866</v>
      </c>
      <c r="E1650" s="56">
        <v>0</v>
      </c>
      <c r="F1650" s="57" t="s">
        <v>792</v>
      </c>
      <c r="G1650" s="58">
        <v>0</v>
      </c>
      <c r="H1650" s="59">
        <v>24300</v>
      </c>
      <c r="I1650" s="59">
        <f t="shared" si="50"/>
        <v>0</v>
      </c>
    </row>
    <row r="1651" spans="1:9" customFormat="1" x14ac:dyDescent="0.35">
      <c r="A1651" s="63">
        <f t="shared" si="51"/>
        <v>1650</v>
      </c>
      <c r="B1651" s="54" t="s">
        <v>4143</v>
      </c>
      <c r="C1651" s="55" t="s">
        <v>4144</v>
      </c>
      <c r="D1651" s="54" t="s">
        <v>3866</v>
      </c>
      <c r="E1651" s="56">
        <v>0</v>
      </c>
      <c r="F1651" s="57" t="s">
        <v>792</v>
      </c>
      <c r="G1651" s="58">
        <v>0</v>
      </c>
      <c r="H1651" s="59">
        <v>2362500</v>
      </c>
      <c r="I1651" s="59">
        <f t="shared" si="50"/>
        <v>0</v>
      </c>
    </row>
    <row r="1652" spans="1:9" customFormat="1" x14ac:dyDescent="0.35">
      <c r="A1652" s="63">
        <f t="shared" si="51"/>
        <v>1651</v>
      </c>
      <c r="B1652" s="54" t="s">
        <v>4145</v>
      </c>
      <c r="C1652" s="55" t="s">
        <v>4146</v>
      </c>
      <c r="D1652" s="54" t="s">
        <v>3866</v>
      </c>
      <c r="E1652" s="56">
        <v>0</v>
      </c>
      <c r="F1652" s="57" t="s">
        <v>974</v>
      </c>
      <c r="G1652" s="58">
        <v>5000</v>
      </c>
      <c r="H1652" s="59">
        <v>4250</v>
      </c>
      <c r="I1652" s="59">
        <f t="shared" si="50"/>
        <v>0</v>
      </c>
    </row>
    <row r="1653" spans="1:9" customFormat="1" x14ac:dyDescent="0.35">
      <c r="A1653" s="63">
        <f t="shared" si="51"/>
        <v>1652</v>
      </c>
      <c r="B1653" s="54" t="s">
        <v>4147</v>
      </c>
      <c r="C1653" s="55" t="s">
        <v>4148</v>
      </c>
      <c r="D1653" s="54" t="s">
        <v>3866</v>
      </c>
      <c r="E1653" s="56">
        <v>0</v>
      </c>
      <c r="F1653" s="57" t="s">
        <v>1563</v>
      </c>
      <c r="G1653" s="58">
        <v>0</v>
      </c>
      <c r="H1653" s="59">
        <v>90000</v>
      </c>
      <c r="I1653" s="59">
        <f t="shared" si="50"/>
        <v>0</v>
      </c>
    </row>
    <row r="1654" spans="1:9" customFormat="1" x14ac:dyDescent="0.35">
      <c r="A1654" s="63">
        <f t="shared" si="51"/>
        <v>1653</v>
      </c>
      <c r="B1654" s="54" t="s">
        <v>4149</v>
      </c>
      <c r="C1654" s="55" t="s">
        <v>4150</v>
      </c>
      <c r="D1654" s="54" t="s">
        <v>3866</v>
      </c>
      <c r="E1654" s="56">
        <v>0</v>
      </c>
      <c r="F1654" s="57" t="s">
        <v>792</v>
      </c>
      <c r="G1654" s="58">
        <v>0</v>
      </c>
      <c r="H1654" s="59">
        <v>9000</v>
      </c>
      <c r="I1654" s="59">
        <f t="shared" si="50"/>
        <v>0</v>
      </c>
    </row>
    <row r="1655" spans="1:9" customFormat="1" x14ac:dyDescent="0.35">
      <c r="A1655" s="63">
        <f t="shared" si="51"/>
        <v>1654</v>
      </c>
      <c r="B1655" s="54" t="s">
        <v>4151</v>
      </c>
      <c r="C1655" s="55" t="s">
        <v>4152</v>
      </c>
      <c r="D1655" s="54" t="s">
        <v>3866</v>
      </c>
      <c r="E1655" s="56">
        <v>0</v>
      </c>
      <c r="F1655" s="57" t="s">
        <v>792</v>
      </c>
      <c r="G1655" s="58">
        <v>0</v>
      </c>
      <c r="H1655" s="59">
        <v>9000</v>
      </c>
      <c r="I1655" s="59">
        <f t="shared" si="50"/>
        <v>0</v>
      </c>
    </row>
    <row r="1656" spans="1:9" customFormat="1" x14ac:dyDescent="0.35">
      <c r="A1656" s="63">
        <f t="shared" si="51"/>
        <v>1655</v>
      </c>
      <c r="B1656" s="54" t="s">
        <v>4153</v>
      </c>
      <c r="C1656" s="55" t="s">
        <v>4154</v>
      </c>
      <c r="D1656" s="54" t="s">
        <v>3866</v>
      </c>
      <c r="E1656" s="56">
        <v>0</v>
      </c>
      <c r="F1656" s="57" t="s">
        <v>815</v>
      </c>
      <c r="G1656" s="58">
        <v>0</v>
      </c>
      <c r="H1656" s="59">
        <v>573750</v>
      </c>
      <c r="I1656" s="59">
        <f t="shared" si="50"/>
        <v>0</v>
      </c>
    </row>
    <row r="1657" spans="1:9" customFormat="1" x14ac:dyDescent="0.35">
      <c r="A1657" s="63">
        <f t="shared" si="51"/>
        <v>1656</v>
      </c>
      <c r="B1657" s="54" t="s">
        <v>4155</v>
      </c>
      <c r="C1657" s="55" t="s">
        <v>4156</v>
      </c>
      <c r="D1657" s="54" t="s">
        <v>3866</v>
      </c>
      <c r="E1657" s="56">
        <v>0</v>
      </c>
      <c r="F1657" s="57" t="s">
        <v>792</v>
      </c>
      <c r="G1657" s="58">
        <v>50000</v>
      </c>
      <c r="H1657" s="59">
        <v>70200</v>
      </c>
      <c r="I1657" s="59">
        <f t="shared" si="50"/>
        <v>0</v>
      </c>
    </row>
    <row r="1658" spans="1:9" customFormat="1" x14ac:dyDescent="0.35">
      <c r="A1658" s="63">
        <f t="shared" si="51"/>
        <v>1657</v>
      </c>
      <c r="B1658" s="54" t="s">
        <v>4157</v>
      </c>
      <c r="C1658" s="55" t="s">
        <v>4158</v>
      </c>
      <c r="D1658" s="54" t="s">
        <v>3866</v>
      </c>
      <c r="E1658" s="56">
        <v>0</v>
      </c>
      <c r="F1658" s="57" t="s">
        <v>792</v>
      </c>
      <c r="G1658" s="58">
        <v>147000</v>
      </c>
      <c r="H1658" s="59">
        <v>198450</v>
      </c>
      <c r="I1658" s="59">
        <f t="shared" si="50"/>
        <v>0</v>
      </c>
    </row>
    <row r="1659" spans="1:9" customFormat="1" x14ac:dyDescent="0.35">
      <c r="A1659" s="63">
        <f t="shared" si="51"/>
        <v>1658</v>
      </c>
      <c r="B1659" s="54" t="s">
        <v>4159</v>
      </c>
      <c r="C1659" s="55" t="s">
        <v>4160</v>
      </c>
      <c r="D1659" s="54" t="s">
        <v>3866</v>
      </c>
      <c r="E1659" s="56">
        <v>0</v>
      </c>
      <c r="F1659" s="57" t="s">
        <v>792</v>
      </c>
      <c r="G1659" s="58">
        <v>110000</v>
      </c>
      <c r="H1659" s="59">
        <v>148500</v>
      </c>
      <c r="I1659" s="59">
        <f t="shared" si="50"/>
        <v>0</v>
      </c>
    </row>
    <row r="1660" spans="1:9" customFormat="1" x14ac:dyDescent="0.35">
      <c r="A1660" s="63">
        <f t="shared" si="51"/>
        <v>1659</v>
      </c>
      <c r="B1660" s="54" t="s">
        <v>4161</v>
      </c>
      <c r="C1660" s="55" t="s">
        <v>4162</v>
      </c>
      <c r="D1660" s="54" t="s">
        <v>3866</v>
      </c>
      <c r="E1660" s="56">
        <v>0</v>
      </c>
      <c r="F1660" s="57" t="s">
        <v>792</v>
      </c>
      <c r="G1660" s="58">
        <v>527000</v>
      </c>
      <c r="H1660" s="59">
        <v>711500</v>
      </c>
      <c r="I1660" s="59">
        <f t="shared" si="50"/>
        <v>0</v>
      </c>
    </row>
    <row r="1661" spans="1:9" customFormat="1" x14ac:dyDescent="0.35">
      <c r="A1661" s="63">
        <f t="shared" si="51"/>
        <v>1660</v>
      </c>
      <c r="B1661" s="54" t="s">
        <v>4163</v>
      </c>
      <c r="C1661" s="55" t="s">
        <v>4164</v>
      </c>
      <c r="D1661" s="54" t="s">
        <v>3866</v>
      </c>
      <c r="E1661" s="56">
        <v>0</v>
      </c>
      <c r="F1661" s="57" t="s">
        <v>792</v>
      </c>
      <c r="G1661" s="58">
        <v>325000</v>
      </c>
      <c r="H1661" s="59">
        <v>325000</v>
      </c>
      <c r="I1661" s="59">
        <f t="shared" si="50"/>
        <v>0</v>
      </c>
    </row>
    <row r="1662" spans="1:9" customFormat="1" x14ac:dyDescent="0.35">
      <c r="A1662" s="63">
        <f t="shared" si="51"/>
        <v>1661</v>
      </c>
      <c r="B1662" s="54" t="s">
        <v>4165</v>
      </c>
      <c r="C1662" s="55" t="s">
        <v>4166</v>
      </c>
      <c r="D1662" s="54" t="s">
        <v>3866</v>
      </c>
      <c r="E1662" s="56">
        <v>0</v>
      </c>
      <c r="F1662" s="57" t="s">
        <v>792</v>
      </c>
      <c r="G1662" s="58">
        <v>88</v>
      </c>
      <c r="H1662" s="59">
        <v>88</v>
      </c>
      <c r="I1662" s="59">
        <f t="shared" si="50"/>
        <v>0</v>
      </c>
    </row>
    <row r="1663" spans="1:9" customFormat="1" x14ac:dyDescent="0.35">
      <c r="A1663" s="63">
        <f t="shared" si="51"/>
        <v>1662</v>
      </c>
      <c r="B1663" s="54" t="s">
        <v>4167</v>
      </c>
      <c r="C1663" s="55" t="s">
        <v>4168</v>
      </c>
      <c r="D1663" s="54" t="s">
        <v>3866</v>
      </c>
      <c r="E1663" s="56">
        <v>0</v>
      </c>
      <c r="F1663" s="57" t="s">
        <v>792</v>
      </c>
      <c r="G1663" s="58">
        <v>207</v>
      </c>
      <c r="H1663" s="59">
        <v>207</v>
      </c>
      <c r="I1663" s="59">
        <f t="shared" si="50"/>
        <v>0</v>
      </c>
    </row>
    <row r="1664" spans="1:9" customFormat="1" x14ac:dyDescent="0.35">
      <c r="A1664" s="63">
        <f t="shared" si="51"/>
        <v>1663</v>
      </c>
      <c r="B1664" s="54" t="s">
        <v>4169</v>
      </c>
      <c r="C1664" s="55" t="s">
        <v>4170</v>
      </c>
      <c r="D1664" s="54" t="s">
        <v>3866</v>
      </c>
      <c r="E1664" s="56">
        <v>0</v>
      </c>
      <c r="F1664" s="57" t="s">
        <v>792</v>
      </c>
      <c r="G1664" s="58">
        <v>0</v>
      </c>
      <c r="H1664" s="59">
        <v>20250</v>
      </c>
      <c r="I1664" s="59">
        <f t="shared" si="50"/>
        <v>0</v>
      </c>
    </row>
    <row r="1665" spans="1:9" customFormat="1" x14ac:dyDescent="0.35">
      <c r="A1665" s="63">
        <f t="shared" si="51"/>
        <v>1664</v>
      </c>
      <c r="B1665" s="54" t="s">
        <v>4171</v>
      </c>
      <c r="C1665" s="55" t="s">
        <v>4172</v>
      </c>
      <c r="D1665" s="54" t="s">
        <v>3866</v>
      </c>
      <c r="E1665" s="56">
        <v>0</v>
      </c>
      <c r="F1665" s="57" t="s">
        <v>792</v>
      </c>
      <c r="G1665" s="58">
        <v>0</v>
      </c>
      <c r="H1665" s="59">
        <v>13500</v>
      </c>
      <c r="I1665" s="59">
        <f t="shared" si="50"/>
        <v>0</v>
      </c>
    </row>
    <row r="1666" spans="1:9" customFormat="1" x14ac:dyDescent="0.35">
      <c r="A1666" s="63">
        <f t="shared" si="51"/>
        <v>1665</v>
      </c>
      <c r="B1666" s="54" t="s">
        <v>4173</v>
      </c>
      <c r="C1666" s="55" t="s">
        <v>4174</v>
      </c>
      <c r="D1666" s="54" t="s">
        <v>3866</v>
      </c>
      <c r="E1666" s="56">
        <v>0</v>
      </c>
      <c r="F1666" s="57" t="s">
        <v>792</v>
      </c>
      <c r="G1666" s="58">
        <v>649</v>
      </c>
      <c r="H1666" s="59">
        <v>649</v>
      </c>
      <c r="I1666" s="59">
        <f t="shared" si="50"/>
        <v>0</v>
      </c>
    </row>
    <row r="1667" spans="1:9" customFormat="1" x14ac:dyDescent="0.35">
      <c r="A1667" s="63">
        <f t="shared" si="51"/>
        <v>1666</v>
      </c>
      <c r="B1667" s="54" t="s">
        <v>4175</v>
      </c>
      <c r="C1667" s="55" t="s">
        <v>4176</v>
      </c>
      <c r="D1667" s="54" t="s">
        <v>3866</v>
      </c>
      <c r="E1667" s="56">
        <v>0</v>
      </c>
      <c r="F1667" s="57" t="s">
        <v>792</v>
      </c>
      <c r="G1667" s="58">
        <v>0</v>
      </c>
      <c r="H1667" s="59">
        <v>3600</v>
      </c>
      <c r="I1667" s="59">
        <f t="shared" ref="I1667:I1730" si="52">H1667*E1667</f>
        <v>0</v>
      </c>
    </row>
    <row r="1668" spans="1:9" customFormat="1" x14ac:dyDescent="0.35">
      <c r="A1668" s="63">
        <f t="shared" ref="A1668:A1731" si="53">A1667+1</f>
        <v>1667</v>
      </c>
      <c r="B1668" s="54" t="s">
        <v>4177</v>
      </c>
      <c r="C1668" s="55" t="s">
        <v>4178</v>
      </c>
      <c r="D1668" s="54" t="s">
        <v>3866</v>
      </c>
      <c r="E1668" s="56">
        <v>0</v>
      </c>
      <c r="F1668" s="57" t="s">
        <v>792</v>
      </c>
      <c r="G1668" s="58">
        <v>10000</v>
      </c>
      <c r="H1668" s="59">
        <v>13500</v>
      </c>
      <c r="I1668" s="59">
        <f t="shared" si="52"/>
        <v>0</v>
      </c>
    </row>
    <row r="1669" spans="1:9" customFormat="1" x14ac:dyDescent="0.35">
      <c r="A1669" s="63">
        <f t="shared" si="53"/>
        <v>1668</v>
      </c>
      <c r="B1669" s="54" t="s">
        <v>4179</v>
      </c>
      <c r="C1669" s="55" t="s">
        <v>4180</v>
      </c>
      <c r="D1669" s="54" t="s">
        <v>3866</v>
      </c>
      <c r="E1669" s="56">
        <v>0</v>
      </c>
      <c r="F1669" s="57" t="s">
        <v>792</v>
      </c>
      <c r="G1669" s="58">
        <v>35000</v>
      </c>
      <c r="H1669" s="59">
        <v>47250</v>
      </c>
      <c r="I1669" s="59">
        <f t="shared" si="52"/>
        <v>0</v>
      </c>
    </row>
    <row r="1670" spans="1:9" customFormat="1" x14ac:dyDescent="0.35">
      <c r="A1670" s="63">
        <f t="shared" si="53"/>
        <v>1669</v>
      </c>
      <c r="B1670" s="54" t="s">
        <v>4181</v>
      </c>
      <c r="C1670" s="55" t="s">
        <v>4182</v>
      </c>
      <c r="D1670" s="54" t="s">
        <v>3866</v>
      </c>
      <c r="E1670" s="56">
        <v>0</v>
      </c>
      <c r="F1670" s="57" t="s">
        <v>792</v>
      </c>
      <c r="G1670" s="58">
        <v>30000</v>
      </c>
      <c r="H1670" s="59">
        <v>40500</v>
      </c>
      <c r="I1670" s="59">
        <f t="shared" si="52"/>
        <v>0</v>
      </c>
    </row>
    <row r="1671" spans="1:9" customFormat="1" x14ac:dyDescent="0.35">
      <c r="A1671" s="63">
        <f t="shared" si="53"/>
        <v>1670</v>
      </c>
      <c r="B1671" s="54" t="s">
        <v>4183</v>
      </c>
      <c r="C1671" s="55" t="s">
        <v>4184</v>
      </c>
      <c r="D1671" s="54" t="s">
        <v>3866</v>
      </c>
      <c r="E1671" s="56">
        <v>0</v>
      </c>
      <c r="F1671" s="57" t="s">
        <v>792</v>
      </c>
      <c r="G1671" s="58">
        <v>500</v>
      </c>
      <c r="H1671" s="59">
        <v>800</v>
      </c>
      <c r="I1671" s="59">
        <f t="shared" si="52"/>
        <v>0</v>
      </c>
    </row>
    <row r="1672" spans="1:9" customFormat="1" ht="23" x14ac:dyDescent="0.35">
      <c r="A1672" s="63">
        <f t="shared" si="53"/>
        <v>1671</v>
      </c>
      <c r="B1672" s="54" t="s">
        <v>4185</v>
      </c>
      <c r="C1672" s="55" t="s">
        <v>4186</v>
      </c>
      <c r="D1672" s="54" t="s">
        <v>3866</v>
      </c>
      <c r="E1672" s="56">
        <v>0</v>
      </c>
      <c r="F1672" s="57" t="s">
        <v>844</v>
      </c>
      <c r="G1672" s="58">
        <v>0</v>
      </c>
      <c r="H1672" s="59">
        <v>7965000</v>
      </c>
      <c r="I1672" s="59">
        <f t="shared" si="52"/>
        <v>0</v>
      </c>
    </row>
    <row r="1673" spans="1:9" customFormat="1" x14ac:dyDescent="0.35">
      <c r="A1673" s="63">
        <f t="shared" si="53"/>
        <v>1672</v>
      </c>
      <c r="B1673" s="54" t="s">
        <v>4187</v>
      </c>
      <c r="C1673" s="55" t="s">
        <v>4188</v>
      </c>
      <c r="D1673" s="54" t="s">
        <v>3866</v>
      </c>
      <c r="E1673" s="56">
        <v>0</v>
      </c>
      <c r="F1673" s="57" t="s">
        <v>792</v>
      </c>
      <c r="G1673" s="58">
        <v>170135</v>
      </c>
      <c r="H1673" s="59">
        <v>241833</v>
      </c>
      <c r="I1673" s="59">
        <f t="shared" si="52"/>
        <v>0</v>
      </c>
    </row>
    <row r="1674" spans="1:9" customFormat="1" x14ac:dyDescent="0.35">
      <c r="A1674" s="63">
        <f t="shared" si="53"/>
        <v>1673</v>
      </c>
      <c r="B1674" s="54" t="s">
        <v>4189</v>
      </c>
      <c r="C1674" s="55" t="s">
        <v>4190</v>
      </c>
      <c r="D1674" s="54" t="s">
        <v>3866</v>
      </c>
      <c r="E1674" s="56">
        <v>0</v>
      </c>
      <c r="F1674" s="57" t="s">
        <v>792</v>
      </c>
      <c r="G1674" s="58">
        <v>247760</v>
      </c>
      <c r="H1674" s="59">
        <v>384800</v>
      </c>
      <c r="I1674" s="59">
        <f t="shared" si="52"/>
        <v>0</v>
      </c>
    </row>
    <row r="1675" spans="1:9" customFormat="1" x14ac:dyDescent="0.35">
      <c r="A1675" s="63">
        <f t="shared" si="53"/>
        <v>1674</v>
      </c>
      <c r="B1675" s="54" t="s">
        <v>4191</v>
      </c>
      <c r="C1675" s="55" t="s">
        <v>4192</v>
      </c>
      <c r="D1675" s="54" t="s">
        <v>3866</v>
      </c>
      <c r="E1675" s="56">
        <v>0</v>
      </c>
      <c r="F1675" s="57" t="s">
        <v>1065</v>
      </c>
      <c r="G1675" s="58">
        <v>340200</v>
      </c>
      <c r="H1675" s="59">
        <v>340200</v>
      </c>
      <c r="I1675" s="59">
        <f t="shared" si="52"/>
        <v>0</v>
      </c>
    </row>
    <row r="1676" spans="1:9" customFormat="1" x14ac:dyDescent="0.35">
      <c r="A1676" s="63">
        <f t="shared" si="53"/>
        <v>1675</v>
      </c>
      <c r="B1676" s="54" t="s">
        <v>4193</v>
      </c>
      <c r="C1676" s="55" t="s">
        <v>4194</v>
      </c>
      <c r="D1676" s="54" t="s">
        <v>3866</v>
      </c>
      <c r="E1676" s="56">
        <v>0</v>
      </c>
      <c r="F1676" s="57" t="s">
        <v>969</v>
      </c>
      <c r="G1676" s="58">
        <v>1325000</v>
      </c>
      <c r="H1676" s="59">
        <v>1325000</v>
      </c>
      <c r="I1676" s="59">
        <f t="shared" si="52"/>
        <v>0</v>
      </c>
    </row>
    <row r="1677" spans="1:9" customFormat="1" x14ac:dyDescent="0.35">
      <c r="A1677" s="63">
        <f t="shared" si="53"/>
        <v>1676</v>
      </c>
      <c r="B1677" s="54" t="s">
        <v>4195</v>
      </c>
      <c r="C1677" s="55" t="s">
        <v>4196</v>
      </c>
      <c r="D1677" s="54" t="s">
        <v>3866</v>
      </c>
      <c r="E1677" s="56">
        <v>0</v>
      </c>
      <c r="F1677" s="57" t="s">
        <v>792</v>
      </c>
      <c r="G1677" s="58">
        <v>110000</v>
      </c>
      <c r="H1677" s="59">
        <v>148500</v>
      </c>
      <c r="I1677" s="59">
        <f t="shared" si="52"/>
        <v>0</v>
      </c>
    </row>
    <row r="1678" spans="1:9" customFormat="1" x14ac:dyDescent="0.35">
      <c r="A1678" s="63">
        <f t="shared" si="53"/>
        <v>1677</v>
      </c>
      <c r="B1678" s="54" t="s">
        <v>4197</v>
      </c>
      <c r="C1678" s="55" t="s">
        <v>4198</v>
      </c>
      <c r="D1678" s="54" t="s">
        <v>3866</v>
      </c>
      <c r="E1678" s="56">
        <v>0</v>
      </c>
      <c r="F1678" s="57" t="s">
        <v>792</v>
      </c>
      <c r="G1678" s="58">
        <v>29000</v>
      </c>
      <c r="H1678" s="59">
        <v>29000</v>
      </c>
      <c r="I1678" s="59">
        <f t="shared" si="52"/>
        <v>0</v>
      </c>
    </row>
    <row r="1679" spans="1:9" customFormat="1" x14ac:dyDescent="0.35">
      <c r="A1679" s="63">
        <f t="shared" si="53"/>
        <v>1678</v>
      </c>
      <c r="B1679" s="54" t="s">
        <v>4199</v>
      </c>
      <c r="C1679" s="55" t="s">
        <v>4200</v>
      </c>
      <c r="D1679" s="54" t="s">
        <v>3866</v>
      </c>
      <c r="E1679" s="56">
        <v>0</v>
      </c>
      <c r="F1679" s="57" t="s">
        <v>969</v>
      </c>
      <c r="G1679" s="58">
        <v>242000</v>
      </c>
      <c r="H1679" s="59">
        <v>356000</v>
      </c>
      <c r="I1679" s="59">
        <f t="shared" si="52"/>
        <v>0</v>
      </c>
    </row>
    <row r="1680" spans="1:9" customFormat="1" x14ac:dyDescent="0.35">
      <c r="A1680" s="63">
        <f t="shared" si="53"/>
        <v>1679</v>
      </c>
      <c r="B1680" s="54" t="s">
        <v>4201</v>
      </c>
      <c r="C1680" s="55" t="s">
        <v>4202</v>
      </c>
      <c r="D1680" s="54" t="s">
        <v>3866</v>
      </c>
      <c r="E1680" s="56">
        <v>0</v>
      </c>
      <c r="F1680" s="57" t="s">
        <v>792</v>
      </c>
      <c r="G1680" s="58">
        <v>75000</v>
      </c>
      <c r="H1680" s="59">
        <v>75000</v>
      </c>
      <c r="I1680" s="59">
        <f t="shared" si="52"/>
        <v>0</v>
      </c>
    </row>
    <row r="1681" spans="1:9" customFormat="1" x14ac:dyDescent="0.35">
      <c r="A1681" s="63">
        <f t="shared" si="53"/>
        <v>1680</v>
      </c>
      <c r="B1681" s="54" t="s">
        <v>4203</v>
      </c>
      <c r="C1681" s="55" t="s">
        <v>4204</v>
      </c>
      <c r="D1681" s="54" t="s">
        <v>3866</v>
      </c>
      <c r="E1681" s="56">
        <v>0</v>
      </c>
      <c r="F1681" s="57" t="s">
        <v>792</v>
      </c>
      <c r="G1681" s="58">
        <v>0</v>
      </c>
      <c r="H1681" s="59">
        <v>2133000</v>
      </c>
      <c r="I1681" s="59">
        <f t="shared" si="52"/>
        <v>0</v>
      </c>
    </row>
    <row r="1682" spans="1:9" customFormat="1" x14ac:dyDescent="0.35">
      <c r="A1682" s="63">
        <f t="shared" si="53"/>
        <v>1681</v>
      </c>
      <c r="B1682" s="54" t="s">
        <v>4205</v>
      </c>
      <c r="C1682" s="55" t="s">
        <v>4206</v>
      </c>
      <c r="D1682" s="54" t="s">
        <v>3866</v>
      </c>
      <c r="E1682" s="56">
        <v>0</v>
      </c>
      <c r="F1682" s="57" t="s">
        <v>792</v>
      </c>
      <c r="G1682" s="58">
        <v>131</v>
      </c>
      <c r="H1682" s="59">
        <v>131</v>
      </c>
      <c r="I1682" s="59">
        <f t="shared" si="52"/>
        <v>0</v>
      </c>
    </row>
    <row r="1683" spans="1:9" customFormat="1" x14ac:dyDescent="0.35">
      <c r="A1683" s="63">
        <f t="shared" si="53"/>
        <v>1682</v>
      </c>
      <c r="B1683" s="54" t="s">
        <v>4207</v>
      </c>
      <c r="C1683" s="55" t="s">
        <v>4208</v>
      </c>
      <c r="D1683" s="54" t="s">
        <v>3866</v>
      </c>
      <c r="E1683" s="56">
        <v>0</v>
      </c>
      <c r="F1683" s="57" t="s">
        <v>792</v>
      </c>
      <c r="G1683" s="58">
        <v>0</v>
      </c>
      <c r="H1683" s="59">
        <v>1300</v>
      </c>
      <c r="I1683" s="59">
        <f t="shared" si="52"/>
        <v>0</v>
      </c>
    </row>
    <row r="1684" spans="1:9" customFormat="1" x14ac:dyDescent="0.35">
      <c r="A1684" s="63">
        <f t="shared" si="53"/>
        <v>1683</v>
      </c>
      <c r="B1684" s="54" t="s">
        <v>4209</v>
      </c>
      <c r="C1684" s="55" t="s">
        <v>4210</v>
      </c>
      <c r="D1684" s="54" t="s">
        <v>3866</v>
      </c>
      <c r="E1684" s="56">
        <v>0</v>
      </c>
      <c r="F1684" s="57" t="s">
        <v>792</v>
      </c>
      <c r="G1684" s="58">
        <v>0</v>
      </c>
      <c r="H1684" s="59">
        <v>27000</v>
      </c>
      <c r="I1684" s="59">
        <f t="shared" si="52"/>
        <v>0</v>
      </c>
    </row>
    <row r="1685" spans="1:9" customFormat="1" x14ac:dyDescent="0.35">
      <c r="A1685" s="63">
        <f t="shared" si="53"/>
        <v>1684</v>
      </c>
      <c r="B1685" s="54" t="s">
        <v>4211</v>
      </c>
      <c r="C1685" s="55" t="s">
        <v>4212</v>
      </c>
      <c r="D1685" s="54" t="s">
        <v>3866</v>
      </c>
      <c r="E1685" s="56">
        <v>0</v>
      </c>
      <c r="F1685" s="57" t="s">
        <v>1563</v>
      </c>
      <c r="G1685" s="58">
        <v>1800000</v>
      </c>
      <c r="H1685" s="59">
        <v>2430000</v>
      </c>
      <c r="I1685" s="59">
        <f t="shared" si="52"/>
        <v>0</v>
      </c>
    </row>
    <row r="1686" spans="1:9" customFormat="1" x14ac:dyDescent="0.35">
      <c r="A1686" s="63">
        <f t="shared" si="53"/>
        <v>1685</v>
      </c>
      <c r="B1686" s="54" t="s">
        <v>4213</v>
      </c>
      <c r="C1686" s="55" t="s">
        <v>4214</v>
      </c>
      <c r="D1686" s="54" t="s">
        <v>3866</v>
      </c>
      <c r="E1686" s="56">
        <v>0</v>
      </c>
      <c r="F1686" s="57" t="s">
        <v>1563</v>
      </c>
      <c r="G1686" s="58">
        <v>225000</v>
      </c>
      <c r="H1686" s="59">
        <v>303750</v>
      </c>
      <c r="I1686" s="59">
        <f t="shared" si="52"/>
        <v>0</v>
      </c>
    </row>
    <row r="1687" spans="1:9" customFormat="1" x14ac:dyDescent="0.35">
      <c r="A1687" s="63">
        <f t="shared" si="53"/>
        <v>1686</v>
      </c>
      <c r="B1687" s="54" t="s">
        <v>4215</v>
      </c>
      <c r="C1687" s="55" t="s">
        <v>4216</v>
      </c>
      <c r="D1687" s="54" t="s">
        <v>3866</v>
      </c>
      <c r="E1687" s="56">
        <v>0</v>
      </c>
      <c r="F1687" s="57" t="s">
        <v>792</v>
      </c>
      <c r="G1687" s="58">
        <v>0</v>
      </c>
      <c r="H1687" s="59">
        <v>1347300</v>
      </c>
      <c r="I1687" s="59">
        <f t="shared" si="52"/>
        <v>0</v>
      </c>
    </row>
    <row r="1688" spans="1:9" customFormat="1" x14ac:dyDescent="0.35">
      <c r="A1688" s="63">
        <f t="shared" si="53"/>
        <v>1687</v>
      </c>
      <c r="B1688" s="54" t="s">
        <v>4217</v>
      </c>
      <c r="C1688" s="55" t="s">
        <v>4218</v>
      </c>
      <c r="D1688" s="54" t="s">
        <v>3866</v>
      </c>
      <c r="E1688" s="56">
        <v>0</v>
      </c>
      <c r="F1688" s="57" t="s">
        <v>792</v>
      </c>
      <c r="G1688" s="58">
        <v>0</v>
      </c>
      <c r="H1688" s="59">
        <v>109350</v>
      </c>
      <c r="I1688" s="59">
        <f t="shared" si="52"/>
        <v>0</v>
      </c>
    </row>
    <row r="1689" spans="1:9" customFormat="1" x14ac:dyDescent="0.35">
      <c r="A1689" s="63">
        <f t="shared" si="53"/>
        <v>1688</v>
      </c>
      <c r="B1689" s="54" t="s">
        <v>4219</v>
      </c>
      <c r="C1689" s="55" t="s">
        <v>4220</v>
      </c>
      <c r="D1689" s="54" t="s">
        <v>3866</v>
      </c>
      <c r="E1689" s="56">
        <v>0</v>
      </c>
      <c r="F1689" s="57" t="s">
        <v>792</v>
      </c>
      <c r="G1689" s="58">
        <v>0</v>
      </c>
      <c r="H1689" s="59">
        <v>256500</v>
      </c>
      <c r="I1689" s="59">
        <f t="shared" si="52"/>
        <v>0</v>
      </c>
    </row>
    <row r="1690" spans="1:9" customFormat="1" x14ac:dyDescent="0.35">
      <c r="A1690" s="63">
        <f t="shared" si="53"/>
        <v>1689</v>
      </c>
      <c r="B1690" s="54" t="s">
        <v>4221</v>
      </c>
      <c r="C1690" s="55" t="s">
        <v>4222</v>
      </c>
      <c r="D1690" s="54" t="s">
        <v>3866</v>
      </c>
      <c r="E1690" s="56">
        <v>0</v>
      </c>
      <c r="F1690" s="57" t="s">
        <v>1638</v>
      </c>
      <c r="G1690" s="58">
        <v>19000</v>
      </c>
      <c r="H1690" s="59">
        <v>25650</v>
      </c>
      <c r="I1690" s="59">
        <f t="shared" si="52"/>
        <v>0</v>
      </c>
    </row>
    <row r="1691" spans="1:9" customFormat="1" x14ac:dyDescent="0.35">
      <c r="A1691" s="63">
        <f t="shared" si="53"/>
        <v>1690</v>
      </c>
      <c r="B1691" s="54" t="s">
        <v>4223</v>
      </c>
      <c r="C1691" s="55" t="s">
        <v>4224</v>
      </c>
      <c r="D1691" s="54" t="s">
        <v>3866</v>
      </c>
      <c r="E1691" s="56">
        <v>0</v>
      </c>
      <c r="F1691" s="57" t="s">
        <v>792</v>
      </c>
      <c r="G1691" s="58">
        <v>42500</v>
      </c>
      <c r="H1691" s="59">
        <v>56700</v>
      </c>
      <c r="I1691" s="59">
        <f t="shared" si="52"/>
        <v>0</v>
      </c>
    </row>
    <row r="1692" spans="1:9" customFormat="1" x14ac:dyDescent="0.35">
      <c r="A1692" s="63">
        <f t="shared" si="53"/>
        <v>1691</v>
      </c>
      <c r="B1692" s="54" t="s">
        <v>4225</v>
      </c>
      <c r="C1692" s="55" t="s">
        <v>4226</v>
      </c>
      <c r="D1692" s="54" t="s">
        <v>3866</v>
      </c>
      <c r="E1692" s="56">
        <v>0</v>
      </c>
      <c r="F1692" s="57" t="s">
        <v>792</v>
      </c>
      <c r="G1692" s="58">
        <v>42500</v>
      </c>
      <c r="H1692" s="59">
        <v>56700</v>
      </c>
      <c r="I1692" s="59">
        <f t="shared" si="52"/>
        <v>0</v>
      </c>
    </row>
    <row r="1693" spans="1:9" customFormat="1" x14ac:dyDescent="0.35">
      <c r="A1693" s="63">
        <f t="shared" si="53"/>
        <v>1692</v>
      </c>
      <c r="B1693" s="54" t="s">
        <v>4227</v>
      </c>
      <c r="C1693" s="55" t="s">
        <v>4228</v>
      </c>
      <c r="D1693" s="54" t="s">
        <v>3866</v>
      </c>
      <c r="E1693" s="56">
        <v>0</v>
      </c>
      <c r="F1693" s="57" t="s">
        <v>792</v>
      </c>
      <c r="G1693" s="58">
        <v>49500</v>
      </c>
      <c r="H1693" s="59">
        <v>66825</v>
      </c>
      <c r="I1693" s="59">
        <f t="shared" si="52"/>
        <v>0</v>
      </c>
    </row>
    <row r="1694" spans="1:9" customFormat="1" x14ac:dyDescent="0.35">
      <c r="A1694" s="63">
        <f t="shared" si="53"/>
        <v>1693</v>
      </c>
      <c r="B1694" s="54" t="s">
        <v>4229</v>
      </c>
      <c r="C1694" s="55" t="s">
        <v>4230</v>
      </c>
      <c r="D1694" s="54" t="s">
        <v>3866</v>
      </c>
      <c r="E1694" s="56">
        <v>0</v>
      </c>
      <c r="F1694" s="57" t="s">
        <v>792</v>
      </c>
      <c r="G1694" s="58">
        <v>0</v>
      </c>
      <c r="H1694" s="59">
        <v>22050</v>
      </c>
      <c r="I1694" s="59">
        <f t="shared" si="52"/>
        <v>0</v>
      </c>
    </row>
    <row r="1695" spans="1:9" customFormat="1" x14ac:dyDescent="0.35">
      <c r="A1695" s="63">
        <f t="shared" si="53"/>
        <v>1694</v>
      </c>
      <c r="B1695" s="54" t="s">
        <v>4231</v>
      </c>
      <c r="C1695" s="55" t="s">
        <v>4232</v>
      </c>
      <c r="D1695" s="54" t="s">
        <v>3866</v>
      </c>
      <c r="E1695" s="56">
        <v>0</v>
      </c>
      <c r="F1695" s="57" t="s">
        <v>792</v>
      </c>
      <c r="G1695" s="58">
        <v>105000</v>
      </c>
      <c r="H1695" s="59">
        <v>141750</v>
      </c>
      <c r="I1695" s="59">
        <f t="shared" si="52"/>
        <v>0</v>
      </c>
    </row>
    <row r="1696" spans="1:9" customFormat="1" x14ac:dyDescent="0.35">
      <c r="A1696" s="63">
        <f t="shared" si="53"/>
        <v>1695</v>
      </c>
      <c r="B1696" s="54" t="s">
        <v>4233</v>
      </c>
      <c r="C1696" s="55" t="s">
        <v>4234</v>
      </c>
      <c r="D1696" s="54" t="s">
        <v>3866</v>
      </c>
      <c r="E1696" s="56">
        <v>0</v>
      </c>
      <c r="F1696" s="57" t="s">
        <v>870</v>
      </c>
      <c r="G1696" s="58">
        <v>55000</v>
      </c>
      <c r="H1696" s="59">
        <v>55000</v>
      </c>
      <c r="I1696" s="59">
        <f t="shared" si="52"/>
        <v>0</v>
      </c>
    </row>
    <row r="1697" spans="1:9" customFormat="1" x14ac:dyDescent="0.35">
      <c r="A1697" s="63">
        <f t="shared" si="53"/>
        <v>1696</v>
      </c>
      <c r="B1697" s="54" t="s">
        <v>4235</v>
      </c>
      <c r="C1697" s="55" t="s">
        <v>4236</v>
      </c>
      <c r="D1697" s="54" t="s">
        <v>3866</v>
      </c>
      <c r="E1697" s="56">
        <v>0</v>
      </c>
      <c r="F1697" s="57" t="s">
        <v>792</v>
      </c>
      <c r="G1697" s="58">
        <v>0</v>
      </c>
      <c r="H1697" s="59">
        <v>1620</v>
      </c>
      <c r="I1697" s="59">
        <f t="shared" si="52"/>
        <v>0</v>
      </c>
    </row>
    <row r="1698" spans="1:9" customFormat="1" x14ac:dyDescent="0.35">
      <c r="A1698" s="63">
        <f t="shared" si="53"/>
        <v>1697</v>
      </c>
      <c r="B1698" s="54" t="s">
        <v>4237</v>
      </c>
      <c r="C1698" s="55" t="s">
        <v>4238</v>
      </c>
      <c r="D1698" s="54" t="s">
        <v>3866</v>
      </c>
      <c r="E1698" s="56">
        <v>0</v>
      </c>
      <c r="F1698" s="57" t="s">
        <v>792</v>
      </c>
      <c r="G1698" s="58">
        <v>0</v>
      </c>
      <c r="H1698" s="59">
        <v>0</v>
      </c>
      <c r="I1698" s="59">
        <f t="shared" si="52"/>
        <v>0</v>
      </c>
    </row>
    <row r="1699" spans="1:9" customFormat="1" x14ac:dyDescent="0.35">
      <c r="A1699" s="63">
        <f t="shared" si="53"/>
        <v>1698</v>
      </c>
      <c r="B1699" s="54" t="s">
        <v>4239</v>
      </c>
      <c r="C1699" s="55" t="s">
        <v>4240</v>
      </c>
      <c r="D1699" s="54" t="s">
        <v>3866</v>
      </c>
      <c r="E1699" s="56">
        <v>0</v>
      </c>
      <c r="F1699" s="57" t="s">
        <v>792</v>
      </c>
      <c r="G1699" s="58">
        <v>47500</v>
      </c>
      <c r="H1699" s="59">
        <v>64200</v>
      </c>
      <c r="I1699" s="59">
        <f t="shared" si="52"/>
        <v>0</v>
      </c>
    </row>
    <row r="1700" spans="1:9" customFormat="1" x14ac:dyDescent="0.35">
      <c r="A1700" s="63">
        <f t="shared" si="53"/>
        <v>1699</v>
      </c>
      <c r="B1700" s="54" t="s">
        <v>4241</v>
      </c>
      <c r="C1700" s="55" t="s">
        <v>4242</v>
      </c>
      <c r="D1700" s="54" t="s">
        <v>3866</v>
      </c>
      <c r="E1700" s="56">
        <v>0</v>
      </c>
      <c r="F1700" s="57" t="s">
        <v>792</v>
      </c>
      <c r="G1700" s="58">
        <v>570000</v>
      </c>
      <c r="H1700" s="59">
        <v>769500</v>
      </c>
      <c r="I1700" s="59">
        <f t="shared" si="52"/>
        <v>0</v>
      </c>
    </row>
    <row r="1701" spans="1:9" customFormat="1" x14ac:dyDescent="0.35">
      <c r="A1701" s="63">
        <f t="shared" si="53"/>
        <v>1700</v>
      </c>
      <c r="B1701" s="54" t="s">
        <v>4243</v>
      </c>
      <c r="C1701" s="55" t="s">
        <v>4244</v>
      </c>
      <c r="D1701" s="54" t="s">
        <v>3866</v>
      </c>
      <c r="E1701" s="56">
        <v>0</v>
      </c>
      <c r="F1701" s="57" t="s">
        <v>792</v>
      </c>
      <c r="G1701" s="58">
        <v>490000</v>
      </c>
      <c r="H1701" s="59">
        <v>490000</v>
      </c>
      <c r="I1701" s="59">
        <f t="shared" si="52"/>
        <v>0</v>
      </c>
    </row>
    <row r="1702" spans="1:9" customFormat="1" x14ac:dyDescent="0.35">
      <c r="A1702" s="63">
        <f t="shared" si="53"/>
        <v>1701</v>
      </c>
      <c r="B1702" s="54" t="s">
        <v>4245</v>
      </c>
      <c r="C1702" s="55" t="s">
        <v>4246</v>
      </c>
      <c r="D1702" s="54" t="s">
        <v>3866</v>
      </c>
      <c r="E1702" s="56">
        <v>0</v>
      </c>
      <c r="F1702" s="57" t="s">
        <v>792</v>
      </c>
      <c r="G1702" s="58">
        <v>0</v>
      </c>
      <c r="H1702" s="59">
        <v>418500</v>
      </c>
      <c r="I1702" s="59">
        <f t="shared" si="52"/>
        <v>0</v>
      </c>
    </row>
    <row r="1703" spans="1:9" customFormat="1" x14ac:dyDescent="0.35">
      <c r="A1703" s="63">
        <f t="shared" si="53"/>
        <v>1702</v>
      </c>
      <c r="B1703" s="54" t="s">
        <v>4247</v>
      </c>
      <c r="C1703" s="55" t="s">
        <v>4248</v>
      </c>
      <c r="D1703" s="54" t="s">
        <v>3866</v>
      </c>
      <c r="E1703" s="56">
        <v>0</v>
      </c>
      <c r="F1703" s="57" t="s">
        <v>792</v>
      </c>
      <c r="G1703" s="58">
        <v>187770</v>
      </c>
      <c r="H1703" s="59">
        <v>187770</v>
      </c>
      <c r="I1703" s="59">
        <f t="shared" si="52"/>
        <v>0</v>
      </c>
    </row>
    <row r="1704" spans="1:9" customFormat="1" x14ac:dyDescent="0.35">
      <c r="A1704" s="63">
        <f t="shared" si="53"/>
        <v>1703</v>
      </c>
      <c r="B1704" s="54" t="s">
        <v>4249</v>
      </c>
      <c r="C1704" s="55" t="s">
        <v>4250</v>
      </c>
      <c r="D1704" s="54" t="s">
        <v>3866</v>
      </c>
      <c r="E1704" s="56">
        <v>0</v>
      </c>
      <c r="F1704" s="57" t="s">
        <v>792</v>
      </c>
      <c r="G1704" s="58">
        <v>17600</v>
      </c>
      <c r="H1704" s="59">
        <v>241650</v>
      </c>
      <c r="I1704" s="59">
        <f t="shared" si="52"/>
        <v>0</v>
      </c>
    </row>
    <row r="1705" spans="1:9" customFormat="1" x14ac:dyDescent="0.35">
      <c r="A1705" s="63">
        <f t="shared" si="53"/>
        <v>1704</v>
      </c>
      <c r="B1705" s="54" t="s">
        <v>4251</v>
      </c>
      <c r="C1705" s="55" t="s">
        <v>4252</v>
      </c>
      <c r="D1705" s="54" t="s">
        <v>3866</v>
      </c>
      <c r="E1705" s="56">
        <v>0</v>
      </c>
      <c r="F1705" s="57" t="s">
        <v>792</v>
      </c>
      <c r="G1705" s="58">
        <v>67500</v>
      </c>
      <c r="H1705" s="59">
        <v>67500</v>
      </c>
      <c r="I1705" s="59">
        <f t="shared" si="52"/>
        <v>0</v>
      </c>
    </row>
    <row r="1706" spans="1:9" customFormat="1" x14ac:dyDescent="0.35">
      <c r="A1706" s="63">
        <f t="shared" si="53"/>
        <v>1705</v>
      </c>
      <c r="B1706" s="54" t="s">
        <v>4253</v>
      </c>
      <c r="C1706" s="55" t="s">
        <v>4254</v>
      </c>
      <c r="D1706" s="54" t="s">
        <v>3866</v>
      </c>
      <c r="E1706" s="56">
        <v>0</v>
      </c>
      <c r="F1706" s="57" t="s">
        <v>792</v>
      </c>
      <c r="G1706" s="58">
        <v>0</v>
      </c>
      <c r="H1706" s="59">
        <v>49950</v>
      </c>
      <c r="I1706" s="59">
        <f t="shared" si="52"/>
        <v>0</v>
      </c>
    </row>
    <row r="1707" spans="1:9" customFormat="1" x14ac:dyDescent="0.35">
      <c r="A1707" s="63">
        <f t="shared" si="53"/>
        <v>1706</v>
      </c>
      <c r="B1707" s="54" t="s">
        <v>4255</v>
      </c>
      <c r="C1707" s="55" t="s">
        <v>4256</v>
      </c>
      <c r="D1707" s="54" t="s">
        <v>3866</v>
      </c>
      <c r="E1707" s="56">
        <v>0</v>
      </c>
      <c r="F1707" s="57" t="s">
        <v>792</v>
      </c>
      <c r="G1707" s="58">
        <v>0</v>
      </c>
      <c r="H1707" s="59">
        <v>67500</v>
      </c>
      <c r="I1707" s="59">
        <f t="shared" si="52"/>
        <v>0</v>
      </c>
    </row>
    <row r="1708" spans="1:9" customFormat="1" x14ac:dyDescent="0.35">
      <c r="A1708" s="63">
        <f t="shared" si="53"/>
        <v>1707</v>
      </c>
      <c r="B1708" s="54" t="s">
        <v>4257</v>
      </c>
      <c r="C1708" s="55" t="s">
        <v>4258</v>
      </c>
      <c r="D1708" s="54" t="s">
        <v>3866</v>
      </c>
      <c r="E1708" s="56">
        <v>0</v>
      </c>
      <c r="F1708" s="57" t="s">
        <v>792</v>
      </c>
      <c r="G1708" s="58">
        <v>0</v>
      </c>
      <c r="H1708" s="59">
        <v>67500</v>
      </c>
      <c r="I1708" s="59">
        <f t="shared" si="52"/>
        <v>0</v>
      </c>
    </row>
    <row r="1709" spans="1:9" customFormat="1" x14ac:dyDescent="0.35">
      <c r="A1709" s="63">
        <f t="shared" si="53"/>
        <v>1708</v>
      </c>
      <c r="B1709" s="54" t="s">
        <v>4259</v>
      </c>
      <c r="C1709" s="55" t="s">
        <v>4260</v>
      </c>
      <c r="D1709" s="54" t="s">
        <v>3866</v>
      </c>
      <c r="E1709" s="56">
        <v>0</v>
      </c>
      <c r="F1709" s="57" t="s">
        <v>792</v>
      </c>
      <c r="G1709" s="58">
        <v>250000</v>
      </c>
      <c r="H1709" s="59">
        <v>337500</v>
      </c>
      <c r="I1709" s="59">
        <f t="shared" si="52"/>
        <v>0</v>
      </c>
    </row>
    <row r="1710" spans="1:9" customFormat="1" x14ac:dyDescent="0.35">
      <c r="A1710" s="63">
        <f t="shared" si="53"/>
        <v>1709</v>
      </c>
      <c r="B1710" s="54" t="s">
        <v>4261</v>
      </c>
      <c r="C1710" s="55" t="s">
        <v>4262</v>
      </c>
      <c r="D1710" s="54" t="s">
        <v>3866</v>
      </c>
      <c r="E1710" s="56">
        <v>0</v>
      </c>
      <c r="F1710" s="57" t="s">
        <v>792</v>
      </c>
      <c r="G1710" s="58">
        <v>445000</v>
      </c>
      <c r="H1710" s="59">
        <v>600750</v>
      </c>
      <c r="I1710" s="59">
        <f t="shared" si="52"/>
        <v>0</v>
      </c>
    </row>
    <row r="1711" spans="1:9" customFormat="1" x14ac:dyDescent="0.35">
      <c r="A1711" s="63">
        <f t="shared" si="53"/>
        <v>1710</v>
      </c>
      <c r="B1711" s="54" t="s">
        <v>4263</v>
      </c>
      <c r="C1711" s="55" t="s">
        <v>4264</v>
      </c>
      <c r="D1711" s="54" t="s">
        <v>3866</v>
      </c>
      <c r="E1711" s="56">
        <v>0</v>
      </c>
      <c r="F1711" s="57" t="s">
        <v>792</v>
      </c>
      <c r="G1711" s="58">
        <v>0</v>
      </c>
      <c r="H1711" s="59">
        <v>0</v>
      </c>
      <c r="I1711" s="59">
        <f t="shared" si="52"/>
        <v>0</v>
      </c>
    </row>
    <row r="1712" spans="1:9" customFormat="1" x14ac:dyDescent="0.35">
      <c r="A1712" s="63">
        <f t="shared" si="53"/>
        <v>1711</v>
      </c>
      <c r="B1712" s="54" t="s">
        <v>4265</v>
      </c>
      <c r="C1712" s="55" t="s">
        <v>4266</v>
      </c>
      <c r="D1712" s="54" t="s">
        <v>3866</v>
      </c>
      <c r="E1712" s="56">
        <v>0</v>
      </c>
      <c r="F1712" s="57" t="s">
        <v>792</v>
      </c>
      <c r="G1712" s="58">
        <v>165000</v>
      </c>
      <c r="H1712" s="59">
        <v>222750</v>
      </c>
      <c r="I1712" s="59">
        <f t="shared" si="52"/>
        <v>0</v>
      </c>
    </row>
    <row r="1713" spans="1:9" customFormat="1" x14ac:dyDescent="0.35">
      <c r="A1713" s="63">
        <f t="shared" si="53"/>
        <v>1712</v>
      </c>
      <c r="B1713" s="54" t="s">
        <v>4267</v>
      </c>
      <c r="C1713" s="55" t="s">
        <v>4268</v>
      </c>
      <c r="D1713" s="54" t="s">
        <v>3866</v>
      </c>
      <c r="E1713" s="56">
        <v>0</v>
      </c>
      <c r="F1713" s="57" t="s">
        <v>792</v>
      </c>
      <c r="G1713" s="58">
        <v>15000</v>
      </c>
      <c r="H1713" s="59">
        <v>20250</v>
      </c>
      <c r="I1713" s="59">
        <f t="shared" si="52"/>
        <v>0</v>
      </c>
    </row>
    <row r="1714" spans="1:9" customFormat="1" x14ac:dyDescent="0.35">
      <c r="A1714" s="63">
        <f t="shared" si="53"/>
        <v>1713</v>
      </c>
      <c r="B1714" s="54" t="s">
        <v>4269</v>
      </c>
      <c r="C1714" s="55" t="s">
        <v>4270</v>
      </c>
      <c r="D1714" s="54" t="s">
        <v>3866</v>
      </c>
      <c r="E1714" s="56">
        <v>0</v>
      </c>
      <c r="F1714" s="57" t="s">
        <v>792</v>
      </c>
      <c r="G1714" s="58">
        <v>20000</v>
      </c>
      <c r="H1714" s="59">
        <v>27000</v>
      </c>
      <c r="I1714" s="59">
        <f t="shared" si="52"/>
        <v>0</v>
      </c>
    </row>
    <row r="1715" spans="1:9" customFormat="1" x14ac:dyDescent="0.35">
      <c r="A1715" s="63">
        <f t="shared" si="53"/>
        <v>1714</v>
      </c>
      <c r="B1715" s="54" t="s">
        <v>4271</v>
      </c>
      <c r="C1715" s="55" t="s">
        <v>4272</v>
      </c>
      <c r="D1715" s="54" t="s">
        <v>3866</v>
      </c>
      <c r="E1715" s="56">
        <v>0</v>
      </c>
      <c r="F1715" s="57" t="s">
        <v>792</v>
      </c>
      <c r="G1715" s="58">
        <v>0</v>
      </c>
      <c r="H1715" s="59">
        <v>40500</v>
      </c>
      <c r="I1715" s="59">
        <f t="shared" si="52"/>
        <v>0</v>
      </c>
    </row>
    <row r="1716" spans="1:9" customFormat="1" x14ac:dyDescent="0.35">
      <c r="A1716" s="63">
        <f t="shared" si="53"/>
        <v>1715</v>
      </c>
      <c r="B1716" s="54" t="s">
        <v>4273</v>
      </c>
      <c r="C1716" s="55" t="s">
        <v>4274</v>
      </c>
      <c r="D1716" s="54" t="s">
        <v>3866</v>
      </c>
      <c r="E1716" s="56">
        <v>0</v>
      </c>
      <c r="F1716" s="57" t="s">
        <v>792</v>
      </c>
      <c r="G1716" s="58">
        <v>0</v>
      </c>
      <c r="H1716" s="59">
        <v>162000</v>
      </c>
      <c r="I1716" s="59">
        <f t="shared" si="52"/>
        <v>0</v>
      </c>
    </row>
    <row r="1717" spans="1:9" customFormat="1" x14ac:dyDescent="0.35">
      <c r="A1717" s="63">
        <f t="shared" si="53"/>
        <v>1716</v>
      </c>
      <c r="B1717" s="54" t="s">
        <v>4275</v>
      </c>
      <c r="C1717" s="55" t="s">
        <v>4276</v>
      </c>
      <c r="D1717" s="54" t="s">
        <v>3866</v>
      </c>
      <c r="E1717" s="56">
        <v>0</v>
      </c>
      <c r="F1717" s="57" t="s">
        <v>792</v>
      </c>
      <c r="G1717" s="58">
        <v>0</v>
      </c>
      <c r="H1717" s="59">
        <v>40500</v>
      </c>
      <c r="I1717" s="59">
        <f t="shared" si="52"/>
        <v>0</v>
      </c>
    </row>
    <row r="1718" spans="1:9" customFormat="1" x14ac:dyDescent="0.35">
      <c r="A1718" s="63">
        <f t="shared" si="53"/>
        <v>1717</v>
      </c>
      <c r="B1718" s="54" t="s">
        <v>4277</v>
      </c>
      <c r="C1718" s="55" t="s">
        <v>4278</v>
      </c>
      <c r="D1718" s="54" t="s">
        <v>3866</v>
      </c>
      <c r="E1718" s="56">
        <v>0</v>
      </c>
      <c r="F1718" s="57" t="s">
        <v>1563</v>
      </c>
      <c r="G1718" s="58">
        <v>53000</v>
      </c>
      <c r="H1718" s="59">
        <v>70000</v>
      </c>
      <c r="I1718" s="59">
        <f t="shared" si="52"/>
        <v>0</v>
      </c>
    </row>
    <row r="1719" spans="1:9" customFormat="1" x14ac:dyDescent="0.35">
      <c r="A1719" s="63">
        <f t="shared" si="53"/>
        <v>1718</v>
      </c>
      <c r="B1719" s="54" t="s">
        <v>4279</v>
      </c>
      <c r="C1719" s="55" t="s">
        <v>4280</v>
      </c>
      <c r="D1719" s="54" t="s">
        <v>3866</v>
      </c>
      <c r="E1719" s="56">
        <v>0</v>
      </c>
      <c r="F1719" s="57" t="s">
        <v>792</v>
      </c>
      <c r="G1719" s="58">
        <v>37500</v>
      </c>
      <c r="H1719" s="59">
        <v>50625</v>
      </c>
      <c r="I1719" s="59">
        <f t="shared" si="52"/>
        <v>0</v>
      </c>
    </row>
    <row r="1720" spans="1:9" customFormat="1" x14ac:dyDescent="0.35">
      <c r="A1720" s="63">
        <f t="shared" si="53"/>
        <v>1719</v>
      </c>
      <c r="B1720" s="54" t="s">
        <v>4281</v>
      </c>
      <c r="C1720" s="55" t="s">
        <v>4282</v>
      </c>
      <c r="D1720" s="54" t="s">
        <v>3866</v>
      </c>
      <c r="E1720" s="56">
        <v>0</v>
      </c>
      <c r="F1720" s="57" t="s">
        <v>792</v>
      </c>
      <c r="G1720" s="58">
        <v>40000</v>
      </c>
      <c r="H1720" s="59">
        <v>54000</v>
      </c>
      <c r="I1720" s="59">
        <f t="shared" si="52"/>
        <v>0</v>
      </c>
    </row>
    <row r="1721" spans="1:9" customFormat="1" x14ac:dyDescent="0.35">
      <c r="A1721" s="63">
        <f t="shared" si="53"/>
        <v>1720</v>
      </c>
      <c r="B1721" s="54" t="s">
        <v>4283</v>
      </c>
      <c r="C1721" s="55" t="s">
        <v>4284</v>
      </c>
      <c r="D1721" s="54" t="s">
        <v>3866</v>
      </c>
      <c r="E1721" s="56">
        <v>0</v>
      </c>
      <c r="F1721" s="57" t="s">
        <v>974</v>
      </c>
      <c r="G1721" s="58">
        <v>952500</v>
      </c>
      <c r="H1721" s="59">
        <v>1033584.721</v>
      </c>
      <c r="I1721" s="59">
        <f t="shared" si="52"/>
        <v>0</v>
      </c>
    </row>
    <row r="1722" spans="1:9" customFormat="1" x14ac:dyDescent="0.35">
      <c r="A1722" s="63">
        <f t="shared" si="53"/>
        <v>1721</v>
      </c>
      <c r="B1722" s="54" t="s">
        <v>4285</v>
      </c>
      <c r="C1722" s="55" t="s">
        <v>4286</v>
      </c>
      <c r="D1722" s="54" t="s">
        <v>3866</v>
      </c>
      <c r="E1722" s="56">
        <v>0</v>
      </c>
      <c r="F1722" s="57" t="s">
        <v>792</v>
      </c>
      <c r="G1722" s="58">
        <v>0</v>
      </c>
      <c r="H1722" s="59">
        <v>20250</v>
      </c>
      <c r="I1722" s="59">
        <f t="shared" si="52"/>
        <v>0</v>
      </c>
    </row>
    <row r="1723" spans="1:9" customFormat="1" x14ac:dyDescent="0.35">
      <c r="A1723" s="63">
        <f t="shared" si="53"/>
        <v>1722</v>
      </c>
      <c r="B1723" s="54" t="s">
        <v>4287</v>
      </c>
      <c r="C1723" s="55" t="s">
        <v>4288</v>
      </c>
      <c r="D1723" s="54" t="s">
        <v>3866</v>
      </c>
      <c r="E1723" s="56">
        <v>0</v>
      </c>
      <c r="F1723" s="57" t="s">
        <v>792</v>
      </c>
      <c r="G1723" s="58">
        <v>30</v>
      </c>
      <c r="H1723" s="59">
        <v>30</v>
      </c>
      <c r="I1723" s="59">
        <f t="shared" si="52"/>
        <v>0</v>
      </c>
    </row>
    <row r="1724" spans="1:9" customFormat="1" x14ac:dyDescent="0.35">
      <c r="A1724" s="63">
        <f t="shared" si="53"/>
        <v>1723</v>
      </c>
      <c r="B1724" s="54" t="s">
        <v>4289</v>
      </c>
      <c r="C1724" s="55" t="s">
        <v>4290</v>
      </c>
      <c r="D1724" s="54" t="s">
        <v>3866</v>
      </c>
      <c r="E1724" s="56">
        <v>0</v>
      </c>
      <c r="F1724" s="57" t="s">
        <v>792</v>
      </c>
      <c r="G1724" s="58">
        <v>45</v>
      </c>
      <c r="H1724" s="59">
        <v>45</v>
      </c>
      <c r="I1724" s="59">
        <f t="shared" si="52"/>
        <v>0</v>
      </c>
    </row>
    <row r="1725" spans="1:9" customFormat="1" x14ac:dyDescent="0.35">
      <c r="A1725" s="63">
        <f t="shared" si="53"/>
        <v>1724</v>
      </c>
      <c r="B1725" s="54" t="s">
        <v>4291</v>
      </c>
      <c r="C1725" s="55" t="s">
        <v>4292</v>
      </c>
      <c r="D1725" s="54" t="s">
        <v>3866</v>
      </c>
      <c r="E1725" s="56">
        <v>0</v>
      </c>
      <c r="F1725" s="57" t="s">
        <v>792</v>
      </c>
      <c r="G1725" s="58">
        <v>200</v>
      </c>
      <c r="H1725" s="59">
        <v>200</v>
      </c>
      <c r="I1725" s="59">
        <f t="shared" si="52"/>
        <v>0</v>
      </c>
    </row>
    <row r="1726" spans="1:9" customFormat="1" x14ac:dyDescent="0.35">
      <c r="A1726" s="63">
        <f t="shared" si="53"/>
        <v>1725</v>
      </c>
      <c r="B1726" s="54" t="s">
        <v>4293</v>
      </c>
      <c r="C1726" s="55" t="s">
        <v>4294</v>
      </c>
      <c r="D1726" s="54" t="s">
        <v>4295</v>
      </c>
      <c r="E1726" s="56">
        <v>0</v>
      </c>
      <c r="F1726" s="57" t="s">
        <v>1065</v>
      </c>
      <c r="G1726" s="58">
        <v>0</v>
      </c>
      <c r="H1726" s="59">
        <v>0</v>
      </c>
      <c r="I1726" s="59">
        <f t="shared" si="52"/>
        <v>0</v>
      </c>
    </row>
    <row r="1727" spans="1:9" customFormat="1" x14ac:dyDescent="0.35">
      <c r="A1727" s="63">
        <f t="shared" si="53"/>
        <v>1726</v>
      </c>
      <c r="B1727" s="54" t="s">
        <v>4296</v>
      </c>
      <c r="C1727" s="55" t="s">
        <v>4297</v>
      </c>
      <c r="D1727" s="54" t="s">
        <v>4295</v>
      </c>
      <c r="E1727" s="56">
        <v>0</v>
      </c>
      <c r="F1727" s="57" t="s">
        <v>844</v>
      </c>
      <c r="G1727" s="58">
        <v>4750000</v>
      </c>
      <c r="H1727" s="59">
        <v>4750000</v>
      </c>
      <c r="I1727" s="59">
        <f t="shared" si="52"/>
        <v>0</v>
      </c>
    </row>
    <row r="1728" spans="1:9" customFormat="1" x14ac:dyDescent="0.35">
      <c r="A1728" s="63">
        <f t="shared" si="53"/>
        <v>1727</v>
      </c>
      <c r="B1728" s="54" t="s">
        <v>4298</v>
      </c>
      <c r="C1728" s="55" t="s">
        <v>4299</v>
      </c>
      <c r="D1728" s="54" t="s">
        <v>4295</v>
      </c>
      <c r="E1728" s="56">
        <v>0</v>
      </c>
      <c r="F1728" s="57" t="s">
        <v>792</v>
      </c>
      <c r="G1728" s="58">
        <v>10000</v>
      </c>
      <c r="H1728" s="59">
        <v>10000</v>
      </c>
      <c r="I1728" s="59">
        <f t="shared" si="52"/>
        <v>0</v>
      </c>
    </row>
    <row r="1729" spans="1:9" customFormat="1" x14ac:dyDescent="0.35">
      <c r="A1729" s="63">
        <f t="shared" si="53"/>
        <v>1728</v>
      </c>
      <c r="B1729" s="54" t="s">
        <v>4300</v>
      </c>
      <c r="C1729" s="55" t="s">
        <v>4301</v>
      </c>
      <c r="D1729" s="54" t="s">
        <v>4295</v>
      </c>
      <c r="E1729" s="56">
        <v>0</v>
      </c>
      <c r="F1729" s="57" t="s">
        <v>792</v>
      </c>
      <c r="G1729" s="58">
        <v>3300</v>
      </c>
      <c r="H1729" s="59">
        <v>3300</v>
      </c>
      <c r="I1729" s="59">
        <f t="shared" si="52"/>
        <v>0</v>
      </c>
    </row>
    <row r="1730" spans="1:9" customFormat="1" x14ac:dyDescent="0.35">
      <c r="A1730" s="63">
        <f t="shared" si="53"/>
        <v>1729</v>
      </c>
      <c r="B1730" s="54" t="s">
        <v>4302</v>
      </c>
      <c r="C1730" s="55" t="s">
        <v>4303</v>
      </c>
      <c r="D1730" s="54" t="s">
        <v>4295</v>
      </c>
      <c r="E1730" s="56">
        <v>0</v>
      </c>
      <c r="F1730" s="57" t="s">
        <v>792</v>
      </c>
      <c r="G1730" s="58">
        <v>19500</v>
      </c>
      <c r="H1730" s="59">
        <v>19500</v>
      </c>
      <c r="I1730" s="59">
        <f t="shared" si="52"/>
        <v>0</v>
      </c>
    </row>
    <row r="1731" spans="1:9" customFormat="1" x14ac:dyDescent="0.35">
      <c r="A1731" s="63">
        <f t="shared" si="53"/>
        <v>1730</v>
      </c>
      <c r="B1731" s="54" t="s">
        <v>4304</v>
      </c>
      <c r="C1731" s="55" t="s">
        <v>4305</v>
      </c>
      <c r="D1731" s="54" t="s">
        <v>4295</v>
      </c>
      <c r="E1731" s="56">
        <v>0</v>
      </c>
      <c r="F1731" s="57" t="s">
        <v>792</v>
      </c>
      <c r="G1731" s="58">
        <v>0</v>
      </c>
      <c r="H1731" s="59">
        <v>0</v>
      </c>
      <c r="I1731" s="59">
        <f t="shared" ref="I1731:I1794" si="54">H1731*E1731</f>
        <v>0</v>
      </c>
    </row>
    <row r="1732" spans="1:9" customFormat="1" x14ac:dyDescent="0.35">
      <c r="A1732" s="63">
        <f t="shared" ref="A1732:A1795" si="55">A1731+1</f>
        <v>1731</v>
      </c>
      <c r="B1732" s="54" t="s">
        <v>4306</v>
      </c>
      <c r="C1732" s="55" t="s">
        <v>4307</v>
      </c>
      <c r="D1732" s="54" t="s">
        <v>4295</v>
      </c>
      <c r="E1732" s="56">
        <v>0</v>
      </c>
      <c r="F1732" s="57" t="s">
        <v>792</v>
      </c>
      <c r="G1732" s="58">
        <v>6750</v>
      </c>
      <c r="H1732" s="59">
        <v>6750</v>
      </c>
      <c r="I1732" s="59">
        <f t="shared" si="54"/>
        <v>0</v>
      </c>
    </row>
    <row r="1733" spans="1:9" customFormat="1" x14ac:dyDescent="0.35">
      <c r="A1733" s="63">
        <f t="shared" si="55"/>
        <v>1732</v>
      </c>
      <c r="B1733" s="54" t="s">
        <v>4308</v>
      </c>
      <c r="C1733" s="55" t="s">
        <v>4309</v>
      </c>
      <c r="D1733" s="54" t="s">
        <v>4295</v>
      </c>
      <c r="E1733" s="56">
        <v>0</v>
      </c>
      <c r="F1733" s="57" t="s">
        <v>792</v>
      </c>
      <c r="G1733" s="58">
        <v>10000</v>
      </c>
      <c r="H1733" s="59">
        <v>10000</v>
      </c>
      <c r="I1733" s="59">
        <f t="shared" si="54"/>
        <v>0</v>
      </c>
    </row>
    <row r="1734" spans="1:9" customFormat="1" x14ac:dyDescent="0.35">
      <c r="A1734" s="63">
        <f t="shared" si="55"/>
        <v>1733</v>
      </c>
      <c r="B1734" s="54" t="s">
        <v>4310</v>
      </c>
      <c r="C1734" s="55" t="s">
        <v>4311</v>
      </c>
      <c r="D1734" s="54" t="s">
        <v>4295</v>
      </c>
      <c r="E1734" s="56">
        <v>0</v>
      </c>
      <c r="F1734" s="57" t="s">
        <v>792</v>
      </c>
      <c r="G1734" s="58">
        <v>82000</v>
      </c>
      <c r="H1734" s="59">
        <v>82000</v>
      </c>
      <c r="I1734" s="59">
        <f t="shared" si="54"/>
        <v>0</v>
      </c>
    </row>
    <row r="1735" spans="1:9" customFormat="1" x14ac:dyDescent="0.35">
      <c r="A1735" s="63">
        <f t="shared" si="55"/>
        <v>1734</v>
      </c>
      <c r="B1735" s="54" t="s">
        <v>4312</v>
      </c>
      <c r="C1735" s="55" t="s">
        <v>4313</v>
      </c>
      <c r="D1735" s="54" t="s">
        <v>4295</v>
      </c>
      <c r="E1735" s="56">
        <v>0</v>
      </c>
      <c r="F1735" s="57" t="s">
        <v>792</v>
      </c>
      <c r="G1735" s="58">
        <v>104000</v>
      </c>
      <c r="H1735" s="59">
        <v>105000</v>
      </c>
      <c r="I1735" s="59">
        <f t="shared" si="54"/>
        <v>0</v>
      </c>
    </row>
    <row r="1736" spans="1:9" customFormat="1" x14ac:dyDescent="0.35">
      <c r="A1736" s="63">
        <f t="shared" si="55"/>
        <v>1735</v>
      </c>
      <c r="B1736" s="54" t="s">
        <v>4314</v>
      </c>
      <c r="C1736" s="55" t="s">
        <v>4315</v>
      </c>
      <c r="D1736" s="54" t="s">
        <v>4295</v>
      </c>
      <c r="E1736" s="56">
        <v>0</v>
      </c>
      <c r="F1736" s="57" t="s">
        <v>792</v>
      </c>
      <c r="G1736" s="58">
        <v>0</v>
      </c>
      <c r="H1736" s="59">
        <v>0</v>
      </c>
      <c r="I1736" s="59">
        <f t="shared" si="54"/>
        <v>0</v>
      </c>
    </row>
    <row r="1737" spans="1:9" customFormat="1" x14ac:dyDescent="0.35">
      <c r="A1737" s="63">
        <f t="shared" si="55"/>
        <v>1736</v>
      </c>
      <c r="B1737" s="54" t="s">
        <v>4316</v>
      </c>
      <c r="C1737" s="55" t="s">
        <v>4317</v>
      </c>
      <c r="D1737" s="54" t="s">
        <v>4295</v>
      </c>
      <c r="E1737" s="56">
        <v>0</v>
      </c>
      <c r="F1737" s="57" t="s">
        <v>792</v>
      </c>
      <c r="G1737" s="58">
        <v>10000</v>
      </c>
      <c r="H1737" s="59">
        <v>18400</v>
      </c>
      <c r="I1737" s="59">
        <f t="shared" si="54"/>
        <v>0</v>
      </c>
    </row>
    <row r="1738" spans="1:9" customFormat="1" x14ac:dyDescent="0.35">
      <c r="A1738" s="63">
        <f t="shared" si="55"/>
        <v>1737</v>
      </c>
      <c r="B1738" s="54" t="s">
        <v>4318</v>
      </c>
      <c r="C1738" s="55" t="s">
        <v>4319</v>
      </c>
      <c r="D1738" s="54" t="s">
        <v>4295</v>
      </c>
      <c r="E1738" s="56">
        <v>0</v>
      </c>
      <c r="F1738" s="57" t="s">
        <v>792</v>
      </c>
      <c r="G1738" s="58">
        <v>34401.599999999999</v>
      </c>
      <c r="H1738" s="59">
        <v>0</v>
      </c>
      <c r="I1738" s="59">
        <f t="shared" si="54"/>
        <v>0</v>
      </c>
    </row>
    <row r="1739" spans="1:9" customFormat="1" x14ac:dyDescent="0.35">
      <c r="A1739" s="63">
        <f t="shared" si="55"/>
        <v>1738</v>
      </c>
      <c r="B1739" s="54" t="s">
        <v>4320</v>
      </c>
      <c r="C1739" s="55" t="s">
        <v>4321</v>
      </c>
      <c r="D1739" s="54" t="s">
        <v>4295</v>
      </c>
      <c r="E1739" s="56">
        <v>0</v>
      </c>
      <c r="F1739" s="57" t="s">
        <v>792</v>
      </c>
      <c r="G1739" s="58">
        <v>57800</v>
      </c>
      <c r="H1739" s="59">
        <v>57800</v>
      </c>
      <c r="I1739" s="59">
        <f t="shared" si="54"/>
        <v>0</v>
      </c>
    </row>
    <row r="1740" spans="1:9" customFormat="1" x14ac:dyDescent="0.35">
      <c r="A1740" s="63">
        <f t="shared" si="55"/>
        <v>1739</v>
      </c>
      <c r="B1740" s="54" t="s">
        <v>4322</v>
      </c>
      <c r="C1740" s="55" t="s">
        <v>4323</v>
      </c>
      <c r="D1740" s="54" t="s">
        <v>4295</v>
      </c>
      <c r="E1740" s="56">
        <v>0</v>
      </c>
      <c r="F1740" s="57" t="s">
        <v>792</v>
      </c>
      <c r="G1740" s="58">
        <v>54288</v>
      </c>
      <c r="H1740" s="59">
        <v>0</v>
      </c>
      <c r="I1740" s="59">
        <f t="shared" si="54"/>
        <v>0</v>
      </c>
    </row>
    <row r="1741" spans="1:9" customFormat="1" x14ac:dyDescent="0.35">
      <c r="A1741" s="63">
        <f t="shared" si="55"/>
        <v>1740</v>
      </c>
      <c r="B1741" s="54" t="s">
        <v>4324</v>
      </c>
      <c r="C1741" s="55" t="s">
        <v>4325</v>
      </c>
      <c r="D1741" s="54" t="s">
        <v>4295</v>
      </c>
      <c r="E1741" s="56">
        <v>0</v>
      </c>
      <c r="F1741" s="57" t="s">
        <v>792</v>
      </c>
      <c r="G1741" s="58">
        <v>275</v>
      </c>
      <c r="H1741" s="59">
        <v>275</v>
      </c>
      <c r="I1741" s="59">
        <f t="shared" si="54"/>
        <v>0</v>
      </c>
    </row>
    <row r="1742" spans="1:9" customFormat="1" x14ac:dyDescent="0.35">
      <c r="A1742" s="63">
        <f t="shared" si="55"/>
        <v>1741</v>
      </c>
      <c r="B1742" s="54" t="s">
        <v>4326</v>
      </c>
      <c r="C1742" s="55" t="s">
        <v>4327</v>
      </c>
      <c r="D1742" s="54" t="s">
        <v>4295</v>
      </c>
      <c r="E1742" s="56">
        <v>0</v>
      </c>
      <c r="F1742" s="57" t="s">
        <v>792</v>
      </c>
      <c r="G1742" s="58">
        <v>2000</v>
      </c>
      <c r="H1742" s="59">
        <v>2000</v>
      </c>
      <c r="I1742" s="59">
        <f t="shared" si="54"/>
        <v>0</v>
      </c>
    </row>
    <row r="1743" spans="1:9" customFormat="1" ht="23" x14ac:dyDescent="0.35">
      <c r="A1743" s="63">
        <f t="shared" si="55"/>
        <v>1742</v>
      </c>
      <c r="B1743" s="54" t="s">
        <v>4328</v>
      </c>
      <c r="C1743" s="55" t="s">
        <v>4329</v>
      </c>
      <c r="D1743" s="54" t="s">
        <v>4295</v>
      </c>
      <c r="E1743" s="56">
        <v>0</v>
      </c>
      <c r="F1743" s="57" t="s">
        <v>815</v>
      </c>
      <c r="G1743" s="58">
        <v>0</v>
      </c>
      <c r="H1743" s="59">
        <v>0</v>
      </c>
      <c r="I1743" s="59">
        <f t="shared" si="54"/>
        <v>0</v>
      </c>
    </row>
    <row r="1744" spans="1:9" customFormat="1" x14ac:dyDescent="0.35">
      <c r="A1744" s="63">
        <f t="shared" si="55"/>
        <v>1743</v>
      </c>
      <c r="B1744" s="54" t="s">
        <v>4330</v>
      </c>
      <c r="C1744" s="55" t="s">
        <v>4331</v>
      </c>
      <c r="D1744" s="54" t="s">
        <v>4332</v>
      </c>
      <c r="E1744" s="56">
        <v>0</v>
      </c>
      <c r="F1744" s="57" t="s">
        <v>792</v>
      </c>
      <c r="G1744" s="58">
        <v>35000</v>
      </c>
      <c r="H1744" s="59">
        <v>75000</v>
      </c>
      <c r="I1744" s="59">
        <f t="shared" si="54"/>
        <v>0</v>
      </c>
    </row>
    <row r="1745" spans="1:9" customFormat="1" x14ac:dyDescent="0.35">
      <c r="A1745" s="63">
        <f t="shared" si="55"/>
        <v>1744</v>
      </c>
      <c r="B1745" s="54" t="s">
        <v>4333</v>
      </c>
      <c r="C1745" s="55" t="s">
        <v>4334</v>
      </c>
      <c r="D1745" s="54" t="s">
        <v>4335</v>
      </c>
      <c r="E1745" s="56">
        <v>0</v>
      </c>
      <c r="F1745" s="57" t="s">
        <v>1217</v>
      </c>
      <c r="G1745" s="58">
        <v>341000</v>
      </c>
      <c r="H1745" s="59">
        <v>400000</v>
      </c>
      <c r="I1745" s="59">
        <f t="shared" si="54"/>
        <v>0</v>
      </c>
    </row>
    <row r="1746" spans="1:9" customFormat="1" x14ac:dyDescent="0.35">
      <c r="A1746" s="63">
        <f t="shared" si="55"/>
        <v>1745</v>
      </c>
      <c r="B1746" s="54" t="s">
        <v>4336</v>
      </c>
      <c r="C1746" s="55" t="s">
        <v>4337</v>
      </c>
      <c r="D1746" s="54" t="s">
        <v>4338</v>
      </c>
      <c r="E1746" s="56">
        <v>0</v>
      </c>
      <c r="F1746" s="57" t="s">
        <v>792</v>
      </c>
      <c r="G1746" s="58">
        <v>0</v>
      </c>
      <c r="H1746" s="59">
        <v>20150</v>
      </c>
      <c r="I1746" s="59">
        <f t="shared" si="54"/>
        <v>0</v>
      </c>
    </row>
    <row r="1747" spans="1:9" customFormat="1" x14ac:dyDescent="0.35">
      <c r="A1747" s="63">
        <f t="shared" si="55"/>
        <v>1746</v>
      </c>
      <c r="B1747" s="54" t="s">
        <v>4339</v>
      </c>
      <c r="C1747" s="55" t="s">
        <v>4340</v>
      </c>
      <c r="D1747" s="54" t="s">
        <v>4338</v>
      </c>
      <c r="E1747" s="56">
        <v>0</v>
      </c>
      <c r="F1747" s="57" t="s">
        <v>792</v>
      </c>
      <c r="G1747" s="58">
        <v>0</v>
      </c>
      <c r="H1747" s="59">
        <v>1950000</v>
      </c>
      <c r="I1747" s="59">
        <f t="shared" si="54"/>
        <v>0</v>
      </c>
    </row>
    <row r="1748" spans="1:9" customFormat="1" x14ac:dyDescent="0.35">
      <c r="A1748" s="63">
        <f t="shared" si="55"/>
        <v>1747</v>
      </c>
      <c r="B1748" s="54" t="s">
        <v>4341</v>
      </c>
      <c r="C1748" s="55" t="s">
        <v>4342</v>
      </c>
      <c r="D1748" s="54" t="s">
        <v>4338</v>
      </c>
      <c r="E1748" s="56">
        <v>0</v>
      </c>
      <c r="F1748" s="57" t="s">
        <v>792</v>
      </c>
      <c r="G1748" s="58">
        <v>0</v>
      </c>
      <c r="H1748" s="59">
        <v>249750</v>
      </c>
      <c r="I1748" s="59">
        <f t="shared" si="54"/>
        <v>0</v>
      </c>
    </row>
    <row r="1749" spans="1:9" customFormat="1" x14ac:dyDescent="0.35">
      <c r="A1749" s="63">
        <f t="shared" si="55"/>
        <v>1748</v>
      </c>
      <c r="B1749" s="54" t="s">
        <v>4343</v>
      </c>
      <c r="C1749" s="55" t="s">
        <v>4344</v>
      </c>
      <c r="D1749" s="54" t="s">
        <v>4338</v>
      </c>
      <c r="E1749" s="56">
        <v>0</v>
      </c>
      <c r="F1749" s="57" t="s">
        <v>792</v>
      </c>
      <c r="G1749" s="58">
        <v>26750</v>
      </c>
      <c r="H1749" s="59">
        <v>26750</v>
      </c>
      <c r="I1749" s="59">
        <f t="shared" si="54"/>
        <v>0</v>
      </c>
    </row>
    <row r="1750" spans="1:9" customFormat="1" ht="23" x14ac:dyDescent="0.35">
      <c r="A1750" s="63">
        <f t="shared" si="55"/>
        <v>1749</v>
      </c>
      <c r="B1750" s="54" t="s">
        <v>4345</v>
      </c>
      <c r="C1750" s="55" t="s">
        <v>4346</v>
      </c>
      <c r="D1750" s="54" t="s">
        <v>4338</v>
      </c>
      <c r="E1750" s="56">
        <v>0</v>
      </c>
      <c r="F1750" s="57" t="s">
        <v>878</v>
      </c>
      <c r="G1750" s="58">
        <v>136800</v>
      </c>
      <c r="H1750" s="59">
        <v>136800</v>
      </c>
      <c r="I1750" s="59">
        <f t="shared" si="54"/>
        <v>0</v>
      </c>
    </row>
    <row r="1751" spans="1:9" customFormat="1" x14ac:dyDescent="0.35">
      <c r="A1751" s="63">
        <f t="shared" si="55"/>
        <v>1750</v>
      </c>
      <c r="B1751" s="54" t="s">
        <v>4347</v>
      </c>
      <c r="C1751" s="55" t="s">
        <v>4348</v>
      </c>
      <c r="D1751" s="54" t="s">
        <v>4338</v>
      </c>
      <c r="E1751" s="56">
        <v>0</v>
      </c>
      <c r="F1751" s="57" t="s">
        <v>792</v>
      </c>
      <c r="G1751" s="58">
        <v>0</v>
      </c>
      <c r="H1751" s="59">
        <v>93150</v>
      </c>
      <c r="I1751" s="59">
        <f t="shared" si="54"/>
        <v>0</v>
      </c>
    </row>
    <row r="1752" spans="1:9" customFormat="1" x14ac:dyDescent="0.35">
      <c r="A1752" s="63">
        <f t="shared" si="55"/>
        <v>1751</v>
      </c>
      <c r="B1752" s="54" t="s">
        <v>4349</v>
      </c>
      <c r="C1752" s="55" t="s">
        <v>4350</v>
      </c>
      <c r="D1752" s="54" t="s">
        <v>4338</v>
      </c>
      <c r="E1752" s="56">
        <v>0</v>
      </c>
      <c r="F1752" s="57" t="s">
        <v>792</v>
      </c>
      <c r="G1752" s="58">
        <v>0</v>
      </c>
      <c r="H1752" s="59">
        <v>18225</v>
      </c>
      <c r="I1752" s="59">
        <f t="shared" si="54"/>
        <v>0</v>
      </c>
    </row>
    <row r="1753" spans="1:9" customFormat="1" x14ac:dyDescent="0.35">
      <c r="A1753" s="63">
        <f t="shared" si="55"/>
        <v>1752</v>
      </c>
      <c r="B1753" s="54" t="s">
        <v>4351</v>
      </c>
      <c r="C1753" s="55" t="s">
        <v>4352</v>
      </c>
      <c r="D1753" s="54" t="s">
        <v>4338</v>
      </c>
      <c r="E1753" s="56">
        <v>0</v>
      </c>
      <c r="F1753" s="57" t="s">
        <v>792</v>
      </c>
      <c r="G1753" s="58">
        <v>0</v>
      </c>
      <c r="H1753" s="59">
        <v>18225</v>
      </c>
      <c r="I1753" s="59">
        <f t="shared" si="54"/>
        <v>0</v>
      </c>
    </row>
    <row r="1754" spans="1:9" customFormat="1" x14ac:dyDescent="0.35">
      <c r="A1754" s="63">
        <f t="shared" si="55"/>
        <v>1753</v>
      </c>
      <c r="B1754" s="54" t="s">
        <v>4353</v>
      </c>
      <c r="C1754" s="55" t="s">
        <v>4354</v>
      </c>
      <c r="D1754" s="54" t="s">
        <v>4338</v>
      </c>
      <c r="E1754" s="56">
        <v>0</v>
      </c>
      <c r="F1754" s="57" t="s">
        <v>792</v>
      </c>
      <c r="G1754" s="58">
        <v>0</v>
      </c>
      <c r="H1754" s="59">
        <v>18225</v>
      </c>
      <c r="I1754" s="59">
        <f t="shared" si="54"/>
        <v>0</v>
      </c>
    </row>
    <row r="1755" spans="1:9" customFormat="1" x14ac:dyDescent="0.35">
      <c r="A1755" s="63">
        <f t="shared" si="55"/>
        <v>1754</v>
      </c>
      <c r="B1755" s="54" t="s">
        <v>4355</v>
      </c>
      <c r="C1755" s="55" t="s">
        <v>4356</v>
      </c>
      <c r="D1755" s="54" t="s">
        <v>4338</v>
      </c>
      <c r="E1755" s="56">
        <v>0</v>
      </c>
      <c r="F1755" s="57" t="s">
        <v>792</v>
      </c>
      <c r="G1755" s="58">
        <v>0</v>
      </c>
      <c r="H1755" s="59">
        <v>20250</v>
      </c>
      <c r="I1755" s="59">
        <f t="shared" si="54"/>
        <v>0</v>
      </c>
    </row>
    <row r="1756" spans="1:9" customFormat="1" x14ac:dyDescent="0.35">
      <c r="A1756" s="63">
        <f t="shared" si="55"/>
        <v>1755</v>
      </c>
      <c r="B1756" s="54" t="s">
        <v>4357</v>
      </c>
      <c r="C1756" s="55" t="s">
        <v>4358</v>
      </c>
      <c r="D1756" s="54" t="s">
        <v>4338</v>
      </c>
      <c r="E1756" s="56">
        <v>0</v>
      </c>
      <c r="F1756" s="57" t="s">
        <v>792</v>
      </c>
      <c r="G1756" s="58">
        <v>0</v>
      </c>
      <c r="H1756" s="59">
        <v>26325</v>
      </c>
      <c r="I1756" s="59">
        <f t="shared" si="54"/>
        <v>0</v>
      </c>
    </row>
    <row r="1757" spans="1:9" customFormat="1" x14ac:dyDescent="0.35">
      <c r="A1757" s="63">
        <f t="shared" si="55"/>
        <v>1756</v>
      </c>
      <c r="B1757" s="54" t="s">
        <v>4359</v>
      </c>
      <c r="C1757" s="55" t="s">
        <v>4360</v>
      </c>
      <c r="D1757" s="54" t="s">
        <v>4338</v>
      </c>
      <c r="E1757" s="56">
        <v>0</v>
      </c>
      <c r="F1757" s="57" t="s">
        <v>844</v>
      </c>
      <c r="G1757" s="58">
        <v>2257030</v>
      </c>
      <c r="H1757" s="59">
        <v>2690000</v>
      </c>
      <c r="I1757" s="59">
        <f t="shared" si="54"/>
        <v>0</v>
      </c>
    </row>
    <row r="1758" spans="1:9" customFormat="1" ht="23" x14ac:dyDescent="0.35">
      <c r="A1758" s="63">
        <f t="shared" si="55"/>
        <v>1757</v>
      </c>
      <c r="B1758" s="54" t="s">
        <v>4361</v>
      </c>
      <c r="C1758" s="55" t="s">
        <v>4362</v>
      </c>
      <c r="D1758" s="54" t="s">
        <v>4338</v>
      </c>
      <c r="E1758" s="56">
        <v>0</v>
      </c>
      <c r="F1758" s="57" t="s">
        <v>792</v>
      </c>
      <c r="G1758" s="58">
        <v>0</v>
      </c>
      <c r="H1758" s="59">
        <v>45225</v>
      </c>
      <c r="I1758" s="59">
        <f t="shared" si="54"/>
        <v>0</v>
      </c>
    </row>
    <row r="1759" spans="1:9" customFormat="1" ht="23" x14ac:dyDescent="0.35">
      <c r="A1759" s="63">
        <f t="shared" si="55"/>
        <v>1758</v>
      </c>
      <c r="B1759" s="54" t="s">
        <v>4363</v>
      </c>
      <c r="C1759" s="55" t="s">
        <v>4364</v>
      </c>
      <c r="D1759" s="54" t="s">
        <v>4338</v>
      </c>
      <c r="E1759" s="56">
        <v>0</v>
      </c>
      <c r="F1759" s="57" t="s">
        <v>792</v>
      </c>
      <c r="G1759" s="58">
        <v>0</v>
      </c>
      <c r="H1759" s="59">
        <v>45225</v>
      </c>
      <c r="I1759" s="59">
        <f t="shared" si="54"/>
        <v>0</v>
      </c>
    </row>
    <row r="1760" spans="1:9" customFormat="1" ht="23" x14ac:dyDescent="0.35">
      <c r="A1760" s="63">
        <f t="shared" si="55"/>
        <v>1759</v>
      </c>
      <c r="B1760" s="54" t="s">
        <v>4365</v>
      </c>
      <c r="C1760" s="55" t="s">
        <v>4366</v>
      </c>
      <c r="D1760" s="54" t="s">
        <v>4338</v>
      </c>
      <c r="E1760" s="56">
        <v>0</v>
      </c>
      <c r="F1760" s="57" t="s">
        <v>792</v>
      </c>
      <c r="G1760" s="58">
        <v>0</v>
      </c>
      <c r="H1760" s="59">
        <v>514500</v>
      </c>
      <c r="I1760" s="59">
        <f t="shared" si="54"/>
        <v>0</v>
      </c>
    </row>
    <row r="1761" spans="1:9" customFormat="1" x14ac:dyDescent="0.35">
      <c r="A1761" s="63">
        <f t="shared" si="55"/>
        <v>1760</v>
      </c>
      <c r="B1761" s="54" t="s">
        <v>4367</v>
      </c>
      <c r="C1761" s="55" t="s">
        <v>4368</v>
      </c>
      <c r="D1761" s="54" t="s">
        <v>4338</v>
      </c>
      <c r="E1761" s="56">
        <v>0</v>
      </c>
      <c r="F1761" s="57" t="s">
        <v>792</v>
      </c>
      <c r="G1761" s="58">
        <v>0</v>
      </c>
      <c r="H1761" s="59">
        <v>50625</v>
      </c>
      <c r="I1761" s="59">
        <f t="shared" si="54"/>
        <v>0</v>
      </c>
    </row>
    <row r="1762" spans="1:9" customFormat="1" x14ac:dyDescent="0.35">
      <c r="A1762" s="63">
        <f t="shared" si="55"/>
        <v>1761</v>
      </c>
      <c r="B1762" s="54" t="s">
        <v>4369</v>
      </c>
      <c r="C1762" s="55" t="s">
        <v>4370</v>
      </c>
      <c r="D1762" s="54" t="s">
        <v>4338</v>
      </c>
      <c r="E1762" s="56">
        <v>0</v>
      </c>
      <c r="F1762" s="57" t="s">
        <v>792</v>
      </c>
      <c r="G1762" s="58">
        <v>97500</v>
      </c>
      <c r="H1762" s="59">
        <v>132300</v>
      </c>
      <c r="I1762" s="59">
        <f t="shared" si="54"/>
        <v>0</v>
      </c>
    </row>
    <row r="1763" spans="1:9" customFormat="1" x14ac:dyDescent="0.35">
      <c r="A1763" s="63">
        <f t="shared" si="55"/>
        <v>1762</v>
      </c>
      <c r="B1763" s="54" t="s">
        <v>4371</v>
      </c>
      <c r="C1763" s="55" t="s">
        <v>4372</v>
      </c>
      <c r="D1763" s="54" t="s">
        <v>4338</v>
      </c>
      <c r="E1763" s="92">
        <v>1</v>
      </c>
      <c r="F1763" s="57" t="s">
        <v>994</v>
      </c>
      <c r="G1763" s="58">
        <v>575000</v>
      </c>
      <c r="H1763" s="59">
        <v>575000</v>
      </c>
      <c r="I1763" s="59">
        <f t="shared" si="54"/>
        <v>575000</v>
      </c>
    </row>
    <row r="1764" spans="1:9" customFormat="1" x14ac:dyDescent="0.35">
      <c r="A1764" s="63">
        <f t="shared" si="55"/>
        <v>1763</v>
      </c>
      <c r="B1764" s="54" t="s">
        <v>4373</v>
      </c>
      <c r="C1764" s="55" t="s">
        <v>4374</v>
      </c>
      <c r="D1764" s="54" t="s">
        <v>4375</v>
      </c>
      <c r="E1764" s="56">
        <v>0</v>
      </c>
      <c r="F1764" s="57" t="s">
        <v>4376</v>
      </c>
      <c r="G1764" s="58">
        <v>0</v>
      </c>
      <c r="H1764" s="59">
        <v>930000</v>
      </c>
      <c r="I1764" s="59">
        <f t="shared" si="54"/>
        <v>0</v>
      </c>
    </row>
    <row r="1765" spans="1:9" customFormat="1" x14ac:dyDescent="0.35">
      <c r="A1765" s="63">
        <f t="shared" si="55"/>
        <v>1764</v>
      </c>
      <c r="B1765" s="54" t="s">
        <v>4377</v>
      </c>
      <c r="C1765" s="55" t="s">
        <v>4378</v>
      </c>
      <c r="D1765" s="54" t="s">
        <v>4375</v>
      </c>
      <c r="E1765" s="56">
        <v>0</v>
      </c>
      <c r="F1765" s="57" t="s">
        <v>815</v>
      </c>
      <c r="G1765" s="58">
        <v>0</v>
      </c>
      <c r="H1765" s="59">
        <v>1800000</v>
      </c>
      <c r="I1765" s="59">
        <f t="shared" si="54"/>
        <v>0</v>
      </c>
    </row>
    <row r="1766" spans="1:9" customFormat="1" x14ac:dyDescent="0.35">
      <c r="A1766" s="63">
        <f t="shared" si="55"/>
        <v>1765</v>
      </c>
      <c r="B1766" s="54" t="s">
        <v>4379</v>
      </c>
      <c r="C1766" s="55" t="s">
        <v>4380</v>
      </c>
      <c r="D1766" s="54" t="s">
        <v>4375</v>
      </c>
      <c r="E1766" s="56">
        <v>0</v>
      </c>
      <c r="F1766" s="57" t="s">
        <v>792</v>
      </c>
      <c r="G1766" s="58">
        <v>353000</v>
      </c>
      <c r="H1766" s="59">
        <v>453000</v>
      </c>
      <c r="I1766" s="59">
        <f t="shared" si="54"/>
        <v>0</v>
      </c>
    </row>
    <row r="1767" spans="1:9" customFormat="1" x14ac:dyDescent="0.35">
      <c r="A1767" s="63">
        <f t="shared" si="55"/>
        <v>1766</v>
      </c>
      <c r="B1767" s="54" t="s">
        <v>4381</v>
      </c>
      <c r="C1767" s="55" t="s">
        <v>4382</v>
      </c>
      <c r="D1767" s="54" t="s">
        <v>4375</v>
      </c>
      <c r="E1767" s="56">
        <v>0</v>
      </c>
      <c r="F1767" s="57" t="s">
        <v>792</v>
      </c>
      <c r="G1767" s="58">
        <v>270000</v>
      </c>
      <c r="H1767" s="59">
        <v>270000</v>
      </c>
      <c r="I1767" s="59">
        <f t="shared" si="54"/>
        <v>0</v>
      </c>
    </row>
    <row r="1768" spans="1:9" customFormat="1" x14ac:dyDescent="0.35">
      <c r="A1768" s="63">
        <f t="shared" si="55"/>
        <v>1767</v>
      </c>
      <c r="B1768" s="54" t="s">
        <v>4383</v>
      </c>
      <c r="C1768" s="55" t="s">
        <v>4384</v>
      </c>
      <c r="D1768" s="54" t="s">
        <v>4375</v>
      </c>
      <c r="E1768" s="92">
        <v>10</v>
      </c>
      <c r="F1768" s="57" t="s">
        <v>792</v>
      </c>
      <c r="G1768" s="58">
        <v>280000</v>
      </c>
      <c r="H1768" s="59">
        <v>327000</v>
      </c>
      <c r="I1768" s="59">
        <f t="shared" si="54"/>
        <v>3270000</v>
      </c>
    </row>
    <row r="1769" spans="1:9" customFormat="1" x14ac:dyDescent="0.35">
      <c r="A1769" s="63">
        <f t="shared" si="55"/>
        <v>1768</v>
      </c>
      <c r="B1769" s="54" t="s">
        <v>4385</v>
      </c>
      <c r="C1769" s="55" t="s">
        <v>4386</v>
      </c>
      <c r="D1769" s="54" t="s">
        <v>4387</v>
      </c>
      <c r="E1769" s="56">
        <v>0</v>
      </c>
      <c r="F1769" s="57" t="s">
        <v>792</v>
      </c>
      <c r="G1769" s="58">
        <v>1900000</v>
      </c>
      <c r="H1769" s="59">
        <v>1900000</v>
      </c>
      <c r="I1769" s="59">
        <f t="shared" si="54"/>
        <v>0</v>
      </c>
    </row>
    <row r="1770" spans="1:9" customFormat="1" x14ac:dyDescent="0.35">
      <c r="A1770" s="63">
        <f t="shared" si="55"/>
        <v>1769</v>
      </c>
      <c r="B1770" s="54" t="s">
        <v>4388</v>
      </c>
      <c r="C1770" s="55" t="s">
        <v>4389</v>
      </c>
      <c r="D1770" s="54" t="s">
        <v>4387</v>
      </c>
      <c r="E1770" s="56">
        <v>0</v>
      </c>
      <c r="F1770" s="57" t="s">
        <v>792</v>
      </c>
      <c r="G1770" s="58">
        <v>17100</v>
      </c>
      <c r="H1770" s="59">
        <v>17100</v>
      </c>
      <c r="I1770" s="59">
        <f t="shared" si="54"/>
        <v>0</v>
      </c>
    </row>
    <row r="1771" spans="1:9" customFormat="1" ht="23" x14ac:dyDescent="0.35">
      <c r="A1771" s="63">
        <f t="shared" si="55"/>
        <v>1770</v>
      </c>
      <c r="B1771" s="54" t="s">
        <v>4390</v>
      </c>
      <c r="C1771" s="55" t="s">
        <v>4391</v>
      </c>
      <c r="D1771" s="54" t="s">
        <v>4387</v>
      </c>
      <c r="E1771" s="56">
        <v>0</v>
      </c>
      <c r="F1771" s="57" t="s">
        <v>878</v>
      </c>
      <c r="G1771" s="58">
        <v>1300000</v>
      </c>
      <c r="H1771" s="59">
        <v>1300000</v>
      </c>
      <c r="I1771" s="59">
        <f t="shared" si="54"/>
        <v>0</v>
      </c>
    </row>
    <row r="1772" spans="1:9" customFormat="1" x14ac:dyDescent="0.35">
      <c r="A1772" s="63">
        <f t="shared" si="55"/>
        <v>1771</v>
      </c>
      <c r="B1772" s="54" t="s">
        <v>4392</v>
      </c>
      <c r="C1772" s="55" t="s">
        <v>4393</v>
      </c>
      <c r="D1772" s="54" t="s">
        <v>4387</v>
      </c>
      <c r="E1772" s="56">
        <v>0</v>
      </c>
      <c r="F1772" s="57" t="s">
        <v>1217</v>
      </c>
      <c r="G1772" s="58">
        <v>115000</v>
      </c>
      <c r="H1772" s="59">
        <v>172500</v>
      </c>
      <c r="I1772" s="59">
        <f t="shared" si="54"/>
        <v>0</v>
      </c>
    </row>
    <row r="1773" spans="1:9" customFormat="1" x14ac:dyDescent="0.35">
      <c r="A1773" s="63">
        <f t="shared" si="55"/>
        <v>1772</v>
      </c>
      <c r="B1773" s="54" t="s">
        <v>4394</v>
      </c>
      <c r="C1773" s="55" t="s">
        <v>4395</v>
      </c>
      <c r="D1773" s="54" t="s">
        <v>4387</v>
      </c>
      <c r="E1773" s="56">
        <v>0</v>
      </c>
      <c r="F1773" s="57" t="s">
        <v>4376</v>
      </c>
      <c r="G1773" s="58">
        <v>1080000</v>
      </c>
      <c r="H1773" s="59">
        <v>1080000</v>
      </c>
      <c r="I1773" s="59">
        <f t="shared" si="54"/>
        <v>0</v>
      </c>
    </row>
    <row r="1774" spans="1:9" customFormat="1" x14ac:dyDescent="0.35">
      <c r="A1774" s="63">
        <f t="shared" si="55"/>
        <v>1773</v>
      </c>
      <c r="B1774" s="54" t="s">
        <v>4396</v>
      </c>
      <c r="C1774" s="55" t="s">
        <v>4397</v>
      </c>
      <c r="D1774" s="54" t="s">
        <v>4387</v>
      </c>
      <c r="E1774" s="56">
        <v>0</v>
      </c>
      <c r="F1774" s="57" t="s">
        <v>792</v>
      </c>
      <c r="G1774" s="58">
        <v>3000</v>
      </c>
      <c r="H1774" s="59">
        <v>3000</v>
      </c>
      <c r="I1774" s="59">
        <f t="shared" si="54"/>
        <v>0</v>
      </c>
    </row>
    <row r="1775" spans="1:9" customFormat="1" ht="23" x14ac:dyDescent="0.35">
      <c r="A1775" s="63">
        <f t="shared" si="55"/>
        <v>1774</v>
      </c>
      <c r="B1775" s="54" t="s">
        <v>4398</v>
      </c>
      <c r="C1775" s="55" t="s">
        <v>4399</v>
      </c>
      <c r="D1775" s="54" t="s">
        <v>4387</v>
      </c>
      <c r="E1775" s="56">
        <v>0</v>
      </c>
      <c r="F1775" s="57" t="s">
        <v>792</v>
      </c>
      <c r="G1775" s="58">
        <v>585000</v>
      </c>
      <c r="H1775" s="59">
        <v>585000</v>
      </c>
      <c r="I1775" s="59">
        <f t="shared" si="54"/>
        <v>0</v>
      </c>
    </row>
    <row r="1776" spans="1:9" customFormat="1" x14ac:dyDescent="0.35">
      <c r="A1776" s="63">
        <f t="shared" si="55"/>
        <v>1775</v>
      </c>
      <c r="B1776" s="54" t="s">
        <v>4400</v>
      </c>
      <c r="C1776" s="55" t="s">
        <v>4401</v>
      </c>
      <c r="D1776" s="54" t="s">
        <v>4387</v>
      </c>
      <c r="E1776" s="56">
        <v>0</v>
      </c>
      <c r="F1776" s="57" t="s">
        <v>792</v>
      </c>
      <c r="G1776" s="58">
        <v>31474</v>
      </c>
      <c r="H1776" s="59">
        <v>31474</v>
      </c>
      <c r="I1776" s="59">
        <f t="shared" si="54"/>
        <v>0</v>
      </c>
    </row>
    <row r="1777" spans="1:9" customFormat="1" ht="34.5" x14ac:dyDescent="0.35">
      <c r="A1777" s="63">
        <f t="shared" si="55"/>
        <v>1776</v>
      </c>
      <c r="B1777" s="54" t="s">
        <v>4402</v>
      </c>
      <c r="C1777" s="55" t="s">
        <v>4403</v>
      </c>
      <c r="D1777" s="54" t="s">
        <v>4387</v>
      </c>
      <c r="E1777" s="56">
        <v>0</v>
      </c>
      <c r="F1777" s="57" t="s">
        <v>844</v>
      </c>
      <c r="G1777" s="58">
        <v>701000</v>
      </c>
      <c r="H1777" s="59">
        <v>701000</v>
      </c>
      <c r="I1777" s="59">
        <f t="shared" si="54"/>
        <v>0</v>
      </c>
    </row>
    <row r="1778" spans="1:9" customFormat="1" x14ac:dyDescent="0.35">
      <c r="A1778" s="63">
        <f t="shared" si="55"/>
        <v>1777</v>
      </c>
      <c r="B1778" s="54" t="s">
        <v>4404</v>
      </c>
      <c r="C1778" s="55" t="s">
        <v>4405</v>
      </c>
      <c r="D1778" s="54" t="s">
        <v>4387</v>
      </c>
      <c r="E1778" s="56">
        <v>0</v>
      </c>
      <c r="F1778" s="57" t="s">
        <v>792</v>
      </c>
      <c r="G1778" s="58">
        <v>65000</v>
      </c>
      <c r="H1778" s="59">
        <v>65000</v>
      </c>
      <c r="I1778" s="59">
        <f t="shared" si="54"/>
        <v>0</v>
      </c>
    </row>
    <row r="1779" spans="1:9" customFormat="1" x14ac:dyDescent="0.35">
      <c r="A1779" s="63">
        <f t="shared" si="55"/>
        <v>1778</v>
      </c>
      <c r="B1779" s="54" t="s">
        <v>4406</v>
      </c>
      <c r="C1779" s="55" t="s">
        <v>4407</v>
      </c>
      <c r="D1779" s="54" t="s">
        <v>4387</v>
      </c>
      <c r="E1779" s="56">
        <v>0</v>
      </c>
      <c r="F1779" s="57" t="s">
        <v>844</v>
      </c>
      <c r="G1779" s="58">
        <v>393850</v>
      </c>
      <c r="H1779" s="59">
        <v>393850</v>
      </c>
      <c r="I1779" s="59">
        <f t="shared" si="54"/>
        <v>0</v>
      </c>
    </row>
    <row r="1780" spans="1:9" customFormat="1" x14ac:dyDescent="0.35">
      <c r="A1780" s="63">
        <f t="shared" si="55"/>
        <v>1779</v>
      </c>
      <c r="B1780" s="54" t="s">
        <v>4408</v>
      </c>
      <c r="C1780" s="55" t="s">
        <v>4409</v>
      </c>
      <c r="D1780" s="54" t="s">
        <v>4387</v>
      </c>
      <c r="E1780" s="56">
        <v>0</v>
      </c>
      <c r="F1780" s="57" t="s">
        <v>792</v>
      </c>
      <c r="G1780" s="58">
        <v>36000</v>
      </c>
      <c r="H1780" s="59">
        <v>55500</v>
      </c>
      <c r="I1780" s="59">
        <f t="shared" si="54"/>
        <v>0</v>
      </c>
    </row>
    <row r="1781" spans="1:9" customFormat="1" x14ac:dyDescent="0.35">
      <c r="A1781" s="63">
        <f t="shared" si="55"/>
        <v>1780</v>
      </c>
      <c r="B1781" s="54" t="s">
        <v>4410</v>
      </c>
      <c r="C1781" s="55" t="s">
        <v>4411</v>
      </c>
      <c r="D1781" s="54" t="s">
        <v>4387</v>
      </c>
      <c r="E1781" s="56">
        <v>0</v>
      </c>
      <c r="F1781" s="57" t="s">
        <v>792</v>
      </c>
      <c r="G1781" s="58">
        <v>0</v>
      </c>
      <c r="H1781" s="59">
        <v>0</v>
      </c>
      <c r="I1781" s="59">
        <f t="shared" si="54"/>
        <v>0</v>
      </c>
    </row>
    <row r="1782" spans="1:9" customFormat="1" x14ac:dyDescent="0.35">
      <c r="A1782" s="63">
        <f t="shared" si="55"/>
        <v>1781</v>
      </c>
      <c r="B1782" s="54" t="s">
        <v>4412</v>
      </c>
      <c r="C1782" s="55" t="s">
        <v>4413</v>
      </c>
      <c r="D1782" s="54" t="s">
        <v>4387</v>
      </c>
      <c r="E1782" s="56">
        <v>0</v>
      </c>
      <c r="F1782" s="57" t="s">
        <v>792</v>
      </c>
      <c r="G1782" s="58">
        <v>0</v>
      </c>
      <c r="H1782" s="59">
        <v>0</v>
      </c>
      <c r="I1782" s="59">
        <f t="shared" si="54"/>
        <v>0</v>
      </c>
    </row>
    <row r="1783" spans="1:9" customFormat="1" x14ac:dyDescent="0.35">
      <c r="A1783" s="63">
        <f t="shared" si="55"/>
        <v>1782</v>
      </c>
      <c r="B1783" s="54" t="s">
        <v>4414</v>
      </c>
      <c r="C1783" s="55" t="s">
        <v>4415</v>
      </c>
      <c r="D1783" s="54" t="s">
        <v>4387</v>
      </c>
      <c r="E1783" s="56">
        <v>0</v>
      </c>
      <c r="F1783" s="57" t="s">
        <v>977</v>
      </c>
      <c r="G1783" s="58">
        <v>98600</v>
      </c>
      <c r="H1783" s="59">
        <v>98600</v>
      </c>
      <c r="I1783" s="59">
        <f t="shared" si="54"/>
        <v>0</v>
      </c>
    </row>
    <row r="1784" spans="1:9" customFormat="1" x14ac:dyDescent="0.35">
      <c r="A1784" s="63">
        <f t="shared" si="55"/>
        <v>1783</v>
      </c>
      <c r="B1784" s="54" t="s">
        <v>4416</v>
      </c>
      <c r="C1784" s="55" t="s">
        <v>4417</v>
      </c>
      <c r="D1784" s="54" t="s">
        <v>4387</v>
      </c>
      <c r="E1784" s="56">
        <v>0</v>
      </c>
      <c r="F1784" s="57" t="s">
        <v>792</v>
      </c>
      <c r="G1784" s="58">
        <v>0</v>
      </c>
      <c r="H1784" s="59">
        <v>0</v>
      </c>
      <c r="I1784" s="59">
        <f t="shared" si="54"/>
        <v>0</v>
      </c>
    </row>
    <row r="1785" spans="1:9" customFormat="1" x14ac:dyDescent="0.35">
      <c r="A1785" s="63">
        <f t="shared" si="55"/>
        <v>1784</v>
      </c>
      <c r="B1785" s="54" t="s">
        <v>4418</v>
      </c>
      <c r="C1785" s="55" t="s">
        <v>4419</v>
      </c>
      <c r="D1785" s="54" t="s">
        <v>4387</v>
      </c>
      <c r="E1785" s="56">
        <v>0</v>
      </c>
      <c r="F1785" s="57" t="s">
        <v>792</v>
      </c>
      <c r="G1785" s="58">
        <v>0</v>
      </c>
      <c r="H1785" s="59">
        <v>0</v>
      </c>
      <c r="I1785" s="59">
        <f t="shared" si="54"/>
        <v>0</v>
      </c>
    </row>
    <row r="1786" spans="1:9" customFormat="1" x14ac:dyDescent="0.35">
      <c r="A1786" s="63">
        <f t="shared" si="55"/>
        <v>1785</v>
      </c>
      <c r="B1786" s="54" t="s">
        <v>4420</v>
      </c>
      <c r="C1786" s="55" t="s">
        <v>4421</v>
      </c>
      <c r="D1786" s="54" t="s">
        <v>4387</v>
      </c>
      <c r="E1786" s="56">
        <v>0</v>
      </c>
      <c r="F1786" s="57" t="s">
        <v>792</v>
      </c>
      <c r="G1786" s="58">
        <v>0</v>
      </c>
      <c r="H1786" s="59">
        <v>0</v>
      </c>
      <c r="I1786" s="59">
        <f t="shared" si="54"/>
        <v>0</v>
      </c>
    </row>
    <row r="1787" spans="1:9" customFormat="1" x14ac:dyDescent="0.35">
      <c r="A1787" s="63">
        <f t="shared" si="55"/>
        <v>1786</v>
      </c>
      <c r="B1787" s="54" t="s">
        <v>4422</v>
      </c>
      <c r="C1787" s="55" t="s">
        <v>4423</v>
      </c>
      <c r="D1787" s="54" t="s">
        <v>4387</v>
      </c>
      <c r="E1787" s="56">
        <v>0</v>
      </c>
      <c r="F1787" s="57" t="s">
        <v>792</v>
      </c>
      <c r="G1787" s="58">
        <v>0</v>
      </c>
      <c r="H1787" s="59">
        <v>0</v>
      </c>
      <c r="I1787" s="59">
        <f t="shared" si="54"/>
        <v>0</v>
      </c>
    </row>
    <row r="1788" spans="1:9" customFormat="1" x14ac:dyDescent="0.35">
      <c r="A1788" s="63">
        <f t="shared" si="55"/>
        <v>1787</v>
      </c>
      <c r="B1788" s="54" t="s">
        <v>4424</v>
      </c>
      <c r="C1788" s="55" t="s">
        <v>4425</v>
      </c>
      <c r="D1788" s="54" t="s">
        <v>4387</v>
      </c>
      <c r="E1788" s="56">
        <v>0</v>
      </c>
      <c r="F1788" s="57" t="s">
        <v>792</v>
      </c>
      <c r="G1788" s="58">
        <v>36000</v>
      </c>
      <c r="H1788" s="59">
        <v>36000</v>
      </c>
      <c r="I1788" s="59">
        <f t="shared" si="54"/>
        <v>0</v>
      </c>
    </row>
    <row r="1789" spans="1:9" customFormat="1" x14ac:dyDescent="0.35">
      <c r="A1789" s="63">
        <f t="shared" si="55"/>
        <v>1788</v>
      </c>
      <c r="B1789" s="54" t="s">
        <v>4426</v>
      </c>
      <c r="C1789" s="55" t="s">
        <v>4427</v>
      </c>
      <c r="D1789" s="54" t="s">
        <v>4387</v>
      </c>
      <c r="E1789" s="56">
        <v>0</v>
      </c>
      <c r="F1789" s="57" t="s">
        <v>815</v>
      </c>
      <c r="G1789" s="58">
        <v>0</v>
      </c>
      <c r="H1789" s="59">
        <v>42000</v>
      </c>
      <c r="I1789" s="59">
        <f t="shared" si="54"/>
        <v>0</v>
      </c>
    </row>
    <row r="1790" spans="1:9" customFormat="1" x14ac:dyDescent="0.35">
      <c r="A1790" s="63">
        <f t="shared" si="55"/>
        <v>1789</v>
      </c>
      <c r="B1790" s="54" t="s">
        <v>4428</v>
      </c>
      <c r="C1790" s="55" t="s">
        <v>4429</v>
      </c>
      <c r="D1790" s="54" t="s">
        <v>4387</v>
      </c>
      <c r="E1790" s="56">
        <v>0</v>
      </c>
      <c r="F1790" s="57" t="s">
        <v>792</v>
      </c>
      <c r="G1790" s="58">
        <v>650000</v>
      </c>
      <c r="H1790" s="59">
        <v>975000</v>
      </c>
      <c r="I1790" s="59">
        <f t="shared" si="54"/>
        <v>0</v>
      </c>
    </row>
    <row r="1791" spans="1:9" customFormat="1" x14ac:dyDescent="0.35">
      <c r="A1791" s="63">
        <f t="shared" si="55"/>
        <v>1790</v>
      </c>
      <c r="B1791" s="54" t="s">
        <v>4430</v>
      </c>
      <c r="C1791" s="55" t="s">
        <v>4431</v>
      </c>
      <c r="D1791" s="54" t="s">
        <v>4387</v>
      </c>
      <c r="E1791" s="56">
        <v>0</v>
      </c>
      <c r="F1791" s="57" t="s">
        <v>870</v>
      </c>
      <c r="G1791" s="58">
        <v>7000</v>
      </c>
      <c r="H1791" s="59">
        <v>7000</v>
      </c>
      <c r="I1791" s="59">
        <f t="shared" si="54"/>
        <v>0</v>
      </c>
    </row>
    <row r="1792" spans="1:9" customFormat="1" x14ac:dyDescent="0.35">
      <c r="A1792" s="63">
        <f t="shared" si="55"/>
        <v>1791</v>
      </c>
      <c r="B1792" s="54" t="s">
        <v>4432</v>
      </c>
      <c r="C1792" s="55" t="s">
        <v>4433</v>
      </c>
      <c r="D1792" s="54" t="s">
        <v>4387</v>
      </c>
      <c r="E1792" s="56">
        <v>0</v>
      </c>
      <c r="F1792" s="57" t="s">
        <v>870</v>
      </c>
      <c r="G1792" s="58">
        <v>7000</v>
      </c>
      <c r="H1792" s="59">
        <v>7000</v>
      </c>
      <c r="I1792" s="59">
        <f t="shared" si="54"/>
        <v>0</v>
      </c>
    </row>
    <row r="1793" spans="1:9" customFormat="1" x14ac:dyDescent="0.35">
      <c r="A1793" s="63">
        <f t="shared" si="55"/>
        <v>1792</v>
      </c>
      <c r="B1793" s="54" t="s">
        <v>4434</v>
      </c>
      <c r="C1793" s="55" t="s">
        <v>4435</v>
      </c>
      <c r="D1793" s="54" t="s">
        <v>4387</v>
      </c>
      <c r="E1793" s="56">
        <v>0</v>
      </c>
      <c r="F1793" s="57" t="s">
        <v>815</v>
      </c>
      <c r="G1793" s="58">
        <v>236319</v>
      </c>
      <c r="H1793" s="59">
        <v>258282</v>
      </c>
      <c r="I1793" s="59">
        <f t="shared" si="54"/>
        <v>0</v>
      </c>
    </row>
    <row r="1794" spans="1:9" customFormat="1" x14ac:dyDescent="0.35">
      <c r="A1794" s="63">
        <f t="shared" si="55"/>
        <v>1793</v>
      </c>
      <c r="B1794" s="54" t="s">
        <v>4436</v>
      </c>
      <c r="C1794" s="55" t="s">
        <v>4437</v>
      </c>
      <c r="D1794" s="54" t="s">
        <v>4387</v>
      </c>
      <c r="E1794" s="56">
        <v>0</v>
      </c>
      <c r="F1794" s="57" t="s">
        <v>815</v>
      </c>
      <c r="G1794" s="58">
        <v>236319</v>
      </c>
      <c r="H1794" s="59">
        <v>258282</v>
      </c>
      <c r="I1794" s="59">
        <f t="shared" si="54"/>
        <v>0</v>
      </c>
    </row>
    <row r="1795" spans="1:9" customFormat="1" x14ac:dyDescent="0.35">
      <c r="A1795" s="63">
        <f t="shared" si="55"/>
        <v>1794</v>
      </c>
      <c r="B1795" s="54" t="s">
        <v>4438</v>
      </c>
      <c r="C1795" s="55" t="s">
        <v>4439</v>
      </c>
      <c r="D1795" s="54" t="s">
        <v>4387</v>
      </c>
      <c r="E1795" s="56">
        <v>0</v>
      </c>
      <c r="F1795" s="57" t="s">
        <v>792</v>
      </c>
      <c r="G1795" s="58">
        <v>1358.5</v>
      </c>
      <c r="H1795" s="59">
        <v>3750</v>
      </c>
      <c r="I1795" s="59">
        <f t="shared" ref="I1795:I1858" si="56">H1795*E1795</f>
        <v>0</v>
      </c>
    </row>
    <row r="1796" spans="1:9" customFormat="1" x14ac:dyDescent="0.35">
      <c r="A1796" s="63">
        <f t="shared" ref="A1796:A1859" si="57">A1795+1</f>
        <v>1795</v>
      </c>
      <c r="B1796" s="54" t="s">
        <v>4440</v>
      </c>
      <c r="C1796" s="55" t="s">
        <v>4441</v>
      </c>
      <c r="D1796" s="54" t="s">
        <v>4387</v>
      </c>
      <c r="E1796" s="56">
        <v>0</v>
      </c>
      <c r="F1796" s="57" t="s">
        <v>792</v>
      </c>
      <c r="G1796" s="58">
        <v>16000</v>
      </c>
      <c r="H1796" s="59">
        <v>16000</v>
      </c>
      <c r="I1796" s="59">
        <f t="shared" si="56"/>
        <v>0</v>
      </c>
    </row>
    <row r="1797" spans="1:9" customFormat="1" x14ac:dyDescent="0.35">
      <c r="A1797" s="63">
        <f t="shared" si="57"/>
        <v>1796</v>
      </c>
      <c r="B1797" s="54" t="s">
        <v>4442</v>
      </c>
      <c r="C1797" s="55" t="s">
        <v>4443</v>
      </c>
      <c r="D1797" s="54" t="s">
        <v>4387</v>
      </c>
      <c r="E1797" s="56">
        <v>0</v>
      </c>
      <c r="F1797" s="57" t="s">
        <v>1552</v>
      </c>
      <c r="G1797" s="58">
        <v>114866.67</v>
      </c>
      <c r="H1797" s="59">
        <v>184500</v>
      </c>
      <c r="I1797" s="59">
        <f t="shared" si="56"/>
        <v>0</v>
      </c>
    </row>
    <row r="1798" spans="1:9" customFormat="1" x14ac:dyDescent="0.35">
      <c r="A1798" s="63">
        <f t="shared" si="57"/>
        <v>1797</v>
      </c>
      <c r="B1798" s="54" t="s">
        <v>4444</v>
      </c>
      <c r="C1798" s="55" t="s">
        <v>4445</v>
      </c>
      <c r="D1798" s="54" t="s">
        <v>4387</v>
      </c>
      <c r="E1798" s="56">
        <v>0</v>
      </c>
      <c r="F1798" s="57" t="s">
        <v>792</v>
      </c>
      <c r="G1798" s="58">
        <v>90000</v>
      </c>
      <c r="H1798" s="59">
        <v>91400</v>
      </c>
      <c r="I1798" s="59">
        <f t="shared" si="56"/>
        <v>0</v>
      </c>
    </row>
    <row r="1799" spans="1:9" customFormat="1" ht="23" x14ac:dyDescent="0.35">
      <c r="A1799" s="63">
        <f t="shared" si="57"/>
        <v>1798</v>
      </c>
      <c r="B1799" s="54" t="s">
        <v>4446</v>
      </c>
      <c r="C1799" s="55" t="s">
        <v>4447</v>
      </c>
      <c r="D1799" s="54" t="s">
        <v>4387</v>
      </c>
      <c r="E1799" s="56">
        <v>0</v>
      </c>
      <c r="F1799" s="57" t="s">
        <v>792</v>
      </c>
      <c r="G1799" s="58">
        <v>59900</v>
      </c>
      <c r="H1799" s="59">
        <v>135000</v>
      </c>
      <c r="I1799" s="59">
        <f t="shared" si="56"/>
        <v>0</v>
      </c>
    </row>
    <row r="1800" spans="1:9" customFormat="1" x14ac:dyDescent="0.35">
      <c r="A1800" s="63">
        <f t="shared" si="57"/>
        <v>1799</v>
      </c>
      <c r="B1800" s="54" t="s">
        <v>4448</v>
      </c>
      <c r="C1800" s="55" t="s">
        <v>4449</v>
      </c>
      <c r="D1800" s="54" t="s">
        <v>4387</v>
      </c>
      <c r="E1800" s="56">
        <v>0</v>
      </c>
      <c r="F1800" s="57" t="s">
        <v>1087</v>
      </c>
      <c r="G1800" s="58">
        <v>40250</v>
      </c>
      <c r="H1800" s="59">
        <v>78500</v>
      </c>
      <c r="I1800" s="59">
        <f t="shared" si="56"/>
        <v>0</v>
      </c>
    </row>
    <row r="1801" spans="1:9" customFormat="1" x14ac:dyDescent="0.35">
      <c r="A1801" s="63">
        <f t="shared" si="57"/>
        <v>1800</v>
      </c>
      <c r="B1801" s="54" t="s">
        <v>4450</v>
      </c>
      <c r="C1801" s="55" t="s">
        <v>4451</v>
      </c>
      <c r="D1801" s="54" t="s">
        <v>4387</v>
      </c>
      <c r="E1801" s="56">
        <v>0</v>
      </c>
      <c r="F1801" s="57" t="s">
        <v>792</v>
      </c>
      <c r="G1801" s="58">
        <v>10000</v>
      </c>
      <c r="H1801" s="59">
        <v>37000</v>
      </c>
      <c r="I1801" s="59">
        <f t="shared" si="56"/>
        <v>0</v>
      </c>
    </row>
    <row r="1802" spans="1:9" customFormat="1" x14ac:dyDescent="0.35">
      <c r="A1802" s="63">
        <f t="shared" si="57"/>
        <v>1801</v>
      </c>
      <c r="B1802" s="54" t="s">
        <v>4452</v>
      </c>
      <c r="C1802" s="55" t="s">
        <v>4453</v>
      </c>
      <c r="D1802" s="54" t="s">
        <v>4387</v>
      </c>
      <c r="E1802" s="56">
        <v>0</v>
      </c>
      <c r="F1802" s="57" t="s">
        <v>792</v>
      </c>
      <c r="G1802" s="58">
        <v>45000</v>
      </c>
      <c r="H1802" s="59">
        <v>45000</v>
      </c>
      <c r="I1802" s="59">
        <f t="shared" si="56"/>
        <v>0</v>
      </c>
    </row>
    <row r="1803" spans="1:9" customFormat="1" x14ac:dyDescent="0.35">
      <c r="A1803" s="63">
        <f t="shared" si="57"/>
        <v>1802</v>
      </c>
      <c r="B1803" s="54" t="s">
        <v>4454</v>
      </c>
      <c r="C1803" s="55" t="s">
        <v>4455</v>
      </c>
      <c r="D1803" s="54" t="s">
        <v>4387</v>
      </c>
      <c r="E1803" s="56">
        <v>0</v>
      </c>
      <c r="F1803" s="57" t="s">
        <v>792</v>
      </c>
      <c r="G1803" s="58">
        <v>60000</v>
      </c>
      <c r="H1803" s="59">
        <v>60000</v>
      </c>
      <c r="I1803" s="59">
        <f t="shared" si="56"/>
        <v>0</v>
      </c>
    </row>
    <row r="1804" spans="1:9" customFormat="1" x14ac:dyDescent="0.35">
      <c r="A1804" s="63">
        <f t="shared" si="57"/>
        <v>1803</v>
      </c>
      <c r="B1804" s="54" t="s">
        <v>4456</v>
      </c>
      <c r="C1804" s="55" t="s">
        <v>4457</v>
      </c>
      <c r="D1804" s="54" t="s">
        <v>4387</v>
      </c>
      <c r="E1804" s="56">
        <v>0</v>
      </c>
      <c r="F1804" s="57" t="s">
        <v>792</v>
      </c>
      <c r="G1804" s="58">
        <v>0</v>
      </c>
      <c r="H1804" s="59">
        <v>50000</v>
      </c>
      <c r="I1804" s="59">
        <f t="shared" si="56"/>
        <v>0</v>
      </c>
    </row>
    <row r="1805" spans="1:9" customFormat="1" x14ac:dyDescent="0.35">
      <c r="A1805" s="63">
        <f t="shared" si="57"/>
        <v>1804</v>
      </c>
      <c r="B1805" s="54" t="s">
        <v>4458</v>
      </c>
      <c r="C1805" s="55" t="s">
        <v>4459</v>
      </c>
      <c r="D1805" s="54" t="s">
        <v>4387</v>
      </c>
      <c r="E1805" s="56">
        <v>0</v>
      </c>
      <c r="F1805" s="57" t="s">
        <v>994</v>
      </c>
      <c r="G1805" s="58">
        <v>25000</v>
      </c>
      <c r="H1805" s="59">
        <v>25000</v>
      </c>
      <c r="I1805" s="59">
        <f t="shared" si="56"/>
        <v>0</v>
      </c>
    </row>
    <row r="1806" spans="1:9" customFormat="1" x14ac:dyDescent="0.35">
      <c r="A1806" s="63">
        <f t="shared" si="57"/>
        <v>1805</v>
      </c>
      <c r="B1806" s="54" t="s">
        <v>4460</v>
      </c>
      <c r="C1806" s="55" t="s">
        <v>4461</v>
      </c>
      <c r="D1806" s="54" t="s">
        <v>4387</v>
      </c>
      <c r="E1806" s="56">
        <v>0</v>
      </c>
      <c r="F1806" s="57" t="s">
        <v>844</v>
      </c>
      <c r="G1806" s="58">
        <v>2269000</v>
      </c>
      <c r="H1806" s="59">
        <v>2269000</v>
      </c>
      <c r="I1806" s="59">
        <f t="shared" si="56"/>
        <v>0</v>
      </c>
    </row>
    <row r="1807" spans="1:9" customFormat="1" x14ac:dyDescent="0.35">
      <c r="A1807" s="63">
        <f t="shared" si="57"/>
        <v>1806</v>
      </c>
      <c r="B1807" s="54" t="s">
        <v>4462</v>
      </c>
      <c r="C1807" s="55" t="s">
        <v>4463</v>
      </c>
      <c r="D1807" s="54" t="s">
        <v>4387</v>
      </c>
      <c r="E1807" s="56">
        <v>0</v>
      </c>
      <c r="F1807" s="57" t="s">
        <v>792</v>
      </c>
      <c r="G1807" s="58">
        <v>266810</v>
      </c>
      <c r="H1807" s="59">
        <v>58100</v>
      </c>
      <c r="I1807" s="59">
        <f t="shared" si="56"/>
        <v>0</v>
      </c>
    </row>
    <row r="1808" spans="1:9" customFormat="1" x14ac:dyDescent="0.35">
      <c r="A1808" s="63">
        <f t="shared" si="57"/>
        <v>1807</v>
      </c>
      <c r="B1808" s="54" t="s">
        <v>4464</v>
      </c>
      <c r="C1808" s="55" t="s">
        <v>4465</v>
      </c>
      <c r="D1808" s="54" t="s">
        <v>4387</v>
      </c>
      <c r="E1808" s="56">
        <v>0</v>
      </c>
      <c r="F1808" s="57" t="s">
        <v>792</v>
      </c>
      <c r="G1808" s="58">
        <v>216800</v>
      </c>
      <c r="H1808" s="59">
        <v>319500</v>
      </c>
      <c r="I1808" s="59">
        <f t="shared" si="56"/>
        <v>0</v>
      </c>
    </row>
    <row r="1809" spans="1:9" customFormat="1" x14ac:dyDescent="0.35">
      <c r="A1809" s="63">
        <f t="shared" si="57"/>
        <v>1808</v>
      </c>
      <c r="B1809" s="54" t="s">
        <v>4466</v>
      </c>
      <c r="C1809" s="55" t="s">
        <v>4467</v>
      </c>
      <c r="D1809" s="54" t="s">
        <v>4387</v>
      </c>
      <c r="E1809" s="56">
        <v>0</v>
      </c>
      <c r="F1809" s="57" t="s">
        <v>792</v>
      </c>
      <c r="G1809" s="58">
        <v>34200</v>
      </c>
      <c r="H1809" s="59">
        <v>34200</v>
      </c>
      <c r="I1809" s="59">
        <f t="shared" si="56"/>
        <v>0</v>
      </c>
    </row>
    <row r="1810" spans="1:9" customFormat="1" ht="23" x14ac:dyDescent="0.35">
      <c r="A1810" s="63">
        <f t="shared" si="57"/>
        <v>1809</v>
      </c>
      <c r="B1810" s="54" t="s">
        <v>4468</v>
      </c>
      <c r="C1810" s="55" t="s">
        <v>4469</v>
      </c>
      <c r="D1810" s="54" t="s">
        <v>4387</v>
      </c>
      <c r="E1810" s="56">
        <v>0</v>
      </c>
      <c r="F1810" s="57" t="s">
        <v>792</v>
      </c>
      <c r="G1810" s="58">
        <v>61951</v>
      </c>
      <c r="H1810" s="59">
        <v>61951</v>
      </c>
      <c r="I1810" s="59">
        <f t="shared" si="56"/>
        <v>0</v>
      </c>
    </row>
    <row r="1811" spans="1:9" customFormat="1" ht="23" x14ac:dyDescent="0.35">
      <c r="A1811" s="63">
        <f t="shared" si="57"/>
        <v>1810</v>
      </c>
      <c r="B1811" s="54" t="s">
        <v>4470</v>
      </c>
      <c r="C1811" s="55" t="s">
        <v>4471</v>
      </c>
      <c r="D1811" s="54" t="s">
        <v>4387</v>
      </c>
      <c r="E1811" s="56">
        <v>0</v>
      </c>
      <c r="F1811" s="57" t="s">
        <v>792</v>
      </c>
      <c r="G1811" s="58">
        <v>0</v>
      </c>
      <c r="H1811" s="59">
        <v>412500</v>
      </c>
      <c r="I1811" s="59">
        <f t="shared" si="56"/>
        <v>0</v>
      </c>
    </row>
    <row r="1812" spans="1:9" customFormat="1" x14ac:dyDescent="0.35">
      <c r="A1812" s="63">
        <f t="shared" si="57"/>
        <v>1811</v>
      </c>
      <c r="B1812" s="54" t="s">
        <v>4472</v>
      </c>
      <c r="C1812" s="55" t="s">
        <v>4473</v>
      </c>
      <c r="D1812" s="54" t="s">
        <v>4387</v>
      </c>
      <c r="E1812" s="56">
        <v>0</v>
      </c>
      <c r="F1812" s="57" t="s">
        <v>994</v>
      </c>
      <c r="G1812" s="58">
        <v>0</v>
      </c>
      <c r="H1812" s="59">
        <v>0</v>
      </c>
      <c r="I1812" s="59">
        <f t="shared" si="56"/>
        <v>0</v>
      </c>
    </row>
    <row r="1813" spans="1:9" customFormat="1" x14ac:dyDescent="0.35">
      <c r="A1813" s="63">
        <f t="shared" si="57"/>
        <v>1812</v>
      </c>
      <c r="B1813" s="54" t="s">
        <v>4474</v>
      </c>
      <c r="C1813" s="55" t="s">
        <v>4475</v>
      </c>
      <c r="D1813" s="54" t="s">
        <v>4387</v>
      </c>
      <c r="E1813" s="56">
        <v>0</v>
      </c>
      <c r="F1813" s="57" t="s">
        <v>792</v>
      </c>
      <c r="G1813" s="58">
        <v>0</v>
      </c>
      <c r="H1813" s="59">
        <v>7500</v>
      </c>
      <c r="I1813" s="59">
        <f t="shared" si="56"/>
        <v>0</v>
      </c>
    </row>
    <row r="1814" spans="1:9" customFormat="1" x14ac:dyDescent="0.35">
      <c r="A1814" s="63">
        <f t="shared" si="57"/>
        <v>1813</v>
      </c>
      <c r="B1814" s="54" t="s">
        <v>4476</v>
      </c>
      <c r="C1814" s="55" t="s">
        <v>4477</v>
      </c>
      <c r="D1814" s="54" t="s">
        <v>4387</v>
      </c>
      <c r="E1814" s="56">
        <v>0</v>
      </c>
      <c r="F1814" s="57" t="s">
        <v>792</v>
      </c>
      <c r="G1814" s="58">
        <v>1600</v>
      </c>
      <c r="H1814" s="59">
        <v>1600</v>
      </c>
      <c r="I1814" s="59">
        <f t="shared" si="56"/>
        <v>0</v>
      </c>
    </row>
    <row r="1815" spans="1:9" customFormat="1" x14ac:dyDescent="0.35">
      <c r="A1815" s="63">
        <f t="shared" si="57"/>
        <v>1814</v>
      </c>
      <c r="B1815" s="54" t="s">
        <v>4478</v>
      </c>
      <c r="C1815" s="55" t="s">
        <v>4479</v>
      </c>
      <c r="D1815" s="54" t="s">
        <v>4387</v>
      </c>
      <c r="E1815" s="56">
        <v>0</v>
      </c>
      <c r="F1815" s="57" t="s">
        <v>792</v>
      </c>
      <c r="G1815" s="58">
        <v>4800</v>
      </c>
      <c r="H1815" s="59">
        <v>4800</v>
      </c>
      <c r="I1815" s="59">
        <f t="shared" si="56"/>
        <v>0</v>
      </c>
    </row>
    <row r="1816" spans="1:9" customFormat="1" x14ac:dyDescent="0.35">
      <c r="A1816" s="63">
        <f t="shared" si="57"/>
        <v>1815</v>
      </c>
      <c r="B1816" s="54" t="s">
        <v>4480</v>
      </c>
      <c r="C1816" s="55" t="s">
        <v>4481</v>
      </c>
      <c r="D1816" s="54" t="s">
        <v>4387</v>
      </c>
      <c r="E1816" s="56">
        <v>0</v>
      </c>
      <c r="F1816" s="57" t="s">
        <v>792</v>
      </c>
      <c r="G1816" s="58">
        <v>5300</v>
      </c>
      <c r="H1816" s="59">
        <v>5300</v>
      </c>
      <c r="I1816" s="59">
        <f t="shared" si="56"/>
        <v>0</v>
      </c>
    </row>
    <row r="1817" spans="1:9" customFormat="1" x14ac:dyDescent="0.35">
      <c r="A1817" s="63">
        <f t="shared" si="57"/>
        <v>1816</v>
      </c>
      <c r="B1817" s="54" t="s">
        <v>4482</v>
      </c>
      <c r="C1817" s="55" t="s">
        <v>4483</v>
      </c>
      <c r="D1817" s="54" t="s">
        <v>4387</v>
      </c>
      <c r="E1817" s="56">
        <v>0</v>
      </c>
      <c r="F1817" s="57" t="s">
        <v>792</v>
      </c>
      <c r="G1817" s="58">
        <v>9013</v>
      </c>
      <c r="H1817" s="59">
        <v>14250</v>
      </c>
      <c r="I1817" s="59">
        <f t="shared" si="56"/>
        <v>0</v>
      </c>
    </row>
    <row r="1818" spans="1:9" customFormat="1" x14ac:dyDescent="0.35">
      <c r="A1818" s="63">
        <f t="shared" si="57"/>
        <v>1817</v>
      </c>
      <c r="B1818" s="54" t="s">
        <v>4484</v>
      </c>
      <c r="C1818" s="55" t="s">
        <v>4485</v>
      </c>
      <c r="D1818" s="54" t="s">
        <v>4387</v>
      </c>
      <c r="E1818" s="56">
        <v>0</v>
      </c>
      <c r="F1818" s="57" t="s">
        <v>792</v>
      </c>
      <c r="G1818" s="58">
        <v>1400</v>
      </c>
      <c r="H1818" s="59">
        <v>1400</v>
      </c>
      <c r="I1818" s="59">
        <f t="shared" si="56"/>
        <v>0</v>
      </c>
    </row>
    <row r="1819" spans="1:9" customFormat="1" x14ac:dyDescent="0.35">
      <c r="A1819" s="63">
        <f t="shared" si="57"/>
        <v>1818</v>
      </c>
      <c r="B1819" s="54" t="s">
        <v>4486</v>
      </c>
      <c r="C1819" s="55" t="s">
        <v>4487</v>
      </c>
      <c r="D1819" s="54" t="s">
        <v>4387</v>
      </c>
      <c r="E1819" s="56">
        <v>0</v>
      </c>
      <c r="F1819" s="57" t="s">
        <v>792</v>
      </c>
      <c r="G1819" s="58">
        <v>2586</v>
      </c>
      <c r="H1819" s="59">
        <v>10275</v>
      </c>
      <c r="I1819" s="59">
        <f t="shared" si="56"/>
        <v>0</v>
      </c>
    </row>
    <row r="1820" spans="1:9" customFormat="1" x14ac:dyDescent="0.35">
      <c r="A1820" s="63">
        <f t="shared" si="57"/>
        <v>1819</v>
      </c>
      <c r="B1820" s="54" t="s">
        <v>4488</v>
      </c>
      <c r="C1820" s="55" t="s">
        <v>4489</v>
      </c>
      <c r="D1820" s="54" t="s">
        <v>4387</v>
      </c>
      <c r="E1820" s="56">
        <v>0</v>
      </c>
      <c r="F1820" s="57" t="s">
        <v>792</v>
      </c>
      <c r="G1820" s="58">
        <v>4920</v>
      </c>
      <c r="H1820" s="59">
        <v>4920</v>
      </c>
      <c r="I1820" s="59">
        <f t="shared" si="56"/>
        <v>0</v>
      </c>
    </row>
    <row r="1821" spans="1:9" customFormat="1" x14ac:dyDescent="0.35">
      <c r="A1821" s="63">
        <f t="shared" si="57"/>
        <v>1820</v>
      </c>
      <c r="B1821" s="54" t="s">
        <v>4490</v>
      </c>
      <c r="C1821" s="55" t="s">
        <v>4491</v>
      </c>
      <c r="D1821" s="54" t="s">
        <v>4387</v>
      </c>
      <c r="E1821" s="56">
        <v>0</v>
      </c>
      <c r="F1821" s="57" t="s">
        <v>792</v>
      </c>
      <c r="G1821" s="58">
        <v>1050</v>
      </c>
      <c r="H1821" s="59">
        <v>1050</v>
      </c>
      <c r="I1821" s="59">
        <f t="shared" si="56"/>
        <v>0</v>
      </c>
    </row>
    <row r="1822" spans="1:9" customFormat="1" x14ac:dyDescent="0.35">
      <c r="A1822" s="63">
        <f t="shared" si="57"/>
        <v>1821</v>
      </c>
      <c r="B1822" s="54" t="s">
        <v>4492</v>
      </c>
      <c r="C1822" s="55" t="s">
        <v>4493</v>
      </c>
      <c r="D1822" s="54" t="s">
        <v>4387</v>
      </c>
      <c r="E1822" s="56">
        <v>0</v>
      </c>
      <c r="F1822" s="57" t="s">
        <v>792</v>
      </c>
      <c r="G1822" s="58">
        <v>1100</v>
      </c>
      <c r="H1822" s="59">
        <v>1100</v>
      </c>
      <c r="I1822" s="59">
        <f t="shared" si="56"/>
        <v>0</v>
      </c>
    </row>
    <row r="1823" spans="1:9" customFormat="1" x14ac:dyDescent="0.35">
      <c r="A1823" s="63">
        <f t="shared" si="57"/>
        <v>1822</v>
      </c>
      <c r="B1823" s="54" t="s">
        <v>4494</v>
      </c>
      <c r="C1823" s="55" t="s">
        <v>4495</v>
      </c>
      <c r="D1823" s="54" t="s">
        <v>4387</v>
      </c>
      <c r="E1823" s="56">
        <v>0</v>
      </c>
      <c r="F1823" s="57" t="s">
        <v>792</v>
      </c>
      <c r="G1823" s="58">
        <v>1150</v>
      </c>
      <c r="H1823" s="59">
        <v>1150</v>
      </c>
      <c r="I1823" s="59">
        <f t="shared" si="56"/>
        <v>0</v>
      </c>
    </row>
    <row r="1824" spans="1:9" customFormat="1" x14ac:dyDescent="0.35">
      <c r="A1824" s="63">
        <f t="shared" si="57"/>
        <v>1823</v>
      </c>
      <c r="B1824" s="54" t="s">
        <v>4496</v>
      </c>
      <c r="C1824" s="55" t="s">
        <v>4497</v>
      </c>
      <c r="D1824" s="54" t="s">
        <v>4387</v>
      </c>
      <c r="E1824" s="56">
        <v>0</v>
      </c>
      <c r="F1824" s="57" t="s">
        <v>792</v>
      </c>
      <c r="G1824" s="58">
        <v>400</v>
      </c>
      <c r="H1824" s="59">
        <v>3464</v>
      </c>
      <c r="I1824" s="59">
        <f t="shared" si="56"/>
        <v>0</v>
      </c>
    </row>
    <row r="1825" spans="1:9" customFormat="1" x14ac:dyDescent="0.35">
      <c r="A1825" s="63">
        <f t="shared" si="57"/>
        <v>1824</v>
      </c>
      <c r="B1825" s="54" t="s">
        <v>4498</v>
      </c>
      <c r="C1825" s="55" t="s">
        <v>4499</v>
      </c>
      <c r="D1825" s="54" t="s">
        <v>4387</v>
      </c>
      <c r="E1825" s="56">
        <v>0</v>
      </c>
      <c r="F1825" s="57" t="s">
        <v>792</v>
      </c>
      <c r="G1825" s="58">
        <v>3520</v>
      </c>
      <c r="H1825" s="59">
        <v>3520</v>
      </c>
      <c r="I1825" s="59">
        <f t="shared" si="56"/>
        <v>0</v>
      </c>
    </row>
    <row r="1826" spans="1:9" customFormat="1" x14ac:dyDescent="0.35">
      <c r="A1826" s="63">
        <f t="shared" si="57"/>
        <v>1825</v>
      </c>
      <c r="B1826" s="54" t="s">
        <v>4500</v>
      </c>
      <c r="C1826" s="55" t="s">
        <v>4501</v>
      </c>
      <c r="D1826" s="54" t="s">
        <v>4387</v>
      </c>
      <c r="E1826" s="56">
        <v>0</v>
      </c>
      <c r="F1826" s="57" t="s">
        <v>792</v>
      </c>
      <c r="G1826" s="58">
        <v>3410</v>
      </c>
      <c r="H1826" s="59">
        <v>3410</v>
      </c>
      <c r="I1826" s="59">
        <f t="shared" si="56"/>
        <v>0</v>
      </c>
    </row>
    <row r="1827" spans="1:9" customFormat="1" x14ac:dyDescent="0.35">
      <c r="A1827" s="63">
        <f t="shared" si="57"/>
        <v>1826</v>
      </c>
      <c r="B1827" s="54" t="s">
        <v>4502</v>
      </c>
      <c r="C1827" s="55" t="s">
        <v>4503</v>
      </c>
      <c r="D1827" s="54" t="s">
        <v>4387</v>
      </c>
      <c r="E1827" s="56">
        <v>0</v>
      </c>
      <c r="F1827" s="57" t="s">
        <v>792</v>
      </c>
      <c r="G1827" s="58">
        <v>785</v>
      </c>
      <c r="H1827" s="59">
        <v>785</v>
      </c>
      <c r="I1827" s="59">
        <f t="shared" si="56"/>
        <v>0</v>
      </c>
    </row>
    <row r="1828" spans="1:9" customFormat="1" x14ac:dyDescent="0.35">
      <c r="A1828" s="63">
        <f t="shared" si="57"/>
        <v>1827</v>
      </c>
      <c r="B1828" s="54" t="s">
        <v>4504</v>
      </c>
      <c r="C1828" s="55" t="s">
        <v>4505</v>
      </c>
      <c r="D1828" s="54" t="s">
        <v>4387</v>
      </c>
      <c r="E1828" s="56">
        <v>0</v>
      </c>
      <c r="F1828" s="57" t="s">
        <v>792</v>
      </c>
      <c r="G1828" s="58">
        <v>1250</v>
      </c>
      <c r="H1828" s="59">
        <v>1250</v>
      </c>
      <c r="I1828" s="59">
        <f t="shared" si="56"/>
        <v>0</v>
      </c>
    </row>
    <row r="1829" spans="1:9" customFormat="1" x14ac:dyDescent="0.35">
      <c r="A1829" s="63">
        <f t="shared" si="57"/>
        <v>1828</v>
      </c>
      <c r="B1829" s="54" t="s">
        <v>4506</v>
      </c>
      <c r="C1829" s="55" t="s">
        <v>4507</v>
      </c>
      <c r="D1829" s="54" t="s">
        <v>4387</v>
      </c>
      <c r="E1829" s="56">
        <v>0</v>
      </c>
      <c r="F1829" s="57" t="s">
        <v>792</v>
      </c>
      <c r="G1829" s="58">
        <v>3520</v>
      </c>
      <c r="H1829" s="59">
        <v>3520</v>
      </c>
      <c r="I1829" s="59">
        <f t="shared" si="56"/>
        <v>0</v>
      </c>
    </row>
    <row r="1830" spans="1:9" customFormat="1" x14ac:dyDescent="0.35">
      <c r="A1830" s="63">
        <f t="shared" si="57"/>
        <v>1829</v>
      </c>
      <c r="B1830" s="54" t="s">
        <v>4508</v>
      </c>
      <c r="C1830" s="55" t="s">
        <v>4509</v>
      </c>
      <c r="D1830" s="54" t="s">
        <v>4387</v>
      </c>
      <c r="E1830" s="56">
        <v>0</v>
      </c>
      <c r="F1830" s="57" t="s">
        <v>792</v>
      </c>
      <c r="G1830" s="58">
        <v>2020</v>
      </c>
      <c r="H1830" s="59">
        <v>2020</v>
      </c>
      <c r="I1830" s="59">
        <f t="shared" si="56"/>
        <v>0</v>
      </c>
    </row>
    <row r="1831" spans="1:9" customFormat="1" x14ac:dyDescent="0.35">
      <c r="A1831" s="63">
        <f t="shared" si="57"/>
        <v>1830</v>
      </c>
      <c r="B1831" s="54" t="s">
        <v>4510</v>
      </c>
      <c r="C1831" s="55" t="s">
        <v>4511</v>
      </c>
      <c r="D1831" s="54" t="s">
        <v>4387</v>
      </c>
      <c r="E1831" s="56">
        <v>0</v>
      </c>
      <c r="F1831" s="57" t="s">
        <v>792</v>
      </c>
      <c r="G1831" s="58">
        <v>2050</v>
      </c>
      <c r="H1831" s="59">
        <v>2050</v>
      </c>
      <c r="I1831" s="59">
        <f t="shared" si="56"/>
        <v>0</v>
      </c>
    </row>
    <row r="1832" spans="1:9" customFormat="1" x14ac:dyDescent="0.35">
      <c r="A1832" s="63">
        <f t="shared" si="57"/>
        <v>1831</v>
      </c>
      <c r="B1832" s="54" t="s">
        <v>4512</v>
      </c>
      <c r="C1832" s="55" t="s">
        <v>4513</v>
      </c>
      <c r="D1832" s="54" t="s">
        <v>4387</v>
      </c>
      <c r="E1832" s="56">
        <v>0</v>
      </c>
      <c r="F1832" s="57" t="s">
        <v>792</v>
      </c>
      <c r="G1832" s="58">
        <v>2500</v>
      </c>
      <c r="H1832" s="59">
        <v>2500</v>
      </c>
      <c r="I1832" s="59">
        <f t="shared" si="56"/>
        <v>0</v>
      </c>
    </row>
    <row r="1833" spans="1:9" customFormat="1" x14ac:dyDescent="0.35">
      <c r="A1833" s="63">
        <f t="shared" si="57"/>
        <v>1832</v>
      </c>
      <c r="B1833" s="54" t="s">
        <v>4514</v>
      </c>
      <c r="C1833" s="55" t="s">
        <v>4515</v>
      </c>
      <c r="D1833" s="54" t="s">
        <v>4387</v>
      </c>
      <c r="E1833" s="56">
        <v>0</v>
      </c>
      <c r="F1833" s="57" t="s">
        <v>792</v>
      </c>
      <c r="G1833" s="58">
        <v>3200</v>
      </c>
      <c r="H1833" s="59">
        <v>3200</v>
      </c>
      <c r="I1833" s="59">
        <f t="shared" si="56"/>
        <v>0</v>
      </c>
    </row>
    <row r="1834" spans="1:9" customFormat="1" x14ac:dyDescent="0.35">
      <c r="A1834" s="63">
        <f t="shared" si="57"/>
        <v>1833</v>
      </c>
      <c r="B1834" s="54" t="s">
        <v>4516</v>
      </c>
      <c r="C1834" s="55" t="s">
        <v>4517</v>
      </c>
      <c r="D1834" s="54" t="s">
        <v>4387</v>
      </c>
      <c r="E1834" s="56">
        <v>0</v>
      </c>
      <c r="F1834" s="57" t="s">
        <v>792</v>
      </c>
      <c r="G1834" s="58">
        <v>3650</v>
      </c>
      <c r="H1834" s="59">
        <v>3650</v>
      </c>
      <c r="I1834" s="59">
        <f t="shared" si="56"/>
        <v>0</v>
      </c>
    </row>
    <row r="1835" spans="1:9" customFormat="1" x14ac:dyDescent="0.35">
      <c r="A1835" s="63">
        <f t="shared" si="57"/>
        <v>1834</v>
      </c>
      <c r="B1835" s="54" t="s">
        <v>4518</v>
      </c>
      <c r="C1835" s="55" t="s">
        <v>4519</v>
      </c>
      <c r="D1835" s="54" t="s">
        <v>4387</v>
      </c>
      <c r="E1835" s="56">
        <v>0</v>
      </c>
      <c r="F1835" s="57" t="s">
        <v>792</v>
      </c>
      <c r="G1835" s="58">
        <v>3800</v>
      </c>
      <c r="H1835" s="59">
        <v>3800</v>
      </c>
      <c r="I1835" s="59">
        <f t="shared" si="56"/>
        <v>0</v>
      </c>
    </row>
    <row r="1836" spans="1:9" customFormat="1" x14ac:dyDescent="0.35">
      <c r="A1836" s="63">
        <f t="shared" si="57"/>
        <v>1835</v>
      </c>
      <c r="B1836" s="54" t="s">
        <v>4520</v>
      </c>
      <c r="C1836" s="55" t="s">
        <v>4521</v>
      </c>
      <c r="D1836" s="54" t="s">
        <v>4387</v>
      </c>
      <c r="E1836" s="56">
        <v>0</v>
      </c>
      <c r="F1836" s="57" t="s">
        <v>792</v>
      </c>
      <c r="G1836" s="58">
        <v>3970</v>
      </c>
      <c r="H1836" s="59">
        <v>3970</v>
      </c>
      <c r="I1836" s="59">
        <f t="shared" si="56"/>
        <v>0</v>
      </c>
    </row>
    <row r="1837" spans="1:9" customFormat="1" x14ac:dyDescent="0.35">
      <c r="A1837" s="63">
        <f t="shared" si="57"/>
        <v>1836</v>
      </c>
      <c r="B1837" s="54" t="s">
        <v>4522</v>
      </c>
      <c r="C1837" s="55" t="s">
        <v>4523</v>
      </c>
      <c r="D1837" s="54" t="s">
        <v>4387</v>
      </c>
      <c r="E1837" s="56">
        <v>0</v>
      </c>
      <c r="F1837" s="57" t="s">
        <v>792</v>
      </c>
      <c r="G1837" s="58">
        <v>4260</v>
      </c>
      <c r="H1837" s="59">
        <v>4260</v>
      </c>
      <c r="I1837" s="59">
        <f t="shared" si="56"/>
        <v>0</v>
      </c>
    </row>
    <row r="1838" spans="1:9" customFormat="1" x14ac:dyDescent="0.35">
      <c r="A1838" s="63">
        <f t="shared" si="57"/>
        <v>1837</v>
      </c>
      <c r="B1838" s="54" t="s">
        <v>4524</v>
      </c>
      <c r="C1838" s="55" t="s">
        <v>4525</v>
      </c>
      <c r="D1838" s="54" t="s">
        <v>4387</v>
      </c>
      <c r="E1838" s="56">
        <v>0</v>
      </c>
      <c r="F1838" s="57" t="s">
        <v>792</v>
      </c>
      <c r="G1838" s="58">
        <v>3600</v>
      </c>
      <c r="H1838" s="59">
        <v>3600</v>
      </c>
      <c r="I1838" s="59">
        <f t="shared" si="56"/>
        <v>0</v>
      </c>
    </row>
    <row r="1839" spans="1:9" customFormat="1" x14ac:dyDescent="0.35">
      <c r="A1839" s="63">
        <f t="shared" si="57"/>
        <v>1838</v>
      </c>
      <c r="B1839" s="54" t="s">
        <v>4526</v>
      </c>
      <c r="C1839" s="55" t="s">
        <v>4527</v>
      </c>
      <c r="D1839" s="54" t="s">
        <v>4387</v>
      </c>
      <c r="E1839" s="56">
        <v>0</v>
      </c>
      <c r="F1839" s="57" t="s">
        <v>792</v>
      </c>
      <c r="G1839" s="58">
        <v>3720</v>
      </c>
      <c r="H1839" s="59">
        <v>3720</v>
      </c>
      <c r="I1839" s="59">
        <f t="shared" si="56"/>
        <v>0</v>
      </c>
    </row>
    <row r="1840" spans="1:9" customFormat="1" x14ac:dyDescent="0.35">
      <c r="A1840" s="63">
        <f t="shared" si="57"/>
        <v>1839</v>
      </c>
      <c r="B1840" s="54" t="s">
        <v>4528</v>
      </c>
      <c r="C1840" s="55" t="s">
        <v>4529</v>
      </c>
      <c r="D1840" s="54" t="s">
        <v>4387</v>
      </c>
      <c r="E1840" s="56">
        <v>0</v>
      </c>
      <c r="F1840" s="57" t="s">
        <v>792</v>
      </c>
      <c r="G1840" s="58">
        <v>4650</v>
      </c>
      <c r="H1840" s="59">
        <v>4650</v>
      </c>
      <c r="I1840" s="59">
        <f t="shared" si="56"/>
        <v>0</v>
      </c>
    </row>
    <row r="1841" spans="1:9" customFormat="1" x14ac:dyDescent="0.35">
      <c r="A1841" s="63">
        <f t="shared" si="57"/>
        <v>1840</v>
      </c>
      <c r="B1841" s="54" t="s">
        <v>4530</v>
      </c>
      <c r="C1841" s="55" t="s">
        <v>4531</v>
      </c>
      <c r="D1841" s="54" t="s">
        <v>4387</v>
      </c>
      <c r="E1841" s="56">
        <v>0</v>
      </c>
      <c r="F1841" s="57" t="s">
        <v>792</v>
      </c>
      <c r="G1841" s="58">
        <v>4920</v>
      </c>
      <c r="H1841" s="59">
        <v>4920</v>
      </c>
      <c r="I1841" s="59">
        <f t="shared" si="56"/>
        <v>0</v>
      </c>
    </row>
    <row r="1842" spans="1:9" customFormat="1" x14ac:dyDescent="0.35">
      <c r="A1842" s="63">
        <f t="shared" si="57"/>
        <v>1841</v>
      </c>
      <c r="B1842" s="54" t="s">
        <v>4532</v>
      </c>
      <c r="C1842" s="55" t="s">
        <v>4533</v>
      </c>
      <c r="D1842" s="54" t="s">
        <v>4387</v>
      </c>
      <c r="E1842" s="56">
        <v>0</v>
      </c>
      <c r="F1842" s="57" t="s">
        <v>792</v>
      </c>
      <c r="G1842" s="58">
        <v>5050</v>
      </c>
      <c r="H1842" s="59">
        <v>5050</v>
      </c>
      <c r="I1842" s="59">
        <f t="shared" si="56"/>
        <v>0</v>
      </c>
    </row>
    <row r="1843" spans="1:9" customFormat="1" x14ac:dyDescent="0.35">
      <c r="A1843" s="63">
        <f t="shared" si="57"/>
        <v>1842</v>
      </c>
      <c r="B1843" s="54" t="s">
        <v>4534</v>
      </c>
      <c r="C1843" s="55" t="s">
        <v>4535</v>
      </c>
      <c r="D1843" s="54" t="s">
        <v>4387</v>
      </c>
      <c r="E1843" s="56">
        <v>0</v>
      </c>
      <c r="F1843" s="57" t="s">
        <v>792</v>
      </c>
      <c r="G1843" s="58">
        <v>0</v>
      </c>
      <c r="H1843" s="59">
        <v>0</v>
      </c>
      <c r="I1843" s="59">
        <f t="shared" si="56"/>
        <v>0</v>
      </c>
    </row>
    <row r="1844" spans="1:9" customFormat="1" x14ac:dyDescent="0.35">
      <c r="A1844" s="63">
        <f t="shared" si="57"/>
        <v>1843</v>
      </c>
      <c r="B1844" s="54" t="s">
        <v>4536</v>
      </c>
      <c r="C1844" s="55" t="s">
        <v>4537</v>
      </c>
      <c r="D1844" s="54" t="s">
        <v>4387</v>
      </c>
      <c r="E1844" s="56">
        <v>0</v>
      </c>
      <c r="F1844" s="57" t="s">
        <v>792</v>
      </c>
      <c r="G1844" s="58">
        <v>7550</v>
      </c>
      <c r="H1844" s="59">
        <v>7550</v>
      </c>
      <c r="I1844" s="59">
        <f t="shared" si="56"/>
        <v>0</v>
      </c>
    </row>
    <row r="1845" spans="1:9" customFormat="1" x14ac:dyDescent="0.35">
      <c r="A1845" s="63">
        <f t="shared" si="57"/>
        <v>1844</v>
      </c>
      <c r="B1845" s="54" t="s">
        <v>4538</v>
      </c>
      <c r="C1845" s="55" t="s">
        <v>4539</v>
      </c>
      <c r="D1845" s="54" t="s">
        <v>4387</v>
      </c>
      <c r="E1845" s="56">
        <v>0</v>
      </c>
      <c r="F1845" s="57" t="s">
        <v>792</v>
      </c>
      <c r="G1845" s="58">
        <v>3240</v>
      </c>
      <c r="H1845" s="59">
        <v>3240</v>
      </c>
      <c r="I1845" s="59">
        <f t="shared" si="56"/>
        <v>0</v>
      </c>
    </row>
    <row r="1846" spans="1:9" customFormat="1" x14ac:dyDescent="0.35">
      <c r="A1846" s="63">
        <f t="shared" si="57"/>
        <v>1845</v>
      </c>
      <c r="B1846" s="54" t="s">
        <v>4540</v>
      </c>
      <c r="C1846" s="55" t="s">
        <v>4541</v>
      </c>
      <c r="D1846" s="54" t="s">
        <v>4387</v>
      </c>
      <c r="E1846" s="56">
        <v>0</v>
      </c>
      <c r="F1846" s="57" t="s">
        <v>792</v>
      </c>
      <c r="G1846" s="58">
        <v>11175</v>
      </c>
      <c r="H1846" s="59">
        <v>11175</v>
      </c>
      <c r="I1846" s="59">
        <f t="shared" si="56"/>
        <v>0</v>
      </c>
    </row>
    <row r="1847" spans="1:9" customFormat="1" x14ac:dyDescent="0.35">
      <c r="A1847" s="63">
        <f t="shared" si="57"/>
        <v>1846</v>
      </c>
      <c r="B1847" s="54" t="s">
        <v>4542</v>
      </c>
      <c r="C1847" s="55" t="s">
        <v>4543</v>
      </c>
      <c r="D1847" s="54" t="s">
        <v>4387</v>
      </c>
      <c r="E1847" s="56">
        <v>0</v>
      </c>
      <c r="F1847" s="57" t="s">
        <v>792</v>
      </c>
      <c r="G1847" s="58">
        <v>12850</v>
      </c>
      <c r="H1847" s="59">
        <v>12850</v>
      </c>
      <c r="I1847" s="59">
        <f t="shared" si="56"/>
        <v>0</v>
      </c>
    </row>
    <row r="1848" spans="1:9" customFormat="1" x14ac:dyDescent="0.35">
      <c r="A1848" s="63">
        <f t="shared" si="57"/>
        <v>1847</v>
      </c>
      <c r="B1848" s="54" t="s">
        <v>4544</v>
      </c>
      <c r="C1848" s="55" t="s">
        <v>4545</v>
      </c>
      <c r="D1848" s="54" t="s">
        <v>4387</v>
      </c>
      <c r="E1848" s="56">
        <v>0</v>
      </c>
      <c r="F1848" s="57" t="s">
        <v>792</v>
      </c>
      <c r="G1848" s="58">
        <v>13600</v>
      </c>
      <c r="H1848" s="59">
        <v>13600</v>
      </c>
      <c r="I1848" s="59">
        <f t="shared" si="56"/>
        <v>0</v>
      </c>
    </row>
    <row r="1849" spans="1:9" customFormat="1" x14ac:dyDescent="0.35">
      <c r="A1849" s="63">
        <f t="shared" si="57"/>
        <v>1848</v>
      </c>
      <c r="B1849" s="54" t="s">
        <v>4546</v>
      </c>
      <c r="C1849" s="55" t="s">
        <v>4547</v>
      </c>
      <c r="D1849" s="54" t="s">
        <v>4387</v>
      </c>
      <c r="E1849" s="56">
        <v>0</v>
      </c>
      <c r="F1849" s="57" t="s">
        <v>792</v>
      </c>
      <c r="G1849" s="58">
        <v>14080</v>
      </c>
      <c r="H1849" s="59">
        <v>14080</v>
      </c>
      <c r="I1849" s="59">
        <f t="shared" si="56"/>
        <v>0</v>
      </c>
    </row>
    <row r="1850" spans="1:9" customFormat="1" x14ac:dyDescent="0.35">
      <c r="A1850" s="63">
        <f t="shared" si="57"/>
        <v>1849</v>
      </c>
      <c r="B1850" s="54" t="s">
        <v>4548</v>
      </c>
      <c r="C1850" s="55" t="s">
        <v>4549</v>
      </c>
      <c r="D1850" s="54" t="s">
        <v>4387</v>
      </c>
      <c r="E1850" s="56">
        <v>0</v>
      </c>
      <c r="F1850" s="57" t="s">
        <v>792</v>
      </c>
      <c r="G1850" s="58">
        <v>19250</v>
      </c>
      <c r="H1850" s="59">
        <v>9250</v>
      </c>
      <c r="I1850" s="59">
        <f t="shared" si="56"/>
        <v>0</v>
      </c>
    </row>
    <row r="1851" spans="1:9" customFormat="1" x14ac:dyDescent="0.35">
      <c r="A1851" s="63">
        <f t="shared" si="57"/>
        <v>1850</v>
      </c>
      <c r="B1851" s="54" t="s">
        <v>4550</v>
      </c>
      <c r="C1851" s="55" t="s">
        <v>4551</v>
      </c>
      <c r="D1851" s="54" t="s">
        <v>4387</v>
      </c>
      <c r="E1851" s="56">
        <v>0</v>
      </c>
      <c r="F1851" s="57" t="s">
        <v>792</v>
      </c>
      <c r="G1851" s="58">
        <v>23650</v>
      </c>
      <c r="H1851" s="59">
        <v>23650</v>
      </c>
      <c r="I1851" s="59">
        <f t="shared" si="56"/>
        <v>0</v>
      </c>
    </row>
    <row r="1852" spans="1:9" customFormat="1" x14ac:dyDescent="0.35">
      <c r="A1852" s="63">
        <f t="shared" si="57"/>
        <v>1851</v>
      </c>
      <c r="B1852" s="54" t="s">
        <v>4552</v>
      </c>
      <c r="C1852" s="55" t="s">
        <v>4553</v>
      </c>
      <c r="D1852" s="54" t="s">
        <v>4387</v>
      </c>
      <c r="E1852" s="56">
        <v>0</v>
      </c>
      <c r="F1852" s="57" t="s">
        <v>792</v>
      </c>
      <c r="G1852" s="58">
        <v>3140</v>
      </c>
      <c r="H1852" s="59">
        <v>3140</v>
      </c>
      <c r="I1852" s="59">
        <f t="shared" si="56"/>
        <v>0</v>
      </c>
    </row>
    <row r="1853" spans="1:9" customFormat="1" x14ac:dyDescent="0.35">
      <c r="A1853" s="63">
        <f t="shared" si="57"/>
        <v>1852</v>
      </c>
      <c r="B1853" s="54" t="s">
        <v>4554</v>
      </c>
      <c r="C1853" s="55" t="s">
        <v>4555</v>
      </c>
      <c r="D1853" s="54" t="s">
        <v>4387</v>
      </c>
      <c r="E1853" s="56">
        <v>0</v>
      </c>
      <c r="F1853" s="57" t="s">
        <v>792</v>
      </c>
      <c r="G1853" s="58">
        <v>3600</v>
      </c>
      <c r="H1853" s="59">
        <v>3600</v>
      </c>
      <c r="I1853" s="59">
        <f t="shared" si="56"/>
        <v>0</v>
      </c>
    </row>
    <row r="1854" spans="1:9" customFormat="1" x14ac:dyDescent="0.35">
      <c r="A1854" s="63">
        <f t="shared" si="57"/>
        <v>1853</v>
      </c>
      <c r="B1854" s="54" t="s">
        <v>4556</v>
      </c>
      <c r="C1854" s="55" t="s">
        <v>4557</v>
      </c>
      <c r="D1854" s="54" t="s">
        <v>4387</v>
      </c>
      <c r="E1854" s="56">
        <v>0</v>
      </c>
      <c r="F1854" s="57" t="s">
        <v>792</v>
      </c>
      <c r="G1854" s="58">
        <v>4050</v>
      </c>
      <c r="H1854" s="59">
        <v>4050</v>
      </c>
      <c r="I1854" s="59">
        <f t="shared" si="56"/>
        <v>0</v>
      </c>
    </row>
    <row r="1855" spans="1:9" customFormat="1" x14ac:dyDescent="0.35">
      <c r="A1855" s="63">
        <f t="shared" si="57"/>
        <v>1854</v>
      </c>
      <c r="B1855" s="54" t="s">
        <v>4558</v>
      </c>
      <c r="C1855" s="55" t="s">
        <v>4559</v>
      </c>
      <c r="D1855" s="54" t="s">
        <v>4387</v>
      </c>
      <c r="E1855" s="56">
        <v>0</v>
      </c>
      <c r="F1855" s="57" t="s">
        <v>792</v>
      </c>
      <c r="G1855" s="58">
        <v>6010</v>
      </c>
      <c r="H1855" s="59">
        <v>6010</v>
      </c>
      <c r="I1855" s="59">
        <f t="shared" si="56"/>
        <v>0</v>
      </c>
    </row>
    <row r="1856" spans="1:9" customFormat="1" x14ac:dyDescent="0.35">
      <c r="A1856" s="63">
        <f t="shared" si="57"/>
        <v>1855</v>
      </c>
      <c r="B1856" s="54" t="s">
        <v>4560</v>
      </c>
      <c r="C1856" s="55" t="s">
        <v>4561</v>
      </c>
      <c r="D1856" s="54" t="s">
        <v>4387</v>
      </c>
      <c r="E1856" s="56">
        <v>0</v>
      </c>
      <c r="F1856" s="57" t="s">
        <v>792</v>
      </c>
      <c r="G1856" s="58">
        <v>6500</v>
      </c>
      <c r="H1856" s="59">
        <v>6500</v>
      </c>
      <c r="I1856" s="59">
        <f t="shared" si="56"/>
        <v>0</v>
      </c>
    </row>
    <row r="1857" spans="1:9" customFormat="1" x14ac:dyDescent="0.35">
      <c r="A1857" s="63">
        <f t="shared" si="57"/>
        <v>1856</v>
      </c>
      <c r="B1857" s="54" t="s">
        <v>4562</v>
      </c>
      <c r="C1857" s="55" t="s">
        <v>4563</v>
      </c>
      <c r="D1857" s="54" t="s">
        <v>4387</v>
      </c>
      <c r="E1857" s="56">
        <v>0</v>
      </c>
      <c r="F1857" s="57" t="s">
        <v>792</v>
      </c>
      <c r="G1857" s="58">
        <v>6850</v>
      </c>
      <c r="H1857" s="59">
        <v>6850</v>
      </c>
      <c r="I1857" s="59">
        <f t="shared" si="56"/>
        <v>0</v>
      </c>
    </row>
    <row r="1858" spans="1:9" customFormat="1" x14ac:dyDescent="0.35">
      <c r="A1858" s="63">
        <f t="shared" si="57"/>
        <v>1857</v>
      </c>
      <c r="B1858" s="54" t="s">
        <v>4564</v>
      </c>
      <c r="C1858" s="55" t="s">
        <v>4565</v>
      </c>
      <c r="D1858" s="54" t="s">
        <v>4387</v>
      </c>
      <c r="E1858" s="56">
        <v>0</v>
      </c>
      <c r="F1858" s="57" t="s">
        <v>792</v>
      </c>
      <c r="G1858" s="58">
        <v>7000</v>
      </c>
      <c r="H1858" s="59">
        <v>7000</v>
      </c>
      <c r="I1858" s="59">
        <f t="shared" si="56"/>
        <v>0</v>
      </c>
    </row>
    <row r="1859" spans="1:9" customFormat="1" x14ac:dyDescent="0.35">
      <c r="A1859" s="63">
        <f t="shared" si="57"/>
        <v>1858</v>
      </c>
      <c r="B1859" s="54" t="s">
        <v>4566</v>
      </c>
      <c r="C1859" s="55" t="s">
        <v>4567</v>
      </c>
      <c r="D1859" s="54" t="s">
        <v>4387</v>
      </c>
      <c r="E1859" s="56">
        <v>0</v>
      </c>
      <c r="F1859" s="57" t="s">
        <v>792</v>
      </c>
      <c r="G1859" s="58">
        <v>7210</v>
      </c>
      <c r="H1859" s="59">
        <v>7210</v>
      </c>
      <c r="I1859" s="59">
        <f t="shared" ref="I1859:I1922" si="58">H1859*E1859</f>
        <v>0</v>
      </c>
    </row>
    <row r="1860" spans="1:9" customFormat="1" x14ac:dyDescent="0.35">
      <c r="A1860" s="63">
        <f t="shared" ref="A1860:A1923" si="59">A1859+1</f>
        <v>1859</v>
      </c>
      <c r="B1860" s="54" t="s">
        <v>4568</v>
      </c>
      <c r="C1860" s="55" t="s">
        <v>4569</v>
      </c>
      <c r="D1860" s="54" t="s">
        <v>4387</v>
      </c>
      <c r="E1860" s="56">
        <v>0</v>
      </c>
      <c r="F1860" s="57" t="s">
        <v>792</v>
      </c>
      <c r="G1860" s="58">
        <v>5250</v>
      </c>
      <c r="H1860" s="59">
        <v>5250</v>
      </c>
      <c r="I1860" s="59">
        <f t="shared" si="58"/>
        <v>0</v>
      </c>
    </row>
    <row r="1861" spans="1:9" customFormat="1" x14ac:dyDescent="0.35">
      <c r="A1861" s="63">
        <f t="shared" si="59"/>
        <v>1860</v>
      </c>
      <c r="B1861" s="54" t="s">
        <v>4570</v>
      </c>
      <c r="C1861" s="55" t="s">
        <v>4571</v>
      </c>
      <c r="D1861" s="54" t="s">
        <v>4387</v>
      </c>
      <c r="E1861" s="56">
        <v>0</v>
      </c>
      <c r="F1861" s="57" t="s">
        <v>792</v>
      </c>
      <c r="G1861" s="58">
        <v>9560</v>
      </c>
      <c r="H1861" s="59">
        <v>9560</v>
      </c>
      <c r="I1861" s="59">
        <f t="shared" si="58"/>
        <v>0</v>
      </c>
    </row>
    <row r="1862" spans="1:9" customFormat="1" x14ac:dyDescent="0.35">
      <c r="A1862" s="63">
        <f t="shared" si="59"/>
        <v>1861</v>
      </c>
      <c r="B1862" s="54" t="s">
        <v>4572</v>
      </c>
      <c r="C1862" s="55" t="s">
        <v>4573</v>
      </c>
      <c r="D1862" s="54" t="s">
        <v>4387</v>
      </c>
      <c r="E1862" s="56">
        <v>0</v>
      </c>
      <c r="F1862" s="57" t="s">
        <v>792</v>
      </c>
      <c r="G1862" s="58">
        <v>800</v>
      </c>
      <c r="H1862" s="59">
        <v>800</v>
      </c>
      <c r="I1862" s="59">
        <f t="shared" si="58"/>
        <v>0</v>
      </c>
    </row>
    <row r="1863" spans="1:9" customFormat="1" x14ac:dyDescent="0.35">
      <c r="A1863" s="63">
        <f t="shared" si="59"/>
        <v>1862</v>
      </c>
      <c r="B1863" s="54" t="s">
        <v>4574</v>
      </c>
      <c r="C1863" s="55" t="s">
        <v>4575</v>
      </c>
      <c r="D1863" s="54" t="s">
        <v>4387</v>
      </c>
      <c r="E1863" s="56">
        <v>0</v>
      </c>
      <c r="F1863" s="57" t="s">
        <v>792</v>
      </c>
      <c r="G1863" s="58">
        <v>850</v>
      </c>
      <c r="H1863" s="59">
        <v>850</v>
      </c>
      <c r="I1863" s="59">
        <f t="shared" si="58"/>
        <v>0</v>
      </c>
    </row>
    <row r="1864" spans="1:9" customFormat="1" x14ac:dyDescent="0.35">
      <c r="A1864" s="63">
        <f t="shared" si="59"/>
        <v>1863</v>
      </c>
      <c r="B1864" s="54" t="s">
        <v>4576</v>
      </c>
      <c r="C1864" s="55" t="s">
        <v>4577</v>
      </c>
      <c r="D1864" s="54" t="s">
        <v>4387</v>
      </c>
      <c r="E1864" s="56">
        <v>0</v>
      </c>
      <c r="F1864" s="57" t="s">
        <v>792</v>
      </c>
      <c r="G1864" s="58">
        <v>1100</v>
      </c>
      <c r="H1864" s="59">
        <v>1100</v>
      </c>
      <c r="I1864" s="59">
        <f t="shared" si="58"/>
        <v>0</v>
      </c>
    </row>
    <row r="1865" spans="1:9" customFormat="1" x14ac:dyDescent="0.35">
      <c r="A1865" s="63">
        <f t="shared" si="59"/>
        <v>1864</v>
      </c>
      <c r="B1865" s="54" t="s">
        <v>4578</v>
      </c>
      <c r="C1865" s="55" t="s">
        <v>4579</v>
      </c>
      <c r="D1865" s="54" t="s">
        <v>4387</v>
      </c>
      <c r="E1865" s="56">
        <v>0</v>
      </c>
      <c r="F1865" s="57" t="s">
        <v>792</v>
      </c>
      <c r="G1865" s="58">
        <v>744</v>
      </c>
      <c r="H1865" s="59">
        <v>1500</v>
      </c>
      <c r="I1865" s="59">
        <f t="shared" si="58"/>
        <v>0</v>
      </c>
    </row>
    <row r="1866" spans="1:9" customFormat="1" x14ac:dyDescent="0.35">
      <c r="A1866" s="63">
        <f t="shared" si="59"/>
        <v>1865</v>
      </c>
      <c r="B1866" s="54" t="s">
        <v>4580</v>
      </c>
      <c r="C1866" s="55" t="s">
        <v>4581</v>
      </c>
      <c r="D1866" s="54" t="s">
        <v>4387</v>
      </c>
      <c r="E1866" s="56">
        <v>0</v>
      </c>
      <c r="F1866" s="57" t="s">
        <v>792</v>
      </c>
      <c r="G1866" s="58">
        <v>700</v>
      </c>
      <c r="H1866" s="59">
        <v>700</v>
      </c>
      <c r="I1866" s="59">
        <f t="shared" si="58"/>
        <v>0</v>
      </c>
    </row>
    <row r="1867" spans="1:9" customFormat="1" x14ac:dyDescent="0.35">
      <c r="A1867" s="63">
        <f t="shared" si="59"/>
        <v>1866</v>
      </c>
      <c r="B1867" s="54" t="s">
        <v>4582</v>
      </c>
      <c r="C1867" s="55" t="s">
        <v>4583</v>
      </c>
      <c r="D1867" s="54" t="s">
        <v>4387</v>
      </c>
      <c r="E1867" s="56">
        <v>0</v>
      </c>
      <c r="F1867" s="57" t="s">
        <v>792</v>
      </c>
      <c r="G1867" s="58">
        <v>1250</v>
      </c>
      <c r="H1867" s="59">
        <v>1250</v>
      </c>
      <c r="I1867" s="59">
        <f t="shared" si="58"/>
        <v>0</v>
      </c>
    </row>
    <row r="1868" spans="1:9" customFormat="1" x14ac:dyDescent="0.35">
      <c r="A1868" s="63">
        <f t="shared" si="59"/>
        <v>1867</v>
      </c>
      <c r="B1868" s="54" t="s">
        <v>4584</v>
      </c>
      <c r="C1868" s="55" t="s">
        <v>4585</v>
      </c>
      <c r="D1868" s="54" t="s">
        <v>4387</v>
      </c>
      <c r="E1868" s="56">
        <v>0</v>
      </c>
      <c r="F1868" s="57" t="s">
        <v>792</v>
      </c>
      <c r="G1868" s="58">
        <v>1470</v>
      </c>
      <c r="H1868" s="59">
        <v>1470</v>
      </c>
      <c r="I1868" s="59">
        <f t="shared" si="58"/>
        <v>0</v>
      </c>
    </row>
    <row r="1869" spans="1:9" customFormat="1" x14ac:dyDescent="0.35">
      <c r="A1869" s="63">
        <f t="shared" si="59"/>
        <v>1868</v>
      </c>
      <c r="B1869" s="54" t="s">
        <v>4586</v>
      </c>
      <c r="C1869" s="55" t="s">
        <v>4587</v>
      </c>
      <c r="D1869" s="54" t="s">
        <v>4387</v>
      </c>
      <c r="E1869" s="56">
        <v>0</v>
      </c>
      <c r="F1869" s="57" t="s">
        <v>792</v>
      </c>
      <c r="G1869" s="58">
        <v>1610</v>
      </c>
      <c r="H1869" s="59">
        <v>1610</v>
      </c>
      <c r="I1869" s="59">
        <f t="shared" si="58"/>
        <v>0</v>
      </c>
    </row>
    <row r="1870" spans="1:9" customFormat="1" x14ac:dyDescent="0.35">
      <c r="A1870" s="63">
        <f t="shared" si="59"/>
        <v>1869</v>
      </c>
      <c r="B1870" s="54" t="s">
        <v>4588</v>
      </c>
      <c r="C1870" s="55" t="s">
        <v>4589</v>
      </c>
      <c r="D1870" s="54" t="s">
        <v>4387</v>
      </c>
      <c r="E1870" s="56">
        <v>0</v>
      </c>
      <c r="F1870" s="57" t="s">
        <v>792</v>
      </c>
      <c r="G1870" s="58">
        <v>2500</v>
      </c>
      <c r="H1870" s="59">
        <v>2500</v>
      </c>
      <c r="I1870" s="59">
        <f t="shared" si="58"/>
        <v>0</v>
      </c>
    </row>
    <row r="1871" spans="1:9" customFormat="1" x14ac:dyDescent="0.35">
      <c r="A1871" s="63">
        <f t="shared" si="59"/>
        <v>1870</v>
      </c>
      <c r="B1871" s="54" t="s">
        <v>4590</v>
      </c>
      <c r="C1871" s="55" t="s">
        <v>4591</v>
      </c>
      <c r="D1871" s="54" t="s">
        <v>4387</v>
      </c>
      <c r="E1871" s="56">
        <v>0</v>
      </c>
      <c r="F1871" s="57" t="s">
        <v>792</v>
      </c>
      <c r="G1871" s="58">
        <v>900</v>
      </c>
      <c r="H1871" s="59">
        <v>900</v>
      </c>
      <c r="I1871" s="59">
        <f t="shared" si="58"/>
        <v>0</v>
      </c>
    </row>
    <row r="1872" spans="1:9" customFormat="1" x14ac:dyDescent="0.35">
      <c r="A1872" s="63">
        <f t="shared" si="59"/>
        <v>1871</v>
      </c>
      <c r="B1872" s="54" t="s">
        <v>4592</v>
      </c>
      <c r="C1872" s="55" t="s">
        <v>4593</v>
      </c>
      <c r="D1872" s="54" t="s">
        <v>4387</v>
      </c>
      <c r="E1872" s="56">
        <v>0</v>
      </c>
      <c r="F1872" s="57" t="s">
        <v>792</v>
      </c>
      <c r="G1872" s="58">
        <v>1050</v>
      </c>
      <c r="H1872" s="59">
        <v>1050</v>
      </c>
      <c r="I1872" s="59">
        <f t="shared" si="58"/>
        <v>0</v>
      </c>
    </row>
    <row r="1873" spans="1:9" customFormat="1" x14ac:dyDescent="0.35">
      <c r="A1873" s="63">
        <f t="shared" si="59"/>
        <v>1872</v>
      </c>
      <c r="B1873" s="54" t="s">
        <v>4594</v>
      </c>
      <c r="C1873" s="55" t="s">
        <v>4595</v>
      </c>
      <c r="D1873" s="54" t="s">
        <v>4387</v>
      </c>
      <c r="E1873" s="56">
        <v>0</v>
      </c>
      <c r="F1873" s="57" t="s">
        <v>792</v>
      </c>
      <c r="G1873" s="58">
        <v>1256</v>
      </c>
      <c r="H1873" s="59">
        <v>1256</v>
      </c>
      <c r="I1873" s="59">
        <f t="shared" si="58"/>
        <v>0</v>
      </c>
    </row>
    <row r="1874" spans="1:9" customFormat="1" x14ac:dyDescent="0.35">
      <c r="A1874" s="63">
        <f t="shared" si="59"/>
        <v>1873</v>
      </c>
      <c r="B1874" s="54" t="s">
        <v>4596</v>
      </c>
      <c r="C1874" s="55" t="s">
        <v>4597</v>
      </c>
      <c r="D1874" s="54" t="s">
        <v>4387</v>
      </c>
      <c r="E1874" s="56">
        <v>0</v>
      </c>
      <c r="F1874" s="57" t="s">
        <v>792</v>
      </c>
      <c r="G1874" s="58">
        <v>1360</v>
      </c>
      <c r="H1874" s="59">
        <v>1360</v>
      </c>
      <c r="I1874" s="59">
        <f t="shared" si="58"/>
        <v>0</v>
      </c>
    </row>
    <row r="1875" spans="1:9" customFormat="1" x14ac:dyDescent="0.35">
      <c r="A1875" s="63">
        <f t="shared" si="59"/>
        <v>1874</v>
      </c>
      <c r="B1875" s="54" t="s">
        <v>4598</v>
      </c>
      <c r="C1875" s="55" t="s">
        <v>4599</v>
      </c>
      <c r="D1875" s="54" t="s">
        <v>4387</v>
      </c>
      <c r="E1875" s="56">
        <v>0</v>
      </c>
      <c r="F1875" s="57" t="s">
        <v>792</v>
      </c>
      <c r="G1875" s="58">
        <v>1300</v>
      </c>
      <c r="H1875" s="59">
        <v>1300</v>
      </c>
      <c r="I1875" s="59">
        <f t="shared" si="58"/>
        <v>0</v>
      </c>
    </row>
    <row r="1876" spans="1:9" customFormat="1" x14ac:dyDescent="0.35">
      <c r="A1876" s="63">
        <f t="shared" si="59"/>
        <v>1875</v>
      </c>
      <c r="B1876" s="54" t="s">
        <v>4600</v>
      </c>
      <c r="C1876" s="55" t="s">
        <v>4601</v>
      </c>
      <c r="D1876" s="54" t="s">
        <v>4387</v>
      </c>
      <c r="E1876" s="56">
        <v>0</v>
      </c>
      <c r="F1876" s="57" t="s">
        <v>792</v>
      </c>
      <c r="G1876" s="58">
        <v>1400</v>
      </c>
      <c r="H1876" s="59">
        <v>1400</v>
      </c>
      <c r="I1876" s="59">
        <f t="shared" si="58"/>
        <v>0</v>
      </c>
    </row>
    <row r="1877" spans="1:9" customFormat="1" x14ac:dyDescent="0.35">
      <c r="A1877" s="63">
        <f t="shared" si="59"/>
        <v>1876</v>
      </c>
      <c r="B1877" s="54" t="s">
        <v>4602</v>
      </c>
      <c r="C1877" s="55" t="s">
        <v>4603</v>
      </c>
      <c r="D1877" s="54" t="s">
        <v>4387</v>
      </c>
      <c r="E1877" s="56">
        <v>0</v>
      </c>
      <c r="F1877" s="57" t="s">
        <v>792</v>
      </c>
      <c r="G1877" s="58">
        <v>1580</v>
      </c>
      <c r="H1877" s="59">
        <v>1580</v>
      </c>
      <c r="I1877" s="59">
        <f t="shared" si="58"/>
        <v>0</v>
      </c>
    </row>
    <row r="1878" spans="1:9" customFormat="1" x14ac:dyDescent="0.35">
      <c r="A1878" s="63">
        <f t="shared" si="59"/>
        <v>1877</v>
      </c>
      <c r="B1878" s="54" t="s">
        <v>4604</v>
      </c>
      <c r="C1878" s="55" t="s">
        <v>4605</v>
      </c>
      <c r="D1878" s="54" t="s">
        <v>4387</v>
      </c>
      <c r="E1878" s="56">
        <v>0</v>
      </c>
      <c r="F1878" s="57" t="s">
        <v>792</v>
      </c>
      <c r="G1878" s="58">
        <v>1660</v>
      </c>
      <c r="H1878" s="59">
        <v>1660</v>
      </c>
      <c r="I1878" s="59">
        <f t="shared" si="58"/>
        <v>0</v>
      </c>
    </row>
    <row r="1879" spans="1:9" customFormat="1" x14ac:dyDescent="0.35">
      <c r="A1879" s="63">
        <f t="shared" si="59"/>
        <v>1878</v>
      </c>
      <c r="B1879" s="54" t="s">
        <v>4606</v>
      </c>
      <c r="C1879" s="55" t="s">
        <v>4607</v>
      </c>
      <c r="D1879" s="54" t="s">
        <v>4387</v>
      </c>
      <c r="E1879" s="56">
        <v>0</v>
      </c>
      <c r="F1879" s="57" t="s">
        <v>792</v>
      </c>
      <c r="G1879" s="58">
        <v>2240</v>
      </c>
      <c r="H1879" s="59">
        <v>2240</v>
      </c>
      <c r="I1879" s="59">
        <f t="shared" si="58"/>
        <v>0</v>
      </c>
    </row>
    <row r="1880" spans="1:9" customFormat="1" x14ac:dyDescent="0.35">
      <c r="A1880" s="63">
        <f t="shared" si="59"/>
        <v>1879</v>
      </c>
      <c r="B1880" s="54" t="s">
        <v>4608</v>
      </c>
      <c r="C1880" s="55" t="s">
        <v>4609</v>
      </c>
      <c r="D1880" s="54" t="s">
        <v>4387</v>
      </c>
      <c r="E1880" s="56">
        <v>0</v>
      </c>
      <c r="F1880" s="57" t="s">
        <v>792</v>
      </c>
      <c r="G1880" s="58">
        <v>3540</v>
      </c>
      <c r="H1880" s="59">
        <v>3540</v>
      </c>
      <c r="I1880" s="59">
        <f t="shared" si="58"/>
        <v>0</v>
      </c>
    </row>
    <row r="1881" spans="1:9" customFormat="1" x14ac:dyDescent="0.35">
      <c r="A1881" s="63">
        <f t="shared" si="59"/>
        <v>1880</v>
      </c>
      <c r="B1881" s="54" t="s">
        <v>4610</v>
      </c>
      <c r="C1881" s="55" t="s">
        <v>4611</v>
      </c>
      <c r="D1881" s="54" t="s">
        <v>4387</v>
      </c>
      <c r="E1881" s="56">
        <v>0</v>
      </c>
      <c r="F1881" s="57" t="s">
        <v>792</v>
      </c>
      <c r="G1881" s="58">
        <v>0</v>
      </c>
      <c r="H1881" s="59">
        <v>0</v>
      </c>
      <c r="I1881" s="59">
        <f t="shared" si="58"/>
        <v>0</v>
      </c>
    </row>
    <row r="1882" spans="1:9" customFormat="1" x14ac:dyDescent="0.35">
      <c r="A1882" s="63">
        <f t="shared" si="59"/>
        <v>1881</v>
      </c>
      <c r="B1882" s="54" t="s">
        <v>4612</v>
      </c>
      <c r="C1882" s="55" t="s">
        <v>4613</v>
      </c>
      <c r="D1882" s="54" t="s">
        <v>4387</v>
      </c>
      <c r="E1882" s="56">
        <v>0</v>
      </c>
      <c r="F1882" s="57" t="s">
        <v>792</v>
      </c>
      <c r="G1882" s="58">
        <v>0</v>
      </c>
      <c r="H1882" s="59">
        <v>0</v>
      </c>
      <c r="I1882" s="59">
        <f t="shared" si="58"/>
        <v>0</v>
      </c>
    </row>
    <row r="1883" spans="1:9" customFormat="1" x14ac:dyDescent="0.35">
      <c r="A1883" s="63">
        <f t="shared" si="59"/>
        <v>1882</v>
      </c>
      <c r="B1883" s="54" t="s">
        <v>4614</v>
      </c>
      <c r="C1883" s="55" t="s">
        <v>4615</v>
      </c>
      <c r="D1883" s="54" t="s">
        <v>4387</v>
      </c>
      <c r="E1883" s="56">
        <v>0</v>
      </c>
      <c r="F1883" s="57" t="s">
        <v>792</v>
      </c>
      <c r="G1883" s="58">
        <v>1400</v>
      </c>
      <c r="H1883" s="59">
        <v>1400</v>
      </c>
      <c r="I1883" s="59">
        <f t="shared" si="58"/>
        <v>0</v>
      </c>
    </row>
    <row r="1884" spans="1:9" customFormat="1" x14ac:dyDescent="0.35">
      <c r="A1884" s="63">
        <f t="shared" si="59"/>
        <v>1883</v>
      </c>
      <c r="B1884" s="54" t="s">
        <v>4616</v>
      </c>
      <c r="C1884" s="55" t="s">
        <v>4617</v>
      </c>
      <c r="D1884" s="54" t="s">
        <v>4387</v>
      </c>
      <c r="E1884" s="56">
        <v>0</v>
      </c>
      <c r="F1884" s="57" t="s">
        <v>792</v>
      </c>
      <c r="G1884" s="58">
        <v>1550</v>
      </c>
      <c r="H1884" s="59">
        <v>1550</v>
      </c>
      <c r="I1884" s="59">
        <f t="shared" si="58"/>
        <v>0</v>
      </c>
    </row>
    <row r="1885" spans="1:9" customFormat="1" x14ac:dyDescent="0.35">
      <c r="A1885" s="63">
        <f t="shared" si="59"/>
        <v>1884</v>
      </c>
      <c r="B1885" s="54" t="s">
        <v>4618</v>
      </c>
      <c r="C1885" s="55" t="s">
        <v>4619</v>
      </c>
      <c r="D1885" s="54" t="s">
        <v>4387</v>
      </c>
      <c r="E1885" s="56">
        <v>0</v>
      </c>
      <c r="F1885" s="57" t="s">
        <v>792</v>
      </c>
      <c r="G1885" s="58">
        <v>800</v>
      </c>
      <c r="H1885" s="59">
        <v>800</v>
      </c>
      <c r="I1885" s="59">
        <f t="shared" si="58"/>
        <v>0</v>
      </c>
    </row>
    <row r="1886" spans="1:9" customFormat="1" x14ac:dyDescent="0.35">
      <c r="A1886" s="63">
        <f t="shared" si="59"/>
        <v>1885</v>
      </c>
      <c r="B1886" s="54" t="s">
        <v>4620</v>
      </c>
      <c r="C1886" s="55" t="s">
        <v>4621</v>
      </c>
      <c r="D1886" s="54" t="s">
        <v>4387</v>
      </c>
      <c r="E1886" s="56">
        <v>0</v>
      </c>
      <c r="F1886" s="57" t="s">
        <v>792</v>
      </c>
      <c r="G1886" s="58">
        <v>805</v>
      </c>
      <c r="H1886" s="59">
        <v>805</v>
      </c>
      <c r="I1886" s="59">
        <f t="shared" si="58"/>
        <v>0</v>
      </c>
    </row>
    <row r="1887" spans="1:9" customFormat="1" x14ac:dyDescent="0.35">
      <c r="A1887" s="63">
        <f t="shared" si="59"/>
        <v>1886</v>
      </c>
      <c r="B1887" s="54" t="s">
        <v>4622</v>
      </c>
      <c r="C1887" s="55" t="s">
        <v>4623</v>
      </c>
      <c r="D1887" s="54" t="s">
        <v>4387</v>
      </c>
      <c r="E1887" s="56">
        <v>0</v>
      </c>
      <c r="F1887" s="57" t="s">
        <v>792</v>
      </c>
      <c r="G1887" s="58">
        <v>1050</v>
      </c>
      <c r="H1887" s="59">
        <v>1050</v>
      </c>
      <c r="I1887" s="59">
        <f t="shared" si="58"/>
        <v>0</v>
      </c>
    </row>
    <row r="1888" spans="1:9" customFormat="1" x14ac:dyDescent="0.35">
      <c r="A1888" s="63">
        <f t="shared" si="59"/>
        <v>1887</v>
      </c>
      <c r="B1888" s="54" t="s">
        <v>4624</v>
      </c>
      <c r="C1888" s="55" t="s">
        <v>4625</v>
      </c>
      <c r="D1888" s="54" t="s">
        <v>4387</v>
      </c>
      <c r="E1888" s="56">
        <v>0</v>
      </c>
      <c r="F1888" s="57" t="s">
        <v>792</v>
      </c>
      <c r="G1888" s="58">
        <v>1150</v>
      </c>
      <c r="H1888" s="59">
        <v>1150</v>
      </c>
      <c r="I1888" s="59">
        <f t="shared" si="58"/>
        <v>0</v>
      </c>
    </row>
    <row r="1889" spans="1:9" customFormat="1" x14ac:dyDescent="0.35">
      <c r="A1889" s="63">
        <f t="shared" si="59"/>
        <v>1888</v>
      </c>
      <c r="B1889" s="54" t="s">
        <v>4626</v>
      </c>
      <c r="C1889" s="55" t="s">
        <v>4627</v>
      </c>
      <c r="D1889" s="54" t="s">
        <v>4387</v>
      </c>
      <c r="E1889" s="56">
        <v>0</v>
      </c>
      <c r="F1889" s="57" t="s">
        <v>792</v>
      </c>
      <c r="G1889" s="58">
        <v>1870</v>
      </c>
      <c r="H1889" s="59">
        <v>1870</v>
      </c>
      <c r="I1889" s="59">
        <f t="shared" si="58"/>
        <v>0</v>
      </c>
    </row>
    <row r="1890" spans="1:9" customFormat="1" x14ac:dyDescent="0.35">
      <c r="A1890" s="63">
        <f t="shared" si="59"/>
        <v>1889</v>
      </c>
      <c r="B1890" s="54" t="s">
        <v>4628</v>
      </c>
      <c r="C1890" s="55" t="s">
        <v>4629</v>
      </c>
      <c r="D1890" s="54" t="s">
        <v>4387</v>
      </c>
      <c r="E1890" s="56">
        <v>0</v>
      </c>
      <c r="F1890" s="57" t="s">
        <v>792</v>
      </c>
      <c r="G1890" s="58">
        <v>2050</v>
      </c>
      <c r="H1890" s="59">
        <v>2050</v>
      </c>
      <c r="I1890" s="59">
        <f t="shared" si="58"/>
        <v>0</v>
      </c>
    </row>
    <row r="1891" spans="1:9" customFormat="1" x14ac:dyDescent="0.35">
      <c r="A1891" s="63">
        <f t="shared" si="59"/>
        <v>1890</v>
      </c>
      <c r="B1891" s="54" t="s">
        <v>4630</v>
      </c>
      <c r="C1891" s="55" t="s">
        <v>4631</v>
      </c>
      <c r="D1891" s="54" t="s">
        <v>4387</v>
      </c>
      <c r="E1891" s="56">
        <v>0</v>
      </c>
      <c r="F1891" s="57" t="s">
        <v>792</v>
      </c>
      <c r="G1891" s="58">
        <v>2350</v>
      </c>
      <c r="H1891" s="59">
        <v>2350</v>
      </c>
      <c r="I1891" s="59">
        <f t="shared" si="58"/>
        <v>0</v>
      </c>
    </row>
    <row r="1892" spans="1:9" customFormat="1" x14ac:dyDescent="0.35">
      <c r="A1892" s="63">
        <f t="shared" si="59"/>
        <v>1891</v>
      </c>
      <c r="B1892" s="54" t="s">
        <v>4632</v>
      </c>
      <c r="C1892" s="55" t="s">
        <v>4633</v>
      </c>
      <c r="D1892" s="54" t="s">
        <v>4387</v>
      </c>
      <c r="E1892" s="56">
        <v>0</v>
      </c>
      <c r="F1892" s="57" t="s">
        <v>792</v>
      </c>
      <c r="G1892" s="58">
        <v>2600</v>
      </c>
      <c r="H1892" s="59">
        <v>2600</v>
      </c>
      <c r="I1892" s="59">
        <f t="shared" si="58"/>
        <v>0</v>
      </c>
    </row>
    <row r="1893" spans="1:9" customFormat="1" x14ac:dyDescent="0.35">
      <c r="A1893" s="63">
        <f t="shared" si="59"/>
        <v>1892</v>
      </c>
      <c r="B1893" s="54" t="s">
        <v>4634</v>
      </c>
      <c r="C1893" s="55" t="s">
        <v>4635</v>
      </c>
      <c r="D1893" s="54" t="s">
        <v>4387</v>
      </c>
      <c r="E1893" s="56">
        <v>0</v>
      </c>
      <c r="F1893" s="57" t="s">
        <v>792</v>
      </c>
      <c r="G1893" s="58">
        <v>2760</v>
      </c>
      <c r="H1893" s="59">
        <v>2760</v>
      </c>
      <c r="I1893" s="59">
        <f t="shared" si="58"/>
        <v>0</v>
      </c>
    </row>
    <row r="1894" spans="1:9" customFormat="1" x14ac:dyDescent="0.35">
      <c r="A1894" s="63">
        <f t="shared" si="59"/>
        <v>1893</v>
      </c>
      <c r="B1894" s="54" t="s">
        <v>4636</v>
      </c>
      <c r="C1894" s="55" t="s">
        <v>4637</v>
      </c>
      <c r="D1894" s="54" t="s">
        <v>4387</v>
      </c>
      <c r="E1894" s="56">
        <v>0</v>
      </c>
      <c r="F1894" s="57" t="s">
        <v>792</v>
      </c>
      <c r="G1894" s="58">
        <v>3790</v>
      </c>
      <c r="H1894" s="59">
        <v>3790</v>
      </c>
      <c r="I1894" s="59">
        <f t="shared" si="58"/>
        <v>0</v>
      </c>
    </row>
    <row r="1895" spans="1:9" customFormat="1" x14ac:dyDescent="0.35">
      <c r="A1895" s="63">
        <f t="shared" si="59"/>
        <v>1894</v>
      </c>
      <c r="B1895" s="54" t="s">
        <v>4638</v>
      </c>
      <c r="C1895" s="55" t="s">
        <v>4639</v>
      </c>
      <c r="D1895" s="54" t="s">
        <v>4387</v>
      </c>
      <c r="E1895" s="56">
        <v>0</v>
      </c>
      <c r="F1895" s="57" t="s">
        <v>792</v>
      </c>
      <c r="G1895" s="58">
        <v>1100</v>
      </c>
      <c r="H1895" s="59">
        <v>1100</v>
      </c>
      <c r="I1895" s="59">
        <f t="shared" si="58"/>
        <v>0</v>
      </c>
    </row>
    <row r="1896" spans="1:9" customFormat="1" x14ac:dyDescent="0.35">
      <c r="A1896" s="63">
        <f t="shared" si="59"/>
        <v>1895</v>
      </c>
      <c r="B1896" s="54" t="s">
        <v>4640</v>
      </c>
      <c r="C1896" s="55" t="s">
        <v>4641</v>
      </c>
      <c r="D1896" s="54" t="s">
        <v>4387</v>
      </c>
      <c r="E1896" s="56">
        <v>0</v>
      </c>
      <c r="F1896" s="57" t="s">
        <v>792</v>
      </c>
      <c r="G1896" s="58">
        <v>3300</v>
      </c>
      <c r="H1896" s="59">
        <v>0</v>
      </c>
      <c r="I1896" s="59">
        <f t="shared" si="58"/>
        <v>0</v>
      </c>
    </row>
    <row r="1897" spans="1:9" customFormat="1" x14ac:dyDescent="0.35">
      <c r="A1897" s="63">
        <f t="shared" si="59"/>
        <v>1896</v>
      </c>
      <c r="B1897" s="54" t="s">
        <v>4642</v>
      </c>
      <c r="C1897" s="55" t="s">
        <v>4643</v>
      </c>
      <c r="D1897" s="54" t="s">
        <v>4387</v>
      </c>
      <c r="E1897" s="56">
        <v>0</v>
      </c>
      <c r="F1897" s="57" t="s">
        <v>792</v>
      </c>
      <c r="G1897" s="58">
        <v>1850</v>
      </c>
      <c r="H1897" s="59">
        <v>1850</v>
      </c>
      <c r="I1897" s="59">
        <f t="shared" si="58"/>
        <v>0</v>
      </c>
    </row>
    <row r="1898" spans="1:9" customFormat="1" x14ac:dyDescent="0.35">
      <c r="A1898" s="63">
        <f t="shared" si="59"/>
        <v>1897</v>
      </c>
      <c r="B1898" s="54" t="s">
        <v>4644</v>
      </c>
      <c r="C1898" s="55" t="s">
        <v>4645</v>
      </c>
      <c r="D1898" s="54" t="s">
        <v>4387</v>
      </c>
      <c r="E1898" s="56">
        <v>0</v>
      </c>
      <c r="F1898" s="57" t="s">
        <v>792</v>
      </c>
      <c r="G1898" s="58">
        <v>2050</v>
      </c>
      <c r="H1898" s="59">
        <v>2050</v>
      </c>
      <c r="I1898" s="59">
        <f t="shared" si="58"/>
        <v>0</v>
      </c>
    </row>
    <row r="1899" spans="1:9" customFormat="1" x14ac:dyDescent="0.35">
      <c r="A1899" s="63">
        <f t="shared" si="59"/>
        <v>1898</v>
      </c>
      <c r="B1899" s="54" t="s">
        <v>4646</v>
      </c>
      <c r="C1899" s="55" t="s">
        <v>4647</v>
      </c>
      <c r="D1899" s="54" t="s">
        <v>4387</v>
      </c>
      <c r="E1899" s="56">
        <v>0</v>
      </c>
      <c r="F1899" s="57" t="s">
        <v>792</v>
      </c>
      <c r="G1899" s="58">
        <v>1350</v>
      </c>
      <c r="H1899" s="59">
        <v>1350</v>
      </c>
      <c r="I1899" s="59">
        <f t="shared" si="58"/>
        <v>0</v>
      </c>
    </row>
    <row r="1900" spans="1:9" customFormat="1" x14ac:dyDescent="0.35">
      <c r="A1900" s="63">
        <f t="shared" si="59"/>
        <v>1899</v>
      </c>
      <c r="B1900" s="54" t="s">
        <v>4648</v>
      </c>
      <c r="C1900" s="55" t="s">
        <v>4649</v>
      </c>
      <c r="D1900" s="54" t="s">
        <v>4387</v>
      </c>
      <c r="E1900" s="56">
        <v>0</v>
      </c>
      <c r="F1900" s="57" t="s">
        <v>792</v>
      </c>
      <c r="G1900" s="58">
        <v>2560</v>
      </c>
      <c r="H1900" s="59">
        <v>2560</v>
      </c>
      <c r="I1900" s="59">
        <f t="shared" si="58"/>
        <v>0</v>
      </c>
    </row>
    <row r="1901" spans="1:9" customFormat="1" x14ac:dyDescent="0.35">
      <c r="A1901" s="63">
        <f t="shared" si="59"/>
        <v>1900</v>
      </c>
      <c r="B1901" s="54" t="s">
        <v>4650</v>
      </c>
      <c r="C1901" s="55" t="s">
        <v>4651</v>
      </c>
      <c r="D1901" s="54" t="s">
        <v>4387</v>
      </c>
      <c r="E1901" s="56">
        <v>0</v>
      </c>
      <c r="F1901" s="57" t="s">
        <v>792</v>
      </c>
      <c r="G1901" s="58">
        <v>1670</v>
      </c>
      <c r="H1901" s="59">
        <v>1670</v>
      </c>
      <c r="I1901" s="59">
        <f t="shared" si="58"/>
        <v>0</v>
      </c>
    </row>
    <row r="1902" spans="1:9" customFormat="1" x14ac:dyDescent="0.35">
      <c r="A1902" s="63">
        <f t="shared" si="59"/>
        <v>1901</v>
      </c>
      <c r="B1902" s="54" t="s">
        <v>4652</v>
      </c>
      <c r="C1902" s="55" t="s">
        <v>4653</v>
      </c>
      <c r="D1902" s="54" t="s">
        <v>4387</v>
      </c>
      <c r="E1902" s="56">
        <v>0</v>
      </c>
      <c r="F1902" s="57" t="s">
        <v>792</v>
      </c>
      <c r="G1902" s="58">
        <v>1870</v>
      </c>
      <c r="H1902" s="59">
        <v>1870</v>
      </c>
      <c r="I1902" s="59">
        <f t="shared" si="58"/>
        <v>0</v>
      </c>
    </row>
    <row r="1903" spans="1:9" customFormat="1" x14ac:dyDescent="0.35">
      <c r="A1903" s="63">
        <f t="shared" si="59"/>
        <v>1902</v>
      </c>
      <c r="B1903" s="54" t="s">
        <v>4654</v>
      </c>
      <c r="C1903" s="55" t="s">
        <v>4655</v>
      </c>
      <c r="D1903" s="54" t="s">
        <v>4387</v>
      </c>
      <c r="E1903" s="56">
        <v>0</v>
      </c>
      <c r="F1903" s="57" t="s">
        <v>792</v>
      </c>
      <c r="G1903" s="58">
        <v>1700</v>
      </c>
      <c r="H1903" s="59">
        <v>1700</v>
      </c>
      <c r="I1903" s="59">
        <f t="shared" si="58"/>
        <v>0</v>
      </c>
    </row>
    <row r="1904" spans="1:9" customFormat="1" x14ac:dyDescent="0.35">
      <c r="A1904" s="63">
        <f t="shared" si="59"/>
        <v>1903</v>
      </c>
      <c r="B1904" s="54" t="s">
        <v>4656</v>
      </c>
      <c r="C1904" s="55" t="s">
        <v>4657</v>
      </c>
      <c r="D1904" s="54" t="s">
        <v>4387</v>
      </c>
      <c r="E1904" s="56">
        <v>0</v>
      </c>
      <c r="F1904" s="57" t="s">
        <v>792</v>
      </c>
      <c r="G1904" s="58">
        <v>1810</v>
      </c>
      <c r="H1904" s="59">
        <v>1810</v>
      </c>
      <c r="I1904" s="59">
        <f t="shared" si="58"/>
        <v>0</v>
      </c>
    </row>
    <row r="1905" spans="1:9" customFormat="1" x14ac:dyDescent="0.35">
      <c r="A1905" s="63">
        <f t="shared" si="59"/>
        <v>1904</v>
      </c>
      <c r="B1905" s="54" t="s">
        <v>4658</v>
      </c>
      <c r="C1905" s="55" t="s">
        <v>4659</v>
      </c>
      <c r="D1905" s="54" t="s">
        <v>4387</v>
      </c>
      <c r="E1905" s="56">
        <v>0</v>
      </c>
      <c r="F1905" s="57" t="s">
        <v>792</v>
      </c>
      <c r="G1905" s="58">
        <v>1850</v>
      </c>
      <c r="H1905" s="59">
        <v>1850</v>
      </c>
      <c r="I1905" s="59">
        <f t="shared" si="58"/>
        <v>0</v>
      </c>
    </row>
    <row r="1906" spans="1:9" customFormat="1" x14ac:dyDescent="0.35">
      <c r="A1906" s="63">
        <f t="shared" si="59"/>
        <v>1905</v>
      </c>
      <c r="B1906" s="54" t="s">
        <v>4660</v>
      </c>
      <c r="C1906" s="55" t="s">
        <v>4661</v>
      </c>
      <c r="D1906" s="54" t="s">
        <v>4387</v>
      </c>
      <c r="E1906" s="56">
        <v>0</v>
      </c>
      <c r="F1906" s="57" t="s">
        <v>792</v>
      </c>
      <c r="G1906" s="58">
        <v>2050</v>
      </c>
      <c r="H1906" s="59">
        <v>2050</v>
      </c>
      <c r="I1906" s="59">
        <f t="shared" si="58"/>
        <v>0</v>
      </c>
    </row>
    <row r="1907" spans="1:9" customFormat="1" x14ac:dyDescent="0.35">
      <c r="A1907" s="63">
        <f t="shared" si="59"/>
        <v>1906</v>
      </c>
      <c r="B1907" s="54" t="s">
        <v>4662</v>
      </c>
      <c r="C1907" s="55" t="s">
        <v>4663</v>
      </c>
      <c r="D1907" s="54" t="s">
        <v>4387</v>
      </c>
      <c r="E1907" s="56">
        <v>0</v>
      </c>
      <c r="F1907" s="57" t="s">
        <v>792</v>
      </c>
      <c r="G1907" s="58">
        <v>2590</v>
      </c>
      <c r="H1907" s="59">
        <v>2590</v>
      </c>
      <c r="I1907" s="59">
        <f t="shared" si="58"/>
        <v>0</v>
      </c>
    </row>
    <row r="1908" spans="1:9" customFormat="1" x14ac:dyDescent="0.35">
      <c r="A1908" s="63">
        <f t="shared" si="59"/>
        <v>1907</v>
      </c>
      <c r="B1908" s="54" t="s">
        <v>4664</v>
      </c>
      <c r="C1908" s="55" t="s">
        <v>4665</v>
      </c>
      <c r="D1908" s="54" t="s">
        <v>4387</v>
      </c>
      <c r="E1908" s="56">
        <v>0</v>
      </c>
      <c r="F1908" s="57" t="s">
        <v>792</v>
      </c>
      <c r="G1908" s="58">
        <v>2550</v>
      </c>
      <c r="H1908" s="59">
        <v>2550</v>
      </c>
      <c r="I1908" s="59">
        <f t="shared" si="58"/>
        <v>0</v>
      </c>
    </row>
    <row r="1909" spans="1:9" customFormat="1" x14ac:dyDescent="0.35">
      <c r="A1909" s="63">
        <f t="shared" si="59"/>
        <v>1908</v>
      </c>
      <c r="B1909" s="54" t="s">
        <v>4666</v>
      </c>
      <c r="C1909" s="55" t="s">
        <v>4667</v>
      </c>
      <c r="D1909" s="54" t="s">
        <v>4387</v>
      </c>
      <c r="E1909" s="56">
        <v>0</v>
      </c>
      <c r="F1909" s="57" t="s">
        <v>792</v>
      </c>
      <c r="G1909" s="58">
        <v>2800</v>
      </c>
      <c r="H1909" s="59">
        <v>2800</v>
      </c>
      <c r="I1909" s="59">
        <f t="shared" si="58"/>
        <v>0</v>
      </c>
    </row>
    <row r="1910" spans="1:9" customFormat="1" x14ac:dyDescent="0.35">
      <c r="A1910" s="63">
        <f t="shared" si="59"/>
        <v>1909</v>
      </c>
      <c r="B1910" s="54" t="s">
        <v>4668</v>
      </c>
      <c r="C1910" s="55" t="s">
        <v>4669</v>
      </c>
      <c r="D1910" s="54" t="s">
        <v>4387</v>
      </c>
      <c r="E1910" s="56">
        <v>0</v>
      </c>
      <c r="F1910" s="57" t="s">
        <v>792</v>
      </c>
      <c r="G1910" s="58">
        <v>2800</v>
      </c>
      <c r="H1910" s="59">
        <v>2800</v>
      </c>
      <c r="I1910" s="59">
        <f t="shared" si="58"/>
        <v>0</v>
      </c>
    </row>
    <row r="1911" spans="1:9" customFormat="1" x14ac:dyDescent="0.35">
      <c r="A1911" s="63">
        <f t="shared" si="59"/>
        <v>1910</v>
      </c>
      <c r="B1911" s="54" t="s">
        <v>4670</v>
      </c>
      <c r="C1911" s="55" t="s">
        <v>4671</v>
      </c>
      <c r="D1911" s="54" t="s">
        <v>4387</v>
      </c>
      <c r="E1911" s="56">
        <v>0</v>
      </c>
      <c r="F1911" s="57" t="s">
        <v>792</v>
      </c>
      <c r="G1911" s="58">
        <v>2950</v>
      </c>
      <c r="H1911" s="59">
        <v>2950</v>
      </c>
      <c r="I1911" s="59">
        <f t="shared" si="58"/>
        <v>0</v>
      </c>
    </row>
    <row r="1912" spans="1:9" customFormat="1" x14ac:dyDescent="0.35">
      <c r="A1912" s="63">
        <f t="shared" si="59"/>
        <v>1911</v>
      </c>
      <c r="B1912" s="54" t="s">
        <v>4672</v>
      </c>
      <c r="C1912" s="55" t="s">
        <v>4673</v>
      </c>
      <c r="D1912" s="54" t="s">
        <v>4387</v>
      </c>
      <c r="E1912" s="56">
        <v>0</v>
      </c>
      <c r="F1912" s="57" t="s">
        <v>792</v>
      </c>
      <c r="G1912" s="58">
        <v>4930</v>
      </c>
      <c r="H1912" s="59">
        <v>4930</v>
      </c>
      <c r="I1912" s="59">
        <f t="shared" si="58"/>
        <v>0</v>
      </c>
    </row>
    <row r="1913" spans="1:9" customFormat="1" x14ac:dyDescent="0.35">
      <c r="A1913" s="63">
        <f t="shared" si="59"/>
        <v>1912</v>
      </c>
      <c r="B1913" s="54" t="s">
        <v>4674</v>
      </c>
      <c r="C1913" s="55" t="s">
        <v>4675</v>
      </c>
      <c r="D1913" s="54" t="s">
        <v>4387</v>
      </c>
      <c r="E1913" s="56">
        <v>0</v>
      </c>
      <c r="F1913" s="57" t="s">
        <v>792</v>
      </c>
      <c r="G1913" s="58">
        <v>5500</v>
      </c>
      <c r="H1913" s="59">
        <v>5500</v>
      </c>
      <c r="I1913" s="59">
        <f t="shared" si="58"/>
        <v>0</v>
      </c>
    </row>
    <row r="1914" spans="1:9" customFormat="1" x14ac:dyDescent="0.35">
      <c r="A1914" s="63">
        <f t="shared" si="59"/>
        <v>1913</v>
      </c>
      <c r="B1914" s="54" t="s">
        <v>4676</v>
      </c>
      <c r="C1914" s="55" t="s">
        <v>4677</v>
      </c>
      <c r="D1914" s="54" t="s">
        <v>4387</v>
      </c>
      <c r="E1914" s="56">
        <v>0</v>
      </c>
      <c r="F1914" s="57" t="s">
        <v>792</v>
      </c>
      <c r="G1914" s="58">
        <v>450</v>
      </c>
      <c r="H1914" s="59">
        <v>450</v>
      </c>
      <c r="I1914" s="59">
        <f t="shared" si="58"/>
        <v>0</v>
      </c>
    </row>
    <row r="1915" spans="1:9" customFormat="1" x14ac:dyDescent="0.35">
      <c r="A1915" s="63">
        <f t="shared" si="59"/>
        <v>1914</v>
      </c>
      <c r="B1915" s="54" t="s">
        <v>4678</v>
      </c>
      <c r="C1915" s="55" t="s">
        <v>4679</v>
      </c>
      <c r="D1915" s="54" t="s">
        <v>4387</v>
      </c>
      <c r="E1915" s="56">
        <v>0</v>
      </c>
      <c r="F1915" s="57" t="s">
        <v>792</v>
      </c>
      <c r="G1915" s="58">
        <v>510</v>
      </c>
      <c r="H1915" s="59">
        <v>510</v>
      </c>
      <c r="I1915" s="59">
        <f t="shared" si="58"/>
        <v>0</v>
      </c>
    </row>
    <row r="1916" spans="1:9" customFormat="1" x14ac:dyDescent="0.35">
      <c r="A1916" s="63">
        <f t="shared" si="59"/>
        <v>1915</v>
      </c>
      <c r="B1916" s="54" t="s">
        <v>4680</v>
      </c>
      <c r="C1916" s="55" t="s">
        <v>4681</v>
      </c>
      <c r="D1916" s="54" t="s">
        <v>4387</v>
      </c>
      <c r="E1916" s="56">
        <v>0</v>
      </c>
      <c r="F1916" s="57" t="s">
        <v>792</v>
      </c>
      <c r="G1916" s="58">
        <v>545</v>
      </c>
      <c r="H1916" s="59">
        <v>545</v>
      </c>
      <c r="I1916" s="59">
        <f t="shared" si="58"/>
        <v>0</v>
      </c>
    </row>
    <row r="1917" spans="1:9" customFormat="1" x14ac:dyDescent="0.35">
      <c r="A1917" s="63">
        <f t="shared" si="59"/>
        <v>1916</v>
      </c>
      <c r="B1917" s="54" t="s">
        <v>4682</v>
      </c>
      <c r="C1917" s="55" t="s">
        <v>4683</v>
      </c>
      <c r="D1917" s="54" t="s">
        <v>4387</v>
      </c>
      <c r="E1917" s="56">
        <v>0</v>
      </c>
      <c r="F1917" s="57" t="s">
        <v>792</v>
      </c>
      <c r="G1917" s="58">
        <v>605</v>
      </c>
      <c r="H1917" s="59">
        <v>605</v>
      </c>
      <c r="I1917" s="59">
        <f t="shared" si="58"/>
        <v>0</v>
      </c>
    </row>
    <row r="1918" spans="1:9" customFormat="1" x14ac:dyDescent="0.35">
      <c r="A1918" s="63">
        <f t="shared" si="59"/>
        <v>1917</v>
      </c>
      <c r="B1918" s="54" t="s">
        <v>4684</v>
      </c>
      <c r="C1918" s="55" t="s">
        <v>4685</v>
      </c>
      <c r="D1918" s="54" t="s">
        <v>4387</v>
      </c>
      <c r="E1918" s="56">
        <v>0</v>
      </c>
      <c r="F1918" s="57" t="s">
        <v>792</v>
      </c>
      <c r="G1918" s="58">
        <v>1480</v>
      </c>
      <c r="H1918" s="59">
        <v>1480</v>
      </c>
      <c r="I1918" s="59">
        <f t="shared" si="58"/>
        <v>0</v>
      </c>
    </row>
    <row r="1919" spans="1:9" customFormat="1" x14ac:dyDescent="0.35">
      <c r="A1919" s="63">
        <f t="shared" si="59"/>
        <v>1918</v>
      </c>
      <c r="B1919" s="54" t="s">
        <v>4686</v>
      </c>
      <c r="C1919" s="55" t="s">
        <v>4687</v>
      </c>
      <c r="D1919" s="54" t="s">
        <v>4387</v>
      </c>
      <c r="E1919" s="56">
        <v>0</v>
      </c>
      <c r="F1919" s="57" t="s">
        <v>792</v>
      </c>
      <c r="G1919" s="58">
        <v>850</v>
      </c>
      <c r="H1919" s="59">
        <v>850</v>
      </c>
      <c r="I1919" s="59">
        <f t="shared" si="58"/>
        <v>0</v>
      </c>
    </row>
    <row r="1920" spans="1:9" customFormat="1" x14ac:dyDescent="0.35">
      <c r="A1920" s="63">
        <f t="shared" si="59"/>
        <v>1919</v>
      </c>
      <c r="B1920" s="54" t="s">
        <v>4688</v>
      </c>
      <c r="C1920" s="55" t="s">
        <v>4689</v>
      </c>
      <c r="D1920" s="54" t="s">
        <v>4387</v>
      </c>
      <c r="E1920" s="56">
        <v>0</v>
      </c>
      <c r="F1920" s="57" t="s">
        <v>792</v>
      </c>
      <c r="G1920" s="58">
        <v>720</v>
      </c>
      <c r="H1920" s="59">
        <v>1140</v>
      </c>
      <c r="I1920" s="59">
        <f t="shared" si="58"/>
        <v>0</v>
      </c>
    </row>
    <row r="1921" spans="1:9" customFormat="1" x14ac:dyDescent="0.35">
      <c r="A1921" s="63">
        <f t="shared" si="59"/>
        <v>1920</v>
      </c>
      <c r="B1921" s="54" t="s">
        <v>4690</v>
      </c>
      <c r="C1921" s="55" t="s">
        <v>4691</v>
      </c>
      <c r="D1921" s="54" t="s">
        <v>4387</v>
      </c>
      <c r="E1921" s="56">
        <v>0</v>
      </c>
      <c r="F1921" s="57" t="s">
        <v>792</v>
      </c>
      <c r="G1921" s="58">
        <v>900</v>
      </c>
      <c r="H1921" s="59">
        <v>900</v>
      </c>
      <c r="I1921" s="59">
        <f t="shared" si="58"/>
        <v>0</v>
      </c>
    </row>
    <row r="1922" spans="1:9" customFormat="1" x14ac:dyDescent="0.35">
      <c r="A1922" s="63">
        <f t="shared" si="59"/>
        <v>1921</v>
      </c>
      <c r="B1922" s="54" t="s">
        <v>4692</v>
      </c>
      <c r="C1922" s="55" t="s">
        <v>4693</v>
      </c>
      <c r="D1922" s="54" t="s">
        <v>4387</v>
      </c>
      <c r="E1922" s="56">
        <v>0</v>
      </c>
      <c r="F1922" s="57" t="s">
        <v>792</v>
      </c>
      <c r="G1922" s="58">
        <v>0</v>
      </c>
      <c r="H1922" s="59">
        <v>3042</v>
      </c>
      <c r="I1922" s="59">
        <f t="shared" si="58"/>
        <v>0</v>
      </c>
    </row>
    <row r="1923" spans="1:9" customFormat="1" x14ac:dyDescent="0.35">
      <c r="A1923" s="63">
        <f t="shared" si="59"/>
        <v>1922</v>
      </c>
      <c r="B1923" s="54" t="s">
        <v>4694</v>
      </c>
      <c r="C1923" s="55" t="s">
        <v>4695</v>
      </c>
      <c r="D1923" s="54" t="s">
        <v>4387</v>
      </c>
      <c r="E1923" s="56">
        <v>0</v>
      </c>
      <c r="F1923" s="57" t="s">
        <v>792</v>
      </c>
      <c r="G1923" s="58">
        <v>0</v>
      </c>
      <c r="H1923" s="59">
        <v>3348</v>
      </c>
      <c r="I1923" s="59">
        <f t="shared" ref="I1923:I1986" si="60">H1923*E1923</f>
        <v>0</v>
      </c>
    </row>
    <row r="1924" spans="1:9" customFormat="1" x14ac:dyDescent="0.35">
      <c r="A1924" s="63">
        <f t="shared" ref="A1924:A1987" si="61">A1923+1</f>
        <v>1923</v>
      </c>
      <c r="B1924" s="54" t="s">
        <v>4696</v>
      </c>
      <c r="C1924" s="55" t="s">
        <v>4697</v>
      </c>
      <c r="D1924" s="54" t="s">
        <v>4387</v>
      </c>
      <c r="E1924" s="56">
        <v>0</v>
      </c>
      <c r="F1924" s="57" t="s">
        <v>792</v>
      </c>
      <c r="G1924" s="58">
        <v>650</v>
      </c>
      <c r="H1924" s="59">
        <v>650</v>
      </c>
      <c r="I1924" s="59">
        <f t="shared" si="60"/>
        <v>0</v>
      </c>
    </row>
    <row r="1925" spans="1:9" customFormat="1" x14ac:dyDescent="0.35">
      <c r="A1925" s="63">
        <f t="shared" si="61"/>
        <v>1924</v>
      </c>
      <c r="B1925" s="54" t="s">
        <v>4698</v>
      </c>
      <c r="C1925" s="55" t="s">
        <v>4699</v>
      </c>
      <c r="D1925" s="54" t="s">
        <v>4387</v>
      </c>
      <c r="E1925" s="56">
        <v>0</v>
      </c>
      <c r="F1925" s="57" t="s">
        <v>792</v>
      </c>
      <c r="G1925" s="58">
        <v>800</v>
      </c>
      <c r="H1925" s="59">
        <v>800</v>
      </c>
      <c r="I1925" s="59">
        <f t="shared" si="60"/>
        <v>0</v>
      </c>
    </row>
    <row r="1926" spans="1:9" customFormat="1" x14ac:dyDescent="0.35">
      <c r="A1926" s="63">
        <f t="shared" si="61"/>
        <v>1925</v>
      </c>
      <c r="B1926" s="54" t="s">
        <v>4700</v>
      </c>
      <c r="C1926" s="55" t="s">
        <v>4701</v>
      </c>
      <c r="D1926" s="54" t="s">
        <v>4387</v>
      </c>
      <c r="E1926" s="56">
        <v>0</v>
      </c>
      <c r="F1926" s="57" t="s">
        <v>792</v>
      </c>
      <c r="G1926" s="58">
        <v>600</v>
      </c>
      <c r="H1926" s="59">
        <v>600</v>
      </c>
      <c r="I1926" s="59">
        <f t="shared" si="60"/>
        <v>0</v>
      </c>
    </row>
    <row r="1927" spans="1:9" customFormat="1" x14ac:dyDescent="0.35">
      <c r="A1927" s="63">
        <f t="shared" si="61"/>
        <v>1926</v>
      </c>
      <c r="B1927" s="54" t="s">
        <v>4702</v>
      </c>
      <c r="C1927" s="55" t="s">
        <v>4703</v>
      </c>
      <c r="D1927" s="54" t="s">
        <v>4387</v>
      </c>
      <c r="E1927" s="56">
        <v>0</v>
      </c>
      <c r="F1927" s="57" t="s">
        <v>792</v>
      </c>
      <c r="G1927" s="58">
        <v>650</v>
      </c>
      <c r="H1927" s="59">
        <v>650</v>
      </c>
      <c r="I1927" s="59">
        <f t="shared" si="60"/>
        <v>0</v>
      </c>
    </row>
    <row r="1928" spans="1:9" customFormat="1" x14ac:dyDescent="0.35">
      <c r="A1928" s="63">
        <f t="shared" si="61"/>
        <v>1927</v>
      </c>
      <c r="B1928" s="54" t="s">
        <v>4704</v>
      </c>
      <c r="C1928" s="55" t="s">
        <v>4705</v>
      </c>
      <c r="D1928" s="54" t="s">
        <v>4387</v>
      </c>
      <c r="E1928" s="56">
        <v>0</v>
      </c>
      <c r="F1928" s="57" t="s">
        <v>792</v>
      </c>
      <c r="G1928" s="58">
        <v>750</v>
      </c>
      <c r="H1928" s="59">
        <v>750</v>
      </c>
      <c r="I1928" s="59">
        <f t="shared" si="60"/>
        <v>0</v>
      </c>
    </row>
    <row r="1929" spans="1:9" customFormat="1" x14ac:dyDescent="0.35">
      <c r="A1929" s="63">
        <f t="shared" si="61"/>
        <v>1928</v>
      </c>
      <c r="B1929" s="54" t="s">
        <v>4706</v>
      </c>
      <c r="C1929" s="55" t="s">
        <v>4707</v>
      </c>
      <c r="D1929" s="54" t="s">
        <v>4387</v>
      </c>
      <c r="E1929" s="56">
        <v>0</v>
      </c>
      <c r="F1929" s="57" t="s">
        <v>792</v>
      </c>
      <c r="G1929" s="58">
        <v>800</v>
      </c>
      <c r="H1929" s="59">
        <v>800</v>
      </c>
      <c r="I1929" s="59">
        <f t="shared" si="60"/>
        <v>0</v>
      </c>
    </row>
    <row r="1930" spans="1:9" customFormat="1" x14ac:dyDescent="0.35">
      <c r="A1930" s="63">
        <f t="shared" si="61"/>
        <v>1929</v>
      </c>
      <c r="B1930" s="54" t="s">
        <v>4708</v>
      </c>
      <c r="C1930" s="55" t="s">
        <v>4709</v>
      </c>
      <c r="D1930" s="54" t="s">
        <v>4387</v>
      </c>
      <c r="E1930" s="56">
        <v>0</v>
      </c>
      <c r="F1930" s="57" t="s">
        <v>792</v>
      </c>
      <c r="G1930" s="58">
        <v>550</v>
      </c>
      <c r="H1930" s="59">
        <v>550</v>
      </c>
      <c r="I1930" s="59">
        <f t="shared" si="60"/>
        <v>0</v>
      </c>
    </row>
    <row r="1931" spans="1:9" customFormat="1" x14ac:dyDescent="0.35">
      <c r="A1931" s="63">
        <f t="shared" si="61"/>
        <v>1930</v>
      </c>
      <c r="B1931" s="54" t="s">
        <v>4710</v>
      </c>
      <c r="C1931" s="55" t="s">
        <v>4711</v>
      </c>
      <c r="D1931" s="54" t="s">
        <v>4387</v>
      </c>
      <c r="E1931" s="56">
        <v>0</v>
      </c>
      <c r="F1931" s="57" t="s">
        <v>792</v>
      </c>
      <c r="G1931" s="58">
        <v>0</v>
      </c>
      <c r="H1931" s="59">
        <v>0</v>
      </c>
      <c r="I1931" s="59">
        <f t="shared" si="60"/>
        <v>0</v>
      </c>
    </row>
    <row r="1932" spans="1:9" customFormat="1" x14ac:dyDescent="0.35">
      <c r="A1932" s="63">
        <f t="shared" si="61"/>
        <v>1931</v>
      </c>
      <c r="B1932" s="54" t="s">
        <v>4712</v>
      </c>
      <c r="C1932" s="55" t="s">
        <v>4713</v>
      </c>
      <c r="D1932" s="54" t="s">
        <v>4387</v>
      </c>
      <c r="E1932" s="56">
        <v>0</v>
      </c>
      <c r="F1932" s="57" t="s">
        <v>792</v>
      </c>
      <c r="G1932" s="58">
        <v>1150</v>
      </c>
      <c r="H1932" s="59">
        <v>1150</v>
      </c>
      <c r="I1932" s="59">
        <f t="shared" si="60"/>
        <v>0</v>
      </c>
    </row>
    <row r="1933" spans="1:9" customFormat="1" x14ac:dyDescent="0.35">
      <c r="A1933" s="63">
        <f t="shared" si="61"/>
        <v>1932</v>
      </c>
      <c r="B1933" s="54" t="s">
        <v>4714</v>
      </c>
      <c r="C1933" s="55" t="s">
        <v>4715</v>
      </c>
      <c r="D1933" s="54" t="s">
        <v>4387</v>
      </c>
      <c r="E1933" s="56">
        <v>0</v>
      </c>
      <c r="F1933" s="57" t="s">
        <v>792</v>
      </c>
      <c r="G1933" s="58">
        <v>1290</v>
      </c>
      <c r="H1933" s="59">
        <v>1290</v>
      </c>
      <c r="I1933" s="59">
        <f t="shared" si="60"/>
        <v>0</v>
      </c>
    </row>
    <row r="1934" spans="1:9" customFormat="1" x14ac:dyDescent="0.35">
      <c r="A1934" s="63">
        <f t="shared" si="61"/>
        <v>1933</v>
      </c>
      <c r="B1934" s="54" t="s">
        <v>4716</v>
      </c>
      <c r="C1934" s="55" t="s">
        <v>4717</v>
      </c>
      <c r="D1934" s="54" t="s">
        <v>4387</v>
      </c>
      <c r="E1934" s="56">
        <v>0</v>
      </c>
      <c r="F1934" s="57" t="s">
        <v>792</v>
      </c>
      <c r="G1934" s="58">
        <v>900</v>
      </c>
      <c r="H1934" s="59">
        <v>900</v>
      </c>
      <c r="I1934" s="59">
        <f t="shared" si="60"/>
        <v>0</v>
      </c>
    </row>
    <row r="1935" spans="1:9" customFormat="1" x14ac:dyDescent="0.35">
      <c r="A1935" s="63">
        <f t="shared" si="61"/>
        <v>1934</v>
      </c>
      <c r="B1935" s="54" t="s">
        <v>4718</v>
      </c>
      <c r="C1935" s="55" t="s">
        <v>4719</v>
      </c>
      <c r="D1935" s="54" t="s">
        <v>4387</v>
      </c>
      <c r="E1935" s="56">
        <v>0</v>
      </c>
      <c r="F1935" s="57" t="s">
        <v>792</v>
      </c>
      <c r="G1935" s="58">
        <v>1000</v>
      </c>
      <c r="H1935" s="59">
        <v>1000</v>
      </c>
      <c r="I1935" s="59">
        <f t="shared" si="60"/>
        <v>0</v>
      </c>
    </row>
    <row r="1936" spans="1:9" customFormat="1" x14ac:dyDescent="0.35">
      <c r="A1936" s="63">
        <f t="shared" si="61"/>
        <v>1935</v>
      </c>
      <c r="B1936" s="54" t="s">
        <v>4720</v>
      </c>
      <c r="C1936" s="55" t="s">
        <v>4721</v>
      </c>
      <c r="D1936" s="54" t="s">
        <v>4387</v>
      </c>
      <c r="E1936" s="56">
        <v>0</v>
      </c>
      <c r="F1936" s="57" t="s">
        <v>792</v>
      </c>
      <c r="G1936" s="58">
        <v>900</v>
      </c>
      <c r="H1936" s="59">
        <v>900</v>
      </c>
      <c r="I1936" s="59">
        <f t="shared" si="60"/>
        <v>0</v>
      </c>
    </row>
    <row r="1937" spans="1:9" customFormat="1" x14ac:dyDescent="0.35">
      <c r="A1937" s="63">
        <f t="shared" si="61"/>
        <v>1936</v>
      </c>
      <c r="B1937" s="54" t="s">
        <v>4722</v>
      </c>
      <c r="C1937" s="55" t="s">
        <v>4723</v>
      </c>
      <c r="D1937" s="54" t="s">
        <v>4387</v>
      </c>
      <c r="E1937" s="56">
        <v>0</v>
      </c>
      <c r="F1937" s="57" t="s">
        <v>792</v>
      </c>
      <c r="G1937" s="58">
        <v>590</v>
      </c>
      <c r="H1937" s="59">
        <v>590</v>
      </c>
      <c r="I1937" s="59">
        <f t="shared" si="60"/>
        <v>0</v>
      </c>
    </row>
    <row r="1938" spans="1:9" customFormat="1" x14ac:dyDescent="0.35">
      <c r="A1938" s="63">
        <f t="shared" si="61"/>
        <v>1937</v>
      </c>
      <c r="B1938" s="54" t="s">
        <v>4724</v>
      </c>
      <c r="C1938" s="55" t="s">
        <v>4725</v>
      </c>
      <c r="D1938" s="54" t="s">
        <v>4387</v>
      </c>
      <c r="E1938" s="56">
        <v>0</v>
      </c>
      <c r="F1938" s="57" t="s">
        <v>792</v>
      </c>
      <c r="G1938" s="58">
        <v>0</v>
      </c>
      <c r="H1938" s="59">
        <v>0</v>
      </c>
      <c r="I1938" s="59">
        <f t="shared" si="60"/>
        <v>0</v>
      </c>
    </row>
    <row r="1939" spans="1:9" customFormat="1" x14ac:dyDescent="0.35">
      <c r="A1939" s="63">
        <f t="shared" si="61"/>
        <v>1938</v>
      </c>
      <c r="B1939" s="54" t="s">
        <v>4726</v>
      </c>
      <c r="C1939" s="55" t="s">
        <v>4727</v>
      </c>
      <c r="D1939" s="54" t="s">
        <v>4387</v>
      </c>
      <c r="E1939" s="56">
        <v>0</v>
      </c>
      <c r="F1939" s="57" t="s">
        <v>792</v>
      </c>
      <c r="G1939" s="58">
        <v>4700</v>
      </c>
      <c r="H1939" s="59">
        <v>4700</v>
      </c>
      <c r="I1939" s="59">
        <f t="shared" si="60"/>
        <v>0</v>
      </c>
    </row>
    <row r="1940" spans="1:9" customFormat="1" x14ac:dyDescent="0.35">
      <c r="A1940" s="63">
        <f t="shared" si="61"/>
        <v>1939</v>
      </c>
      <c r="B1940" s="54" t="s">
        <v>4728</v>
      </c>
      <c r="C1940" s="55" t="s">
        <v>4729</v>
      </c>
      <c r="D1940" s="54" t="s">
        <v>4387</v>
      </c>
      <c r="E1940" s="56">
        <v>0</v>
      </c>
      <c r="F1940" s="57" t="s">
        <v>792</v>
      </c>
      <c r="G1940" s="58">
        <v>4050</v>
      </c>
      <c r="H1940" s="59">
        <v>4050</v>
      </c>
      <c r="I1940" s="59">
        <f t="shared" si="60"/>
        <v>0</v>
      </c>
    </row>
    <row r="1941" spans="1:9" customFormat="1" x14ac:dyDescent="0.35">
      <c r="A1941" s="63">
        <f t="shared" si="61"/>
        <v>1940</v>
      </c>
      <c r="B1941" s="54" t="s">
        <v>4730</v>
      </c>
      <c r="C1941" s="55" t="s">
        <v>4731</v>
      </c>
      <c r="D1941" s="54" t="s">
        <v>4387</v>
      </c>
      <c r="E1941" s="56">
        <v>0</v>
      </c>
      <c r="F1941" s="57" t="s">
        <v>792</v>
      </c>
      <c r="G1941" s="58">
        <v>1580</v>
      </c>
      <c r="H1941" s="59">
        <v>2700</v>
      </c>
      <c r="I1941" s="59">
        <f t="shared" si="60"/>
        <v>0</v>
      </c>
    </row>
    <row r="1942" spans="1:9" customFormat="1" x14ac:dyDescent="0.35">
      <c r="A1942" s="63">
        <f t="shared" si="61"/>
        <v>1941</v>
      </c>
      <c r="B1942" s="54" t="s">
        <v>4732</v>
      </c>
      <c r="C1942" s="55" t="s">
        <v>4733</v>
      </c>
      <c r="D1942" s="54" t="s">
        <v>4387</v>
      </c>
      <c r="E1942" s="56">
        <v>0</v>
      </c>
      <c r="F1942" s="57" t="s">
        <v>792</v>
      </c>
      <c r="G1942" s="58">
        <v>1690</v>
      </c>
      <c r="H1942" s="59">
        <v>1690</v>
      </c>
      <c r="I1942" s="59">
        <f t="shared" si="60"/>
        <v>0</v>
      </c>
    </row>
    <row r="1943" spans="1:9" customFormat="1" x14ac:dyDescent="0.35">
      <c r="A1943" s="63">
        <f t="shared" si="61"/>
        <v>1942</v>
      </c>
      <c r="B1943" s="54" t="s">
        <v>4734</v>
      </c>
      <c r="C1943" s="55" t="s">
        <v>4735</v>
      </c>
      <c r="D1943" s="54" t="s">
        <v>4387</v>
      </c>
      <c r="E1943" s="56">
        <v>0</v>
      </c>
      <c r="F1943" s="57" t="s">
        <v>792</v>
      </c>
      <c r="G1943" s="58">
        <v>0</v>
      </c>
      <c r="H1943" s="59">
        <v>0</v>
      </c>
      <c r="I1943" s="59">
        <f t="shared" si="60"/>
        <v>0</v>
      </c>
    </row>
    <row r="1944" spans="1:9" customFormat="1" x14ac:dyDescent="0.35">
      <c r="A1944" s="63">
        <f t="shared" si="61"/>
        <v>1943</v>
      </c>
      <c r="B1944" s="54" t="s">
        <v>4736</v>
      </c>
      <c r="C1944" s="55" t="s">
        <v>4737</v>
      </c>
      <c r="D1944" s="54" t="s">
        <v>4387</v>
      </c>
      <c r="E1944" s="56">
        <v>0</v>
      </c>
      <c r="F1944" s="57" t="s">
        <v>792</v>
      </c>
      <c r="G1944" s="58">
        <v>18000</v>
      </c>
      <c r="H1944" s="59">
        <v>18000</v>
      </c>
      <c r="I1944" s="59">
        <f t="shared" si="60"/>
        <v>0</v>
      </c>
    </row>
    <row r="1945" spans="1:9" customFormat="1" x14ac:dyDescent="0.35">
      <c r="A1945" s="63">
        <f t="shared" si="61"/>
        <v>1944</v>
      </c>
      <c r="B1945" s="54" t="s">
        <v>4738</v>
      </c>
      <c r="C1945" s="55" t="s">
        <v>4739</v>
      </c>
      <c r="D1945" s="54" t="s">
        <v>4387</v>
      </c>
      <c r="E1945" s="56">
        <v>0</v>
      </c>
      <c r="F1945" s="57" t="s">
        <v>792</v>
      </c>
      <c r="G1945" s="58">
        <v>95510</v>
      </c>
      <c r="H1945" s="59">
        <v>95510</v>
      </c>
      <c r="I1945" s="59">
        <f t="shared" si="60"/>
        <v>0</v>
      </c>
    </row>
    <row r="1946" spans="1:9" customFormat="1" x14ac:dyDescent="0.35">
      <c r="A1946" s="63">
        <f t="shared" si="61"/>
        <v>1945</v>
      </c>
      <c r="B1946" s="54" t="s">
        <v>4740</v>
      </c>
      <c r="C1946" s="55" t="s">
        <v>4741</v>
      </c>
      <c r="D1946" s="54" t="s">
        <v>4387</v>
      </c>
      <c r="E1946" s="56">
        <v>0</v>
      </c>
      <c r="F1946" s="57" t="s">
        <v>792</v>
      </c>
      <c r="G1946" s="58">
        <v>44850</v>
      </c>
      <c r="H1946" s="59">
        <v>44850</v>
      </c>
      <c r="I1946" s="59">
        <f t="shared" si="60"/>
        <v>0</v>
      </c>
    </row>
    <row r="1947" spans="1:9" customFormat="1" x14ac:dyDescent="0.35">
      <c r="A1947" s="63">
        <f t="shared" si="61"/>
        <v>1946</v>
      </c>
      <c r="B1947" s="54" t="s">
        <v>4742</v>
      </c>
      <c r="C1947" s="55" t="s">
        <v>4743</v>
      </c>
      <c r="D1947" s="54" t="s">
        <v>4387</v>
      </c>
      <c r="E1947" s="56">
        <v>0</v>
      </c>
      <c r="F1947" s="57" t="s">
        <v>792</v>
      </c>
      <c r="G1947" s="58">
        <v>193833.34</v>
      </c>
      <c r="H1947" s="59">
        <v>193833.33</v>
      </c>
      <c r="I1947" s="59">
        <f t="shared" si="60"/>
        <v>0</v>
      </c>
    </row>
    <row r="1948" spans="1:9" customFormat="1" x14ac:dyDescent="0.35">
      <c r="A1948" s="63">
        <f t="shared" si="61"/>
        <v>1947</v>
      </c>
      <c r="B1948" s="54" t="s">
        <v>4744</v>
      </c>
      <c r="C1948" s="55" t="s">
        <v>4745</v>
      </c>
      <c r="D1948" s="54" t="s">
        <v>4387</v>
      </c>
      <c r="E1948" s="56">
        <v>0</v>
      </c>
      <c r="F1948" s="57" t="s">
        <v>792</v>
      </c>
      <c r="G1948" s="58">
        <v>193833.33</v>
      </c>
      <c r="H1948" s="59">
        <v>193833.33</v>
      </c>
      <c r="I1948" s="59">
        <f t="shared" si="60"/>
        <v>0</v>
      </c>
    </row>
    <row r="1949" spans="1:9" customFormat="1" x14ac:dyDescent="0.35">
      <c r="A1949" s="63">
        <f t="shared" si="61"/>
        <v>1948</v>
      </c>
      <c r="B1949" s="54" t="s">
        <v>4746</v>
      </c>
      <c r="C1949" s="55" t="s">
        <v>4747</v>
      </c>
      <c r="D1949" s="54" t="s">
        <v>4387</v>
      </c>
      <c r="E1949" s="56">
        <v>0</v>
      </c>
      <c r="F1949" s="57" t="s">
        <v>792</v>
      </c>
      <c r="G1949" s="58">
        <v>193833.33</v>
      </c>
      <c r="H1949" s="59">
        <v>193833.33</v>
      </c>
      <c r="I1949" s="59">
        <f t="shared" si="60"/>
        <v>0</v>
      </c>
    </row>
    <row r="1950" spans="1:9" customFormat="1" x14ac:dyDescent="0.35">
      <c r="A1950" s="63">
        <f t="shared" si="61"/>
        <v>1949</v>
      </c>
      <c r="B1950" s="54" t="s">
        <v>4748</v>
      </c>
      <c r="C1950" s="55" t="s">
        <v>4749</v>
      </c>
      <c r="D1950" s="54" t="s">
        <v>4387</v>
      </c>
      <c r="E1950" s="56">
        <v>0</v>
      </c>
      <c r="F1950" s="57" t="s">
        <v>977</v>
      </c>
      <c r="G1950" s="58">
        <v>4920</v>
      </c>
      <c r="H1950" s="59">
        <v>17808</v>
      </c>
      <c r="I1950" s="59">
        <f t="shared" si="60"/>
        <v>0</v>
      </c>
    </row>
    <row r="1951" spans="1:9" customFormat="1" x14ac:dyDescent="0.35">
      <c r="A1951" s="63">
        <f t="shared" si="61"/>
        <v>1950</v>
      </c>
      <c r="B1951" s="54" t="s">
        <v>4750</v>
      </c>
      <c r="C1951" s="55" t="s">
        <v>4751</v>
      </c>
      <c r="D1951" s="54" t="s">
        <v>4387</v>
      </c>
      <c r="E1951" s="56">
        <v>0</v>
      </c>
      <c r="F1951" s="57" t="s">
        <v>977</v>
      </c>
      <c r="G1951" s="58">
        <v>138000</v>
      </c>
      <c r="H1951" s="59">
        <v>0</v>
      </c>
      <c r="I1951" s="59">
        <f t="shared" si="60"/>
        <v>0</v>
      </c>
    </row>
    <row r="1952" spans="1:9" customFormat="1" x14ac:dyDescent="0.35">
      <c r="A1952" s="63">
        <f t="shared" si="61"/>
        <v>1951</v>
      </c>
      <c r="B1952" s="54" t="s">
        <v>4752</v>
      </c>
      <c r="C1952" s="55" t="s">
        <v>4753</v>
      </c>
      <c r="D1952" s="54" t="s">
        <v>4387</v>
      </c>
      <c r="E1952" s="56">
        <v>0</v>
      </c>
      <c r="F1952" s="57" t="s">
        <v>792</v>
      </c>
      <c r="G1952" s="58">
        <v>42900</v>
      </c>
      <c r="H1952" s="59">
        <v>42900</v>
      </c>
      <c r="I1952" s="59">
        <f t="shared" si="60"/>
        <v>0</v>
      </c>
    </row>
    <row r="1953" spans="1:9" customFormat="1" x14ac:dyDescent="0.35">
      <c r="A1953" s="63">
        <f t="shared" si="61"/>
        <v>1952</v>
      </c>
      <c r="B1953" s="54" t="s">
        <v>4754</v>
      </c>
      <c r="C1953" s="55" t="s">
        <v>4755</v>
      </c>
      <c r="D1953" s="54" t="s">
        <v>4387</v>
      </c>
      <c r="E1953" s="56">
        <v>0</v>
      </c>
      <c r="F1953" s="57" t="s">
        <v>792</v>
      </c>
      <c r="G1953" s="58">
        <v>14000</v>
      </c>
      <c r="H1953" s="59">
        <v>23800</v>
      </c>
      <c r="I1953" s="59">
        <f t="shared" si="60"/>
        <v>0</v>
      </c>
    </row>
    <row r="1954" spans="1:9" customFormat="1" x14ac:dyDescent="0.35">
      <c r="A1954" s="63">
        <f t="shared" si="61"/>
        <v>1953</v>
      </c>
      <c r="B1954" s="54" t="s">
        <v>4756</v>
      </c>
      <c r="C1954" s="55" t="s">
        <v>4757</v>
      </c>
      <c r="D1954" s="54" t="s">
        <v>4387</v>
      </c>
      <c r="E1954" s="56">
        <v>0</v>
      </c>
      <c r="F1954" s="57" t="s">
        <v>792</v>
      </c>
      <c r="G1954" s="58">
        <v>16300</v>
      </c>
      <c r="H1954" s="59">
        <v>27200</v>
      </c>
      <c r="I1954" s="59">
        <f t="shared" si="60"/>
        <v>0</v>
      </c>
    </row>
    <row r="1955" spans="1:9" customFormat="1" x14ac:dyDescent="0.35">
      <c r="A1955" s="63">
        <f t="shared" si="61"/>
        <v>1954</v>
      </c>
      <c r="B1955" s="54" t="s">
        <v>4758</v>
      </c>
      <c r="C1955" s="55" t="s">
        <v>4759</v>
      </c>
      <c r="D1955" s="54" t="s">
        <v>4387</v>
      </c>
      <c r="E1955" s="56">
        <v>0</v>
      </c>
      <c r="F1955" s="57" t="s">
        <v>792</v>
      </c>
      <c r="G1955" s="58">
        <v>16029</v>
      </c>
      <c r="H1955" s="59">
        <v>24660</v>
      </c>
      <c r="I1955" s="59">
        <f t="shared" si="60"/>
        <v>0</v>
      </c>
    </row>
    <row r="1956" spans="1:9" customFormat="1" x14ac:dyDescent="0.35">
      <c r="A1956" s="63">
        <f t="shared" si="61"/>
        <v>1955</v>
      </c>
      <c r="B1956" s="54" t="s">
        <v>4760</v>
      </c>
      <c r="C1956" s="55" t="s">
        <v>4761</v>
      </c>
      <c r="D1956" s="54" t="s">
        <v>4387</v>
      </c>
      <c r="E1956" s="56">
        <v>0</v>
      </c>
      <c r="F1956" s="57" t="s">
        <v>792</v>
      </c>
      <c r="G1956" s="58">
        <v>34460</v>
      </c>
      <c r="H1956" s="59">
        <v>34460</v>
      </c>
      <c r="I1956" s="59">
        <f t="shared" si="60"/>
        <v>0</v>
      </c>
    </row>
    <row r="1957" spans="1:9" customFormat="1" x14ac:dyDescent="0.35">
      <c r="A1957" s="63">
        <f t="shared" si="61"/>
        <v>1956</v>
      </c>
      <c r="B1957" s="54" t="s">
        <v>4762</v>
      </c>
      <c r="C1957" s="55" t="s">
        <v>4763</v>
      </c>
      <c r="D1957" s="54" t="s">
        <v>4387</v>
      </c>
      <c r="E1957" s="56">
        <v>0</v>
      </c>
      <c r="F1957" s="57" t="s">
        <v>792</v>
      </c>
      <c r="G1957" s="58">
        <v>36500</v>
      </c>
      <c r="H1957" s="59">
        <v>36500</v>
      </c>
      <c r="I1957" s="59">
        <f t="shared" si="60"/>
        <v>0</v>
      </c>
    </row>
    <row r="1958" spans="1:9" customFormat="1" x14ac:dyDescent="0.35">
      <c r="A1958" s="63">
        <f t="shared" si="61"/>
        <v>1957</v>
      </c>
      <c r="B1958" s="54" t="s">
        <v>4764</v>
      </c>
      <c r="C1958" s="55" t="s">
        <v>4765</v>
      </c>
      <c r="D1958" s="54" t="s">
        <v>4387</v>
      </c>
      <c r="E1958" s="56">
        <v>0</v>
      </c>
      <c r="F1958" s="57" t="s">
        <v>792</v>
      </c>
      <c r="G1958" s="58">
        <v>72660</v>
      </c>
      <c r="H1958" s="59">
        <v>72660</v>
      </c>
      <c r="I1958" s="59">
        <f t="shared" si="60"/>
        <v>0</v>
      </c>
    </row>
    <row r="1959" spans="1:9" customFormat="1" x14ac:dyDescent="0.35">
      <c r="A1959" s="63">
        <f t="shared" si="61"/>
        <v>1958</v>
      </c>
      <c r="B1959" s="54" t="s">
        <v>4766</v>
      </c>
      <c r="C1959" s="55" t="s">
        <v>4767</v>
      </c>
      <c r="D1959" s="54" t="s">
        <v>4387</v>
      </c>
      <c r="E1959" s="56">
        <v>0</v>
      </c>
      <c r="F1959" s="57" t="s">
        <v>792</v>
      </c>
      <c r="G1959" s="58">
        <v>90020</v>
      </c>
      <c r="H1959" s="59">
        <v>90020</v>
      </c>
      <c r="I1959" s="59">
        <f t="shared" si="60"/>
        <v>0</v>
      </c>
    </row>
    <row r="1960" spans="1:9" customFormat="1" x14ac:dyDescent="0.35">
      <c r="A1960" s="63">
        <f t="shared" si="61"/>
        <v>1959</v>
      </c>
      <c r="B1960" s="54" t="s">
        <v>4768</v>
      </c>
      <c r="C1960" s="55" t="s">
        <v>4769</v>
      </c>
      <c r="D1960" s="54" t="s">
        <v>4387</v>
      </c>
      <c r="E1960" s="56">
        <v>0</v>
      </c>
      <c r="F1960" s="57" t="s">
        <v>3285</v>
      </c>
      <c r="G1960" s="58">
        <v>20000</v>
      </c>
      <c r="H1960" s="59">
        <v>20000</v>
      </c>
      <c r="I1960" s="59">
        <f t="shared" si="60"/>
        <v>0</v>
      </c>
    </row>
    <row r="1961" spans="1:9" customFormat="1" x14ac:dyDescent="0.35">
      <c r="A1961" s="63">
        <f t="shared" si="61"/>
        <v>1960</v>
      </c>
      <c r="B1961" s="54" t="s">
        <v>4770</v>
      </c>
      <c r="C1961" s="55" t="s">
        <v>4771</v>
      </c>
      <c r="D1961" s="54" t="s">
        <v>4387</v>
      </c>
      <c r="E1961" s="56">
        <v>0</v>
      </c>
      <c r="F1961" s="57" t="s">
        <v>792</v>
      </c>
      <c r="G1961" s="58">
        <v>0</v>
      </c>
      <c r="H1961" s="59">
        <v>75000</v>
      </c>
      <c r="I1961" s="59">
        <f t="shared" si="60"/>
        <v>0</v>
      </c>
    </row>
    <row r="1962" spans="1:9" customFormat="1" x14ac:dyDescent="0.35">
      <c r="A1962" s="63">
        <f t="shared" si="61"/>
        <v>1961</v>
      </c>
      <c r="B1962" s="54" t="s">
        <v>4772</v>
      </c>
      <c r="C1962" s="55" t="s">
        <v>4773</v>
      </c>
      <c r="D1962" s="54" t="s">
        <v>4387</v>
      </c>
      <c r="E1962" s="56">
        <v>0</v>
      </c>
      <c r="F1962" s="57" t="s">
        <v>792</v>
      </c>
      <c r="G1962" s="58">
        <v>16000</v>
      </c>
      <c r="H1962" s="59">
        <v>16000</v>
      </c>
      <c r="I1962" s="59">
        <f t="shared" si="60"/>
        <v>0</v>
      </c>
    </row>
    <row r="1963" spans="1:9" customFormat="1" ht="23" x14ac:dyDescent="0.35">
      <c r="A1963" s="63">
        <f t="shared" si="61"/>
        <v>1962</v>
      </c>
      <c r="B1963" s="54" t="s">
        <v>4774</v>
      </c>
      <c r="C1963" s="55" t="s">
        <v>4775</v>
      </c>
      <c r="D1963" s="54" t="s">
        <v>4387</v>
      </c>
      <c r="E1963" s="56">
        <v>0</v>
      </c>
      <c r="F1963" s="57" t="s">
        <v>792</v>
      </c>
      <c r="G1963" s="58">
        <v>536814</v>
      </c>
      <c r="H1963" s="59">
        <v>536814</v>
      </c>
      <c r="I1963" s="59">
        <f t="shared" si="60"/>
        <v>0</v>
      </c>
    </row>
    <row r="1964" spans="1:9" customFormat="1" ht="23" x14ac:dyDescent="0.35">
      <c r="A1964" s="63">
        <f t="shared" si="61"/>
        <v>1963</v>
      </c>
      <c r="B1964" s="54" t="s">
        <v>4776</v>
      </c>
      <c r="C1964" s="55" t="s">
        <v>4777</v>
      </c>
      <c r="D1964" s="54" t="s">
        <v>4387</v>
      </c>
      <c r="E1964" s="56">
        <v>0</v>
      </c>
      <c r="F1964" s="57" t="s">
        <v>870</v>
      </c>
      <c r="G1964" s="58">
        <v>46000</v>
      </c>
      <c r="H1964" s="59">
        <v>69000</v>
      </c>
      <c r="I1964" s="59">
        <f t="shared" si="60"/>
        <v>0</v>
      </c>
    </row>
    <row r="1965" spans="1:9" customFormat="1" x14ac:dyDescent="0.35">
      <c r="A1965" s="63">
        <f t="shared" si="61"/>
        <v>1964</v>
      </c>
      <c r="B1965" s="54" t="s">
        <v>4778</v>
      </c>
      <c r="C1965" s="55" t="s">
        <v>4779</v>
      </c>
      <c r="D1965" s="54" t="s">
        <v>4387</v>
      </c>
      <c r="E1965" s="56">
        <v>0</v>
      </c>
      <c r="F1965" s="57" t="s">
        <v>792</v>
      </c>
      <c r="G1965" s="58">
        <v>19000</v>
      </c>
      <c r="H1965" s="59">
        <v>19000</v>
      </c>
      <c r="I1965" s="59">
        <f t="shared" si="60"/>
        <v>0</v>
      </c>
    </row>
    <row r="1966" spans="1:9" customFormat="1" x14ac:dyDescent="0.35">
      <c r="A1966" s="63">
        <f t="shared" si="61"/>
        <v>1965</v>
      </c>
      <c r="B1966" s="54" t="s">
        <v>4780</v>
      </c>
      <c r="C1966" s="55" t="s">
        <v>4781</v>
      </c>
      <c r="D1966" s="54" t="s">
        <v>4387</v>
      </c>
      <c r="E1966" s="56">
        <v>0</v>
      </c>
      <c r="F1966" s="57" t="s">
        <v>1217</v>
      </c>
      <c r="G1966" s="58">
        <v>6100</v>
      </c>
      <c r="H1966" s="59">
        <v>6100</v>
      </c>
      <c r="I1966" s="59">
        <f t="shared" si="60"/>
        <v>0</v>
      </c>
    </row>
    <row r="1967" spans="1:9" customFormat="1" x14ac:dyDescent="0.35">
      <c r="A1967" s="63">
        <f t="shared" si="61"/>
        <v>1966</v>
      </c>
      <c r="B1967" s="54" t="s">
        <v>4782</v>
      </c>
      <c r="C1967" s="55" t="s">
        <v>4783</v>
      </c>
      <c r="D1967" s="54" t="s">
        <v>4387</v>
      </c>
      <c r="E1967" s="56">
        <v>0</v>
      </c>
      <c r="F1967" s="57" t="s">
        <v>974</v>
      </c>
      <c r="G1967" s="58">
        <v>40000</v>
      </c>
      <c r="H1967" s="59">
        <v>40000</v>
      </c>
      <c r="I1967" s="59">
        <f t="shared" si="60"/>
        <v>0</v>
      </c>
    </row>
    <row r="1968" spans="1:9" customFormat="1" x14ac:dyDescent="0.35">
      <c r="A1968" s="63">
        <f t="shared" si="61"/>
        <v>1967</v>
      </c>
      <c r="B1968" s="54" t="s">
        <v>4784</v>
      </c>
      <c r="C1968" s="55" t="s">
        <v>4785</v>
      </c>
      <c r="D1968" s="54" t="s">
        <v>4387</v>
      </c>
      <c r="E1968" s="56">
        <v>0</v>
      </c>
      <c r="F1968" s="57" t="s">
        <v>1552</v>
      </c>
      <c r="G1968" s="58">
        <v>63500</v>
      </c>
      <c r="H1968" s="59">
        <v>63500</v>
      </c>
      <c r="I1968" s="59">
        <f t="shared" si="60"/>
        <v>0</v>
      </c>
    </row>
    <row r="1969" spans="1:9" customFormat="1" x14ac:dyDescent="0.35">
      <c r="A1969" s="63">
        <f t="shared" si="61"/>
        <v>1968</v>
      </c>
      <c r="B1969" s="54" t="s">
        <v>4786</v>
      </c>
      <c r="C1969" s="55" t="s">
        <v>4787</v>
      </c>
      <c r="D1969" s="54" t="s">
        <v>4387</v>
      </c>
      <c r="E1969" s="56">
        <v>0</v>
      </c>
      <c r="F1969" s="57" t="s">
        <v>1217</v>
      </c>
      <c r="G1969" s="58">
        <v>66000</v>
      </c>
      <c r="H1969" s="59">
        <v>66000</v>
      </c>
      <c r="I1969" s="59">
        <f t="shared" si="60"/>
        <v>0</v>
      </c>
    </row>
    <row r="1970" spans="1:9" customFormat="1" x14ac:dyDescent="0.35">
      <c r="A1970" s="63">
        <f t="shared" si="61"/>
        <v>1969</v>
      </c>
      <c r="B1970" s="54" t="s">
        <v>4788</v>
      </c>
      <c r="C1970" s="55" t="s">
        <v>4789</v>
      </c>
      <c r="D1970" s="54" t="s">
        <v>4387</v>
      </c>
      <c r="E1970" s="56">
        <v>0</v>
      </c>
      <c r="F1970" s="57" t="s">
        <v>977</v>
      </c>
      <c r="G1970" s="58">
        <v>145000</v>
      </c>
      <c r="H1970" s="59">
        <v>217500</v>
      </c>
      <c r="I1970" s="59">
        <f t="shared" si="60"/>
        <v>0</v>
      </c>
    </row>
    <row r="1971" spans="1:9" customFormat="1" x14ac:dyDescent="0.35">
      <c r="A1971" s="63">
        <f t="shared" si="61"/>
        <v>1970</v>
      </c>
      <c r="B1971" s="54" t="s">
        <v>4790</v>
      </c>
      <c r="C1971" s="55" t="s">
        <v>4791</v>
      </c>
      <c r="D1971" s="54" t="s">
        <v>4387</v>
      </c>
      <c r="E1971" s="56">
        <v>0</v>
      </c>
      <c r="F1971" s="57" t="s">
        <v>870</v>
      </c>
      <c r="G1971" s="58">
        <v>4655</v>
      </c>
      <c r="H1971" s="59">
        <v>4655</v>
      </c>
      <c r="I1971" s="59">
        <f t="shared" si="60"/>
        <v>0</v>
      </c>
    </row>
    <row r="1972" spans="1:9" customFormat="1" x14ac:dyDescent="0.35">
      <c r="A1972" s="63">
        <f t="shared" si="61"/>
        <v>1971</v>
      </c>
      <c r="B1972" s="54" t="s">
        <v>4792</v>
      </c>
      <c r="C1972" s="55" t="s">
        <v>4793</v>
      </c>
      <c r="D1972" s="54" t="s">
        <v>4387</v>
      </c>
      <c r="E1972" s="56">
        <v>0</v>
      </c>
      <c r="F1972" s="57" t="s">
        <v>870</v>
      </c>
      <c r="G1972" s="58">
        <v>6451</v>
      </c>
      <c r="H1972" s="59">
        <v>6451</v>
      </c>
      <c r="I1972" s="59">
        <f t="shared" si="60"/>
        <v>0</v>
      </c>
    </row>
    <row r="1973" spans="1:9" customFormat="1" x14ac:dyDescent="0.35">
      <c r="A1973" s="63">
        <f t="shared" si="61"/>
        <v>1972</v>
      </c>
      <c r="B1973" s="54" t="s">
        <v>4794</v>
      </c>
      <c r="C1973" s="55" t="s">
        <v>4795</v>
      </c>
      <c r="D1973" s="54" t="s">
        <v>4387</v>
      </c>
      <c r="E1973" s="56">
        <v>0</v>
      </c>
      <c r="F1973" s="57" t="s">
        <v>870</v>
      </c>
      <c r="G1973" s="58">
        <v>15960</v>
      </c>
      <c r="H1973" s="59">
        <v>15960</v>
      </c>
      <c r="I1973" s="59">
        <f t="shared" si="60"/>
        <v>0</v>
      </c>
    </row>
    <row r="1974" spans="1:9" customFormat="1" x14ac:dyDescent="0.35">
      <c r="A1974" s="63">
        <f t="shared" si="61"/>
        <v>1973</v>
      </c>
      <c r="B1974" s="54" t="s">
        <v>4796</v>
      </c>
      <c r="C1974" s="55" t="s">
        <v>4797</v>
      </c>
      <c r="D1974" s="54" t="s">
        <v>4387</v>
      </c>
      <c r="E1974" s="56">
        <v>0</v>
      </c>
      <c r="F1974" s="57" t="s">
        <v>792</v>
      </c>
      <c r="G1974" s="58">
        <v>10000</v>
      </c>
      <c r="H1974" s="59">
        <v>10000</v>
      </c>
      <c r="I1974" s="59">
        <f t="shared" si="60"/>
        <v>0</v>
      </c>
    </row>
    <row r="1975" spans="1:9" customFormat="1" x14ac:dyDescent="0.35">
      <c r="A1975" s="63">
        <f t="shared" si="61"/>
        <v>1974</v>
      </c>
      <c r="B1975" s="54" t="s">
        <v>4798</v>
      </c>
      <c r="C1975" s="55" t="s">
        <v>4799</v>
      </c>
      <c r="D1975" s="54" t="s">
        <v>4387</v>
      </c>
      <c r="E1975" s="56">
        <v>0</v>
      </c>
      <c r="F1975" s="57" t="s">
        <v>792</v>
      </c>
      <c r="G1975" s="58">
        <v>17100</v>
      </c>
      <c r="H1975" s="59">
        <v>17100</v>
      </c>
      <c r="I1975" s="59">
        <f t="shared" si="60"/>
        <v>0</v>
      </c>
    </row>
    <row r="1976" spans="1:9" customFormat="1" x14ac:dyDescent="0.35">
      <c r="A1976" s="63">
        <f t="shared" si="61"/>
        <v>1975</v>
      </c>
      <c r="B1976" s="54" t="s">
        <v>4800</v>
      </c>
      <c r="C1976" s="55" t="s">
        <v>4801</v>
      </c>
      <c r="D1976" s="54" t="s">
        <v>4387</v>
      </c>
      <c r="E1976" s="56">
        <v>0</v>
      </c>
      <c r="F1976" s="57" t="s">
        <v>792</v>
      </c>
      <c r="G1976" s="58">
        <v>2857100</v>
      </c>
      <c r="H1976" s="59">
        <v>4116000</v>
      </c>
      <c r="I1976" s="59">
        <f t="shared" si="60"/>
        <v>0</v>
      </c>
    </row>
    <row r="1977" spans="1:9" customFormat="1" x14ac:dyDescent="0.35">
      <c r="A1977" s="63">
        <f t="shared" si="61"/>
        <v>1976</v>
      </c>
      <c r="B1977" s="54" t="s">
        <v>4802</v>
      </c>
      <c r="C1977" s="55" t="s">
        <v>4803</v>
      </c>
      <c r="D1977" s="54" t="s">
        <v>4387</v>
      </c>
      <c r="E1977" s="56">
        <v>0</v>
      </c>
      <c r="F1977" s="57" t="s">
        <v>792</v>
      </c>
      <c r="G1977" s="58">
        <v>78771</v>
      </c>
      <c r="H1977" s="59">
        <v>78771</v>
      </c>
      <c r="I1977" s="59">
        <f t="shared" si="60"/>
        <v>0</v>
      </c>
    </row>
    <row r="1978" spans="1:9" customFormat="1" ht="23" x14ac:dyDescent="0.35">
      <c r="A1978" s="63">
        <f t="shared" si="61"/>
        <v>1977</v>
      </c>
      <c r="B1978" s="54" t="s">
        <v>4804</v>
      </c>
      <c r="C1978" s="55" t="s">
        <v>4805</v>
      </c>
      <c r="D1978" s="54" t="s">
        <v>4387</v>
      </c>
      <c r="E1978" s="56">
        <v>0</v>
      </c>
      <c r="F1978" s="57" t="s">
        <v>1552</v>
      </c>
      <c r="G1978" s="58">
        <v>40000</v>
      </c>
      <c r="H1978" s="59">
        <v>0</v>
      </c>
      <c r="I1978" s="59">
        <f t="shared" si="60"/>
        <v>0</v>
      </c>
    </row>
    <row r="1979" spans="1:9" customFormat="1" x14ac:dyDescent="0.35">
      <c r="A1979" s="63">
        <f t="shared" si="61"/>
        <v>1978</v>
      </c>
      <c r="B1979" s="54" t="s">
        <v>4806</v>
      </c>
      <c r="C1979" s="55" t="s">
        <v>4807</v>
      </c>
      <c r="D1979" s="54" t="s">
        <v>4387</v>
      </c>
      <c r="E1979" s="56">
        <v>0</v>
      </c>
      <c r="F1979" s="57" t="s">
        <v>1552</v>
      </c>
      <c r="G1979" s="58">
        <v>40000</v>
      </c>
      <c r="H1979" s="59">
        <v>0</v>
      </c>
      <c r="I1979" s="59">
        <f t="shared" si="60"/>
        <v>0</v>
      </c>
    </row>
    <row r="1980" spans="1:9" customFormat="1" x14ac:dyDescent="0.35">
      <c r="A1980" s="63">
        <f t="shared" si="61"/>
        <v>1979</v>
      </c>
      <c r="B1980" s="54" t="s">
        <v>4808</v>
      </c>
      <c r="C1980" s="55" t="s">
        <v>4809</v>
      </c>
      <c r="D1980" s="54" t="s">
        <v>4387</v>
      </c>
      <c r="E1980" s="56">
        <v>0</v>
      </c>
      <c r="F1980" s="57" t="s">
        <v>1552</v>
      </c>
      <c r="G1980" s="58">
        <v>40000</v>
      </c>
      <c r="H1980" s="59">
        <v>0</v>
      </c>
      <c r="I1980" s="59">
        <f t="shared" si="60"/>
        <v>0</v>
      </c>
    </row>
    <row r="1981" spans="1:9" customFormat="1" x14ac:dyDescent="0.35">
      <c r="A1981" s="63">
        <f t="shared" si="61"/>
        <v>1980</v>
      </c>
      <c r="B1981" s="54" t="s">
        <v>4810</v>
      </c>
      <c r="C1981" s="55" t="s">
        <v>4811</v>
      </c>
      <c r="D1981" s="54" t="s">
        <v>4387</v>
      </c>
      <c r="E1981" s="56">
        <v>0</v>
      </c>
      <c r="F1981" s="57" t="s">
        <v>792</v>
      </c>
      <c r="G1981" s="58">
        <v>1720000</v>
      </c>
      <c r="H1981" s="59">
        <v>1788000</v>
      </c>
      <c r="I1981" s="59">
        <f t="shared" si="60"/>
        <v>0</v>
      </c>
    </row>
    <row r="1982" spans="1:9" customFormat="1" x14ac:dyDescent="0.35">
      <c r="A1982" s="63">
        <f t="shared" si="61"/>
        <v>1981</v>
      </c>
      <c r="B1982" s="54" t="s">
        <v>4812</v>
      </c>
      <c r="C1982" s="55" t="s">
        <v>4813</v>
      </c>
      <c r="D1982" s="54" t="s">
        <v>4387</v>
      </c>
      <c r="E1982" s="56">
        <v>0</v>
      </c>
      <c r="F1982" s="57" t="s">
        <v>792</v>
      </c>
      <c r="G1982" s="58">
        <v>27028</v>
      </c>
      <c r="H1982" s="59">
        <v>30181</v>
      </c>
      <c r="I1982" s="59">
        <f t="shared" si="60"/>
        <v>0</v>
      </c>
    </row>
    <row r="1983" spans="1:9" customFormat="1" x14ac:dyDescent="0.35">
      <c r="A1983" s="63">
        <f t="shared" si="61"/>
        <v>1982</v>
      </c>
      <c r="B1983" s="54" t="s">
        <v>4814</v>
      </c>
      <c r="C1983" s="55" t="s">
        <v>4815</v>
      </c>
      <c r="D1983" s="54" t="s">
        <v>4387</v>
      </c>
      <c r="E1983" s="56">
        <v>0</v>
      </c>
      <c r="F1983" s="57" t="s">
        <v>792</v>
      </c>
      <c r="G1983" s="58">
        <v>20271</v>
      </c>
      <c r="H1983" s="59">
        <v>25000</v>
      </c>
      <c r="I1983" s="59">
        <f t="shared" si="60"/>
        <v>0</v>
      </c>
    </row>
    <row r="1984" spans="1:9" customFormat="1" x14ac:dyDescent="0.35">
      <c r="A1984" s="63">
        <f t="shared" si="61"/>
        <v>1983</v>
      </c>
      <c r="B1984" s="54" t="s">
        <v>4816</v>
      </c>
      <c r="C1984" s="55" t="s">
        <v>4817</v>
      </c>
      <c r="D1984" s="54" t="s">
        <v>4387</v>
      </c>
      <c r="E1984" s="56">
        <v>0</v>
      </c>
      <c r="F1984" s="57" t="s">
        <v>792</v>
      </c>
      <c r="G1984" s="58">
        <v>4700</v>
      </c>
      <c r="H1984" s="59">
        <v>4700</v>
      </c>
      <c r="I1984" s="59">
        <f t="shared" si="60"/>
        <v>0</v>
      </c>
    </row>
    <row r="1985" spans="1:9" customFormat="1" x14ac:dyDescent="0.35">
      <c r="A1985" s="63">
        <f t="shared" si="61"/>
        <v>1984</v>
      </c>
      <c r="B1985" s="54" t="s">
        <v>4818</v>
      </c>
      <c r="C1985" s="55" t="s">
        <v>4819</v>
      </c>
      <c r="D1985" s="54" t="s">
        <v>4387</v>
      </c>
      <c r="E1985" s="56">
        <v>0</v>
      </c>
      <c r="F1985" s="57" t="s">
        <v>792</v>
      </c>
      <c r="G1985" s="58">
        <v>400000</v>
      </c>
      <c r="H1985" s="59">
        <v>610100</v>
      </c>
      <c r="I1985" s="59">
        <f t="shared" si="60"/>
        <v>0</v>
      </c>
    </row>
    <row r="1986" spans="1:9" customFormat="1" x14ac:dyDescent="0.35">
      <c r="A1986" s="63">
        <f t="shared" si="61"/>
        <v>1985</v>
      </c>
      <c r="B1986" s="54" t="s">
        <v>4820</v>
      </c>
      <c r="C1986" s="55" t="s">
        <v>4821</v>
      </c>
      <c r="D1986" s="54" t="s">
        <v>4387</v>
      </c>
      <c r="E1986" s="56">
        <v>0</v>
      </c>
      <c r="F1986" s="57" t="s">
        <v>792</v>
      </c>
      <c r="G1986" s="58">
        <v>160000</v>
      </c>
      <c r="H1986" s="59">
        <v>240000</v>
      </c>
      <c r="I1986" s="59">
        <f t="shared" si="60"/>
        <v>0</v>
      </c>
    </row>
    <row r="1987" spans="1:9" customFormat="1" x14ac:dyDescent="0.35">
      <c r="A1987" s="63">
        <f t="shared" si="61"/>
        <v>1986</v>
      </c>
      <c r="B1987" s="54" t="s">
        <v>4822</v>
      </c>
      <c r="C1987" s="55" t="s">
        <v>4823</v>
      </c>
      <c r="D1987" s="54" t="s">
        <v>4387</v>
      </c>
      <c r="E1987" s="56">
        <v>0</v>
      </c>
      <c r="F1987" s="57" t="s">
        <v>792</v>
      </c>
      <c r="G1987" s="58">
        <v>220000</v>
      </c>
      <c r="H1987" s="59">
        <v>330000</v>
      </c>
      <c r="I1987" s="59">
        <f t="shared" ref="I1987:I2050" si="62">H1987*E1987</f>
        <v>0</v>
      </c>
    </row>
    <row r="1988" spans="1:9" customFormat="1" x14ac:dyDescent="0.35">
      <c r="A1988" s="63">
        <f t="shared" ref="A1988:A2051" si="63">A1987+1</f>
        <v>1987</v>
      </c>
      <c r="B1988" s="54" t="s">
        <v>4824</v>
      </c>
      <c r="C1988" s="55" t="s">
        <v>4825</v>
      </c>
      <c r="D1988" s="54" t="s">
        <v>4387</v>
      </c>
      <c r="E1988" s="56">
        <v>0</v>
      </c>
      <c r="F1988" s="57" t="s">
        <v>792</v>
      </c>
      <c r="G1988" s="58">
        <v>86500</v>
      </c>
      <c r="H1988" s="59">
        <v>86500</v>
      </c>
      <c r="I1988" s="59">
        <f t="shared" si="62"/>
        <v>0</v>
      </c>
    </row>
    <row r="1989" spans="1:9" customFormat="1" x14ac:dyDescent="0.35">
      <c r="A1989" s="63">
        <f t="shared" si="63"/>
        <v>1988</v>
      </c>
      <c r="B1989" s="54" t="s">
        <v>4826</v>
      </c>
      <c r="C1989" s="55" t="s">
        <v>4827</v>
      </c>
      <c r="D1989" s="54" t="s">
        <v>4387</v>
      </c>
      <c r="E1989" s="56">
        <v>0</v>
      </c>
      <c r="F1989" s="57" t="s">
        <v>844</v>
      </c>
      <c r="G1989" s="58">
        <v>819000</v>
      </c>
      <c r="H1989" s="59">
        <v>819000</v>
      </c>
      <c r="I1989" s="59">
        <f t="shared" si="62"/>
        <v>0</v>
      </c>
    </row>
    <row r="1990" spans="1:9" customFormat="1" x14ac:dyDescent="0.35">
      <c r="A1990" s="63">
        <f t="shared" si="63"/>
        <v>1989</v>
      </c>
      <c r="B1990" s="54" t="s">
        <v>4828</v>
      </c>
      <c r="C1990" s="55" t="s">
        <v>4829</v>
      </c>
      <c r="D1990" s="54" t="s">
        <v>4387</v>
      </c>
      <c r="E1990" s="56">
        <v>0</v>
      </c>
      <c r="F1990" s="57" t="s">
        <v>844</v>
      </c>
      <c r="G1990" s="58">
        <v>2500</v>
      </c>
      <c r="H1990" s="59">
        <v>4500</v>
      </c>
      <c r="I1990" s="59">
        <f t="shared" si="62"/>
        <v>0</v>
      </c>
    </row>
    <row r="1991" spans="1:9" customFormat="1" x14ac:dyDescent="0.35">
      <c r="A1991" s="63">
        <f t="shared" si="63"/>
        <v>1990</v>
      </c>
      <c r="B1991" s="54" t="s">
        <v>4830</v>
      </c>
      <c r="C1991" s="55" t="s">
        <v>4831</v>
      </c>
      <c r="D1991" s="54" t="s">
        <v>4387</v>
      </c>
      <c r="E1991" s="56">
        <v>0</v>
      </c>
      <c r="F1991" s="57" t="s">
        <v>792</v>
      </c>
      <c r="G1991" s="58">
        <v>15000</v>
      </c>
      <c r="H1991" s="59">
        <v>15000</v>
      </c>
      <c r="I1991" s="59">
        <f t="shared" si="62"/>
        <v>0</v>
      </c>
    </row>
    <row r="1992" spans="1:9" customFormat="1" x14ac:dyDescent="0.35">
      <c r="A1992" s="63">
        <f t="shared" si="63"/>
        <v>1991</v>
      </c>
      <c r="B1992" s="54" t="s">
        <v>4832</v>
      </c>
      <c r="C1992" s="55" t="s">
        <v>4833</v>
      </c>
      <c r="D1992" s="54" t="s">
        <v>4387</v>
      </c>
      <c r="E1992" s="56">
        <v>0</v>
      </c>
      <c r="F1992" s="57" t="s">
        <v>792</v>
      </c>
      <c r="G1992" s="58">
        <v>15000</v>
      </c>
      <c r="H1992" s="59">
        <v>15000</v>
      </c>
      <c r="I1992" s="59">
        <f t="shared" si="62"/>
        <v>0</v>
      </c>
    </row>
    <row r="1993" spans="1:9" customFormat="1" x14ac:dyDescent="0.35">
      <c r="A1993" s="63">
        <f t="shared" si="63"/>
        <v>1992</v>
      </c>
      <c r="B1993" s="54" t="s">
        <v>4834</v>
      </c>
      <c r="C1993" s="55" t="s">
        <v>4835</v>
      </c>
      <c r="D1993" s="54" t="s">
        <v>4387</v>
      </c>
      <c r="E1993" s="56">
        <v>0</v>
      </c>
      <c r="F1993" s="57" t="s">
        <v>792</v>
      </c>
      <c r="G1993" s="58">
        <v>10000</v>
      </c>
      <c r="H1993" s="59">
        <v>10000</v>
      </c>
      <c r="I1993" s="59">
        <f t="shared" si="62"/>
        <v>0</v>
      </c>
    </row>
    <row r="1994" spans="1:9" customFormat="1" x14ac:dyDescent="0.35">
      <c r="A1994" s="63">
        <f t="shared" si="63"/>
        <v>1993</v>
      </c>
      <c r="B1994" s="54" t="s">
        <v>4836</v>
      </c>
      <c r="C1994" s="55" t="s">
        <v>4837</v>
      </c>
      <c r="D1994" s="54" t="s">
        <v>4387</v>
      </c>
      <c r="E1994" s="56">
        <v>0</v>
      </c>
      <c r="F1994" s="57" t="s">
        <v>792</v>
      </c>
      <c r="G1994" s="58">
        <v>13000</v>
      </c>
      <c r="H1994" s="59">
        <v>13000</v>
      </c>
      <c r="I1994" s="59">
        <f t="shared" si="62"/>
        <v>0</v>
      </c>
    </row>
    <row r="1995" spans="1:9" customFormat="1" x14ac:dyDescent="0.35">
      <c r="A1995" s="63">
        <f t="shared" si="63"/>
        <v>1994</v>
      </c>
      <c r="B1995" s="54" t="s">
        <v>4838</v>
      </c>
      <c r="C1995" s="55" t="s">
        <v>4839</v>
      </c>
      <c r="D1995" s="54" t="s">
        <v>4387</v>
      </c>
      <c r="E1995" s="56">
        <v>0</v>
      </c>
      <c r="F1995" s="57" t="s">
        <v>792</v>
      </c>
      <c r="G1995" s="58">
        <v>5800000</v>
      </c>
      <c r="H1995" s="59">
        <v>5800000</v>
      </c>
      <c r="I1995" s="59">
        <f t="shared" si="62"/>
        <v>0</v>
      </c>
    </row>
    <row r="1996" spans="1:9" customFormat="1" x14ac:dyDescent="0.35">
      <c r="A1996" s="63">
        <f t="shared" si="63"/>
        <v>1995</v>
      </c>
      <c r="B1996" s="54" t="s">
        <v>4840</v>
      </c>
      <c r="C1996" s="55" t="s">
        <v>4841</v>
      </c>
      <c r="D1996" s="54" t="s">
        <v>4387</v>
      </c>
      <c r="E1996" s="56">
        <v>0</v>
      </c>
      <c r="F1996" s="57" t="s">
        <v>792</v>
      </c>
      <c r="G1996" s="58">
        <v>47500</v>
      </c>
      <c r="H1996" s="59">
        <v>47500</v>
      </c>
      <c r="I1996" s="59">
        <f t="shared" si="62"/>
        <v>0</v>
      </c>
    </row>
    <row r="1997" spans="1:9" customFormat="1" x14ac:dyDescent="0.35">
      <c r="A1997" s="63">
        <f t="shared" si="63"/>
        <v>1996</v>
      </c>
      <c r="B1997" s="54" t="s">
        <v>4842</v>
      </c>
      <c r="C1997" s="55" t="s">
        <v>4843</v>
      </c>
      <c r="D1997" s="54" t="s">
        <v>4387</v>
      </c>
      <c r="E1997" s="56">
        <v>0</v>
      </c>
      <c r="F1997" s="57" t="s">
        <v>792</v>
      </c>
      <c r="G1997" s="58">
        <v>6000</v>
      </c>
      <c r="H1997" s="59">
        <v>6000</v>
      </c>
      <c r="I1997" s="59">
        <f t="shared" si="62"/>
        <v>0</v>
      </c>
    </row>
    <row r="1998" spans="1:9" customFormat="1" x14ac:dyDescent="0.35">
      <c r="A1998" s="63">
        <f t="shared" si="63"/>
        <v>1997</v>
      </c>
      <c r="B1998" s="54" t="s">
        <v>4844</v>
      </c>
      <c r="C1998" s="55" t="s">
        <v>4845</v>
      </c>
      <c r="D1998" s="54" t="s">
        <v>4387</v>
      </c>
      <c r="E1998" s="56">
        <v>0</v>
      </c>
      <c r="F1998" s="57" t="s">
        <v>792</v>
      </c>
      <c r="G1998" s="58">
        <v>31000</v>
      </c>
      <c r="H1998" s="59">
        <v>31000</v>
      </c>
      <c r="I1998" s="59">
        <f t="shared" si="62"/>
        <v>0</v>
      </c>
    </row>
    <row r="1999" spans="1:9" customFormat="1" x14ac:dyDescent="0.35">
      <c r="A1999" s="63">
        <f t="shared" si="63"/>
        <v>1998</v>
      </c>
      <c r="B1999" s="54" t="s">
        <v>4846</v>
      </c>
      <c r="C1999" s="55" t="s">
        <v>4847</v>
      </c>
      <c r="D1999" s="54" t="s">
        <v>4387</v>
      </c>
      <c r="E1999" s="56">
        <v>0</v>
      </c>
      <c r="F1999" s="57" t="s">
        <v>792</v>
      </c>
      <c r="G1999" s="58">
        <v>36000</v>
      </c>
      <c r="H1999" s="59">
        <v>36000</v>
      </c>
      <c r="I1999" s="59">
        <f t="shared" si="62"/>
        <v>0</v>
      </c>
    </row>
    <row r="2000" spans="1:9" customFormat="1" x14ac:dyDescent="0.35">
      <c r="A2000" s="63">
        <f t="shared" si="63"/>
        <v>1999</v>
      </c>
      <c r="B2000" s="54" t="s">
        <v>4848</v>
      </c>
      <c r="C2000" s="55" t="s">
        <v>4849</v>
      </c>
      <c r="D2000" s="54" t="s">
        <v>4387</v>
      </c>
      <c r="E2000" s="56">
        <v>0</v>
      </c>
      <c r="F2000" s="57" t="s">
        <v>792</v>
      </c>
      <c r="G2000" s="58">
        <v>129900</v>
      </c>
      <c r="H2000" s="59">
        <v>192000</v>
      </c>
      <c r="I2000" s="59">
        <f t="shared" si="62"/>
        <v>0</v>
      </c>
    </row>
    <row r="2001" spans="1:9" customFormat="1" x14ac:dyDescent="0.35">
      <c r="A2001" s="63">
        <f t="shared" si="63"/>
        <v>2000</v>
      </c>
      <c r="B2001" s="54" t="s">
        <v>4850</v>
      </c>
      <c r="C2001" s="55" t="s">
        <v>4851</v>
      </c>
      <c r="D2001" s="54" t="s">
        <v>4387</v>
      </c>
      <c r="E2001" s="56">
        <v>0</v>
      </c>
      <c r="F2001" s="57" t="s">
        <v>792</v>
      </c>
      <c r="G2001" s="58">
        <v>287000</v>
      </c>
      <c r="H2001" s="59">
        <v>430500</v>
      </c>
      <c r="I2001" s="59">
        <f t="shared" si="62"/>
        <v>0</v>
      </c>
    </row>
    <row r="2002" spans="1:9" customFormat="1" x14ac:dyDescent="0.35">
      <c r="A2002" s="63">
        <f t="shared" si="63"/>
        <v>2001</v>
      </c>
      <c r="B2002" s="54" t="s">
        <v>4852</v>
      </c>
      <c r="C2002" s="55" t="s">
        <v>4853</v>
      </c>
      <c r="D2002" s="54" t="s">
        <v>4387</v>
      </c>
      <c r="E2002" s="56">
        <v>0</v>
      </c>
      <c r="F2002" s="57" t="s">
        <v>792</v>
      </c>
      <c r="G2002" s="58">
        <v>3000</v>
      </c>
      <c r="H2002" s="59">
        <v>4800</v>
      </c>
      <c r="I2002" s="59">
        <f t="shared" si="62"/>
        <v>0</v>
      </c>
    </row>
    <row r="2003" spans="1:9" customFormat="1" x14ac:dyDescent="0.35">
      <c r="A2003" s="63">
        <f t="shared" si="63"/>
        <v>2002</v>
      </c>
      <c r="B2003" s="54" t="s">
        <v>4854</v>
      </c>
      <c r="C2003" s="55" t="s">
        <v>4855</v>
      </c>
      <c r="D2003" s="54" t="s">
        <v>4387</v>
      </c>
      <c r="E2003" s="56">
        <v>0</v>
      </c>
      <c r="F2003" s="57" t="s">
        <v>792</v>
      </c>
      <c r="G2003" s="58">
        <v>31000</v>
      </c>
      <c r="H2003" s="59">
        <v>31000</v>
      </c>
      <c r="I2003" s="59">
        <f t="shared" si="62"/>
        <v>0</v>
      </c>
    </row>
    <row r="2004" spans="1:9" customFormat="1" x14ac:dyDescent="0.35">
      <c r="A2004" s="63">
        <f t="shared" si="63"/>
        <v>2003</v>
      </c>
      <c r="B2004" s="54" t="s">
        <v>4856</v>
      </c>
      <c r="C2004" s="55" t="s">
        <v>4857</v>
      </c>
      <c r="D2004" s="54" t="s">
        <v>4387</v>
      </c>
      <c r="E2004" s="56">
        <v>0</v>
      </c>
      <c r="F2004" s="57" t="s">
        <v>792</v>
      </c>
      <c r="G2004" s="58">
        <v>55000</v>
      </c>
      <c r="H2004" s="59">
        <v>82500</v>
      </c>
      <c r="I2004" s="59">
        <f t="shared" si="62"/>
        <v>0</v>
      </c>
    </row>
    <row r="2005" spans="1:9" customFormat="1" ht="23" x14ac:dyDescent="0.35">
      <c r="A2005" s="63">
        <f t="shared" si="63"/>
        <v>2004</v>
      </c>
      <c r="B2005" s="54" t="s">
        <v>4858</v>
      </c>
      <c r="C2005" s="55" t="s">
        <v>4859</v>
      </c>
      <c r="D2005" s="54" t="s">
        <v>4387</v>
      </c>
      <c r="E2005" s="56">
        <v>0</v>
      </c>
      <c r="F2005" s="57" t="s">
        <v>792</v>
      </c>
      <c r="G2005" s="58">
        <v>285000</v>
      </c>
      <c r="H2005" s="59">
        <v>453000</v>
      </c>
      <c r="I2005" s="59">
        <f t="shared" si="62"/>
        <v>0</v>
      </c>
    </row>
    <row r="2006" spans="1:9" customFormat="1" x14ac:dyDescent="0.35">
      <c r="A2006" s="63">
        <f t="shared" si="63"/>
        <v>2005</v>
      </c>
      <c r="B2006" s="54" t="s">
        <v>4860</v>
      </c>
      <c r="C2006" s="55" t="s">
        <v>4861</v>
      </c>
      <c r="D2006" s="54" t="s">
        <v>4387</v>
      </c>
      <c r="E2006" s="56">
        <v>0</v>
      </c>
      <c r="F2006" s="57" t="s">
        <v>878</v>
      </c>
      <c r="G2006" s="58">
        <v>0</v>
      </c>
      <c r="H2006" s="59">
        <v>127500</v>
      </c>
      <c r="I2006" s="59">
        <f t="shared" si="62"/>
        <v>0</v>
      </c>
    </row>
    <row r="2007" spans="1:9" customFormat="1" x14ac:dyDescent="0.35">
      <c r="A2007" s="63">
        <f t="shared" si="63"/>
        <v>2006</v>
      </c>
      <c r="B2007" s="54" t="s">
        <v>4862</v>
      </c>
      <c r="C2007" s="55" t="s">
        <v>4863</v>
      </c>
      <c r="D2007" s="54" t="s">
        <v>4387</v>
      </c>
      <c r="E2007" s="56">
        <v>0</v>
      </c>
      <c r="F2007" s="57" t="s">
        <v>792</v>
      </c>
      <c r="G2007" s="58">
        <v>5000</v>
      </c>
      <c r="H2007" s="59">
        <v>5000</v>
      </c>
      <c r="I2007" s="59">
        <f t="shared" si="62"/>
        <v>0</v>
      </c>
    </row>
    <row r="2008" spans="1:9" customFormat="1" x14ac:dyDescent="0.35">
      <c r="A2008" s="63">
        <f t="shared" si="63"/>
        <v>2007</v>
      </c>
      <c r="B2008" s="54" t="s">
        <v>4864</v>
      </c>
      <c r="C2008" s="55" t="s">
        <v>4865</v>
      </c>
      <c r="D2008" s="54" t="s">
        <v>4387</v>
      </c>
      <c r="E2008" s="56">
        <v>0</v>
      </c>
      <c r="F2008" s="57" t="s">
        <v>792</v>
      </c>
      <c r="G2008" s="58">
        <v>15000</v>
      </c>
      <c r="H2008" s="59">
        <v>15000</v>
      </c>
      <c r="I2008" s="59">
        <f t="shared" si="62"/>
        <v>0</v>
      </c>
    </row>
    <row r="2009" spans="1:9" customFormat="1" x14ac:dyDescent="0.35">
      <c r="A2009" s="63">
        <f t="shared" si="63"/>
        <v>2008</v>
      </c>
      <c r="B2009" s="54" t="s">
        <v>4866</v>
      </c>
      <c r="C2009" s="55" t="s">
        <v>4867</v>
      </c>
      <c r="D2009" s="54" t="s">
        <v>4387</v>
      </c>
      <c r="E2009" s="56">
        <v>0</v>
      </c>
      <c r="F2009" s="57" t="s">
        <v>792</v>
      </c>
      <c r="G2009" s="58">
        <v>12000</v>
      </c>
      <c r="H2009" s="59">
        <v>18000</v>
      </c>
      <c r="I2009" s="59">
        <f t="shared" si="62"/>
        <v>0</v>
      </c>
    </row>
    <row r="2010" spans="1:9" customFormat="1" x14ac:dyDescent="0.35">
      <c r="A2010" s="63">
        <f t="shared" si="63"/>
        <v>2009</v>
      </c>
      <c r="B2010" s="54" t="s">
        <v>4868</v>
      </c>
      <c r="C2010" s="55" t="s">
        <v>4869</v>
      </c>
      <c r="D2010" s="54" t="s">
        <v>4387</v>
      </c>
      <c r="E2010" s="56">
        <v>0</v>
      </c>
      <c r="F2010" s="57" t="s">
        <v>792</v>
      </c>
      <c r="G2010" s="58">
        <v>165000</v>
      </c>
      <c r="H2010" s="59">
        <v>165000</v>
      </c>
      <c r="I2010" s="59">
        <f t="shared" si="62"/>
        <v>0</v>
      </c>
    </row>
    <row r="2011" spans="1:9" customFormat="1" x14ac:dyDescent="0.35">
      <c r="A2011" s="63">
        <f t="shared" si="63"/>
        <v>2010</v>
      </c>
      <c r="B2011" s="54" t="s">
        <v>4870</v>
      </c>
      <c r="C2011" s="55" t="s">
        <v>4871</v>
      </c>
      <c r="D2011" s="54" t="s">
        <v>4387</v>
      </c>
      <c r="E2011" s="56">
        <v>0</v>
      </c>
      <c r="F2011" s="57" t="s">
        <v>792</v>
      </c>
      <c r="G2011" s="58">
        <v>2650</v>
      </c>
      <c r="H2011" s="59">
        <v>2650</v>
      </c>
      <c r="I2011" s="59">
        <f t="shared" si="62"/>
        <v>0</v>
      </c>
    </row>
    <row r="2012" spans="1:9" customFormat="1" ht="23" x14ac:dyDescent="0.35">
      <c r="A2012" s="63">
        <f t="shared" si="63"/>
        <v>2011</v>
      </c>
      <c r="B2012" s="54" t="s">
        <v>4872</v>
      </c>
      <c r="C2012" s="55" t="s">
        <v>4873</v>
      </c>
      <c r="D2012" s="54" t="s">
        <v>4387</v>
      </c>
      <c r="E2012" s="56">
        <v>0</v>
      </c>
      <c r="F2012" s="57" t="s">
        <v>792</v>
      </c>
      <c r="G2012" s="58">
        <v>75000</v>
      </c>
      <c r="H2012" s="59">
        <v>112500</v>
      </c>
      <c r="I2012" s="59">
        <f t="shared" si="62"/>
        <v>0</v>
      </c>
    </row>
    <row r="2013" spans="1:9" customFormat="1" x14ac:dyDescent="0.35">
      <c r="A2013" s="63">
        <f t="shared" si="63"/>
        <v>2012</v>
      </c>
      <c r="B2013" s="54" t="s">
        <v>4874</v>
      </c>
      <c r="C2013" s="55" t="s">
        <v>4875</v>
      </c>
      <c r="D2013" s="54" t="s">
        <v>4387</v>
      </c>
      <c r="E2013" s="56">
        <v>0</v>
      </c>
      <c r="F2013" s="57" t="s">
        <v>792</v>
      </c>
      <c r="G2013" s="58">
        <v>156000</v>
      </c>
      <c r="H2013" s="59">
        <v>145000</v>
      </c>
      <c r="I2013" s="59">
        <f t="shared" si="62"/>
        <v>0</v>
      </c>
    </row>
    <row r="2014" spans="1:9" customFormat="1" x14ac:dyDescent="0.35">
      <c r="A2014" s="63">
        <f t="shared" si="63"/>
        <v>2013</v>
      </c>
      <c r="B2014" s="54" t="s">
        <v>4876</v>
      </c>
      <c r="C2014" s="55" t="s">
        <v>4877</v>
      </c>
      <c r="D2014" s="54" t="s">
        <v>4387</v>
      </c>
      <c r="E2014" s="56">
        <v>0</v>
      </c>
      <c r="F2014" s="57" t="s">
        <v>792</v>
      </c>
      <c r="G2014" s="58">
        <v>190000</v>
      </c>
      <c r="H2014" s="59">
        <v>190000</v>
      </c>
      <c r="I2014" s="59">
        <f t="shared" si="62"/>
        <v>0</v>
      </c>
    </row>
    <row r="2015" spans="1:9" customFormat="1" x14ac:dyDescent="0.35">
      <c r="A2015" s="63">
        <f t="shared" si="63"/>
        <v>2014</v>
      </c>
      <c r="B2015" s="54" t="s">
        <v>4878</v>
      </c>
      <c r="C2015" s="55" t="s">
        <v>4879</v>
      </c>
      <c r="D2015" s="54" t="s">
        <v>4387</v>
      </c>
      <c r="E2015" s="56">
        <v>0</v>
      </c>
      <c r="F2015" s="57" t="s">
        <v>792</v>
      </c>
      <c r="G2015" s="58">
        <v>145000</v>
      </c>
      <c r="H2015" s="59">
        <v>155000</v>
      </c>
      <c r="I2015" s="59">
        <f t="shared" si="62"/>
        <v>0</v>
      </c>
    </row>
    <row r="2016" spans="1:9" customFormat="1" x14ac:dyDescent="0.35">
      <c r="A2016" s="63">
        <f t="shared" si="63"/>
        <v>2015</v>
      </c>
      <c r="B2016" s="54" t="s">
        <v>4880</v>
      </c>
      <c r="C2016" s="55" t="s">
        <v>4881</v>
      </c>
      <c r="D2016" s="54" t="s">
        <v>4387</v>
      </c>
      <c r="E2016" s="56">
        <v>0</v>
      </c>
      <c r="F2016" s="57" t="s">
        <v>792</v>
      </c>
      <c r="G2016" s="58">
        <v>75000</v>
      </c>
      <c r="H2016" s="59">
        <v>75000</v>
      </c>
      <c r="I2016" s="59">
        <f t="shared" si="62"/>
        <v>0</v>
      </c>
    </row>
    <row r="2017" spans="1:9" customFormat="1" x14ac:dyDescent="0.35">
      <c r="A2017" s="63">
        <f t="shared" si="63"/>
        <v>2016</v>
      </c>
      <c r="B2017" s="54" t="s">
        <v>4882</v>
      </c>
      <c r="C2017" s="55" t="s">
        <v>4883</v>
      </c>
      <c r="D2017" s="54" t="s">
        <v>4387</v>
      </c>
      <c r="E2017" s="56">
        <v>0</v>
      </c>
      <c r="F2017" s="57" t="s">
        <v>792</v>
      </c>
      <c r="G2017" s="58">
        <v>6500</v>
      </c>
      <c r="H2017" s="59">
        <v>9750</v>
      </c>
      <c r="I2017" s="59">
        <f t="shared" si="62"/>
        <v>0</v>
      </c>
    </row>
    <row r="2018" spans="1:9" customFormat="1" x14ac:dyDescent="0.35">
      <c r="A2018" s="63">
        <f t="shared" si="63"/>
        <v>2017</v>
      </c>
      <c r="B2018" s="54" t="s">
        <v>4884</v>
      </c>
      <c r="C2018" s="55" t="s">
        <v>4885</v>
      </c>
      <c r="D2018" s="54" t="s">
        <v>4387</v>
      </c>
      <c r="E2018" s="56">
        <v>0</v>
      </c>
      <c r="F2018" s="57" t="s">
        <v>792</v>
      </c>
      <c r="G2018" s="58">
        <v>18375</v>
      </c>
      <c r="H2018" s="59">
        <v>18750</v>
      </c>
      <c r="I2018" s="59">
        <f t="shared" si="62"/>
        <v>0</v>
      </c>
    </row>
    <row r="2019" spans="1:9" customFormat="1" x14ac:dyDescent="0.35">
      <c r="A2019" s="63">
        <f t="shared" si="63"/>
        <v>2018</v>
      </c>
      <c r="B2019" s="54" t="s">
        <v>4886</v>
      </c>
      <c r="C2019" s="55" t="s">
        <v>4887</v>
      </c>
      <c r="D2019" s="54" t="s">
        <v>4387</v>
      </c>
      <c r="E2019" s="56">
        <v>0</v>
      </c>
      <c r="F2019" s="57" t="s">
        <v>1217</v>
      </c>
      <c r="G2019" s="58">
        <v>195000</v>
      </c>
      <c r="H2019" s="59">
        <v>286700</v>
      </c>
      <c r="I2019" s="59">
        <f t="shared" si="62"/>
        <v>0</v>
      </c>
    </row>
    <row r="2020" spans="1:9" customFormat="1" ht="23" x14ac:dyDescent="0.35">
      <c r="A2020" s="63">
        <f t="shared" si="63"/>
        <v>2019</v>
      </c>
      <c r="B2020" s="54" t="s">
        <v>4888</v>
      </c>
      <c r="C2020" s="55" t="s">
        <v>4889</v>
      </c>
      <c r="D2020" s="54" t="s">
        <v>4387</v>
      </c>
      <c r="E2020" s="56">
        <v>0</v>
      </c>
      <c r="F2020" s="57" t="s">
        <v>844</v>
      </c>
      <c r="G2020" s="58">
        <v>749000</v>
      </c>
      <c r="H2020" s="59">
        <v>749000</v>
      </c>
      <c r="I2020" s="59">
        <f t="shared" si="62"/>
        <v>0</v>
      </c>
    </row>
    <row r="2021" spans="1:9" customFormat="1" ht="23" x14ac:dyDescent="0.35">
      <c r="A2021" s="63">
        <f t="shared" si="63"/>
        <v>2020</v>
      </c>
      <c r="B2021" s="54" t="s">
        <v>4890</v>
      </c>
      <c r="C2021" s="55" t="s">
        <v>4891</v>
      </c>
      <c r="D2021" s="54" t="s">
        <v>4387</v>
      </c>
      <c r="E2021" s="56">
        <v>0</v>
      </c>
      <c r="F2021" s="57" t="s">
        <v>792</v>
      </c>
      <c r="G2021" s="58">
        <v>378233.33</v>
      </c>
      <c r="H2021" s="59">
        <v>403500</v>
      </c>
      <c r="I2021" s="59">
        <f t="shared" si="62"/>
        <v>0</v>
      </c>
    </row>
    <row r="2022" spans="1:9" customFormat="1" x14ac:dyDescent="0.35">
      <c r="A2022" s="63">
        <f t="shared" si="63"/>
        <v>2021</v>
      </c>
      <c r="B2022" s="54" t="s">
        <v>4892</v>
      </c>
      <c r="C2022" s="55" t="s">
        <v>4893</v>
      </c>
      <c r="D2022" s="54" t="s">
        <v>4387</v>
      </c>
      <c r="E2022" s="56">
        <v>0</v>
      </c>
      <c r="F2022" s="57" t="s">
        <v>792</v>
      </c>
      <c r="G2022" s="58">
        <v>6000</v>
      </c>
      <c r="H2022" s="59">
        <v>6000</v>
      </c>
      <c r="I2022" s="59">
        <f t="shared" si="62"/>
        <v>0</v>
      </c>
    </row>
    <row r="2023" spans="1:9" customFormat="1" x14ac:dyDescent="0.35">
      <c r="A2023" s="63">
        <f t="shared" si="63"/>
        <v>2022</v>
      </c>
      <c r="B2023" s="54" t="s">
        <v>4894</v>
      </c>
      <c r="C2023" s="55" t="s">
        <v>4895</v>
      </c>
      <c r="D2023" s="54" t="s">
        <v>4387</v>
      </c>
      <c r="E2023" s="56">
        <v>0</v>
      </c>
      <c r="F2023" s="57" t="s">
        <v>792</v>
      </c>
      <c r="G2023" s="58">
        <v>35000</v>
      </c>
      <c r="H2023" s="59">
        <v>35000</v>
      </c>
      <c r="I2023" s="59">
        <f t="shared" si="62"/>
        <v>0</v>
      </c>
    </row>
    <row r="2024" spans="1:9" customFormat="1" x14ac:dyDescent="0.35">
      <c r="A2024" s="63">
        <f t="shared" si="63"/>
        <v>2023</v>
      </c>
      <c r="B2024" s="54" t="s">
        <v>4896</v>
      </c>
      <c r="C2024" s="55" t="s">
        <v>4897</v>
      </c>
      <c r="D2024" s="54" t="s">
        <v>4387</v>
      </c>
      <c r="E2024" s="56">
        <v>0</v>
      </c>
      <c r="F2024" s="57" t="s">
        <v>792</v>
      </c>
      <c r="G2024" s="58">
        <v>35000</v>
      </c>
      <c r="H2024" s="59">
        <v>35000</v>
      </c>
      <c r="I2024" s="59">
        <f t="shared" si="62"/>
        <v>0</v>
      </c>
    </row>
    <row r="2025" spans="1:9" customFormat="1" x14ac:dyDescent="0.35">
      <c r="A2025" s="63">
        <f t="shared" si="63"/>
        <v>2024</v>
      </c>
      <c r="B2025" s="54" t="s">
        <v>4898</v>
      </c>
      <c r="C2025" s="55" t="s">
        <v>4899</v>
      </c>
      <c r="D2025" s="54" t="s">
        <v>4387</v>
      </c>
      <c r="E2025" s="56">
        <v>0</v>
      </c>
      <c r="F2025" s="57" t="s">
        <v>792</v>
      </c>
      <c r="G2025" s="58">
        <v>91026</v>
      </c>
      <c r="H2025" s="59">
        <v>137000</v>
      </c>
      <c r="I2025" s="59">
        <f t="shared" si="62"/>
        <v>0</v>
      </c>
    </row>
    <row r="2026" spans="1:9" customFormat="1" x14ac:dyDescent="0.35">
      <c r="A2026" s="63">
        <f t="shared" si="63"/>
        <v>2025</v>
      </c>
      <c r="B2026" s="54" t="s">
        <v>4900</v>
      </c>
      <c r="C2026" s="55" t="s">
        <v>4901</v>
      </c>
      <c r="D2026" s="54" t="s">
        <v>4387</v>
      </c>
      <c r="E2026" s="56">
        <v>0</v>
      </c>
      <c r="F2026" s="57" t="s">
        <v>792</v>
      </c>
      <c r="G2026" s="58">
        <v>1227150</v>
      </c>
      <c r="H2026" s="59">
        <v>1840725</v>
      </c>
      <c r="I2026" s="59">
        <f t="shared" si="62"/>
        <v>0</v>
      </c>
    </row>
    <row r="2027" spans="1:9" customFormat="1" x14ac:dyDescent="0.35">
      <c r="A2027" s="63">
        <f t="shared" si="63"/>
        <v>2026</v>
      </c>
      <c r="B2027" s="54" t="s">
        <v>4902</v>
      </c>
      <c r="C2027" s="55" t="s">
        <v>4903</v>
      </c>
      <c r="D2027" s="54" t="s">
        <v>4387</v>
      </c>
      <c r="E2027" s="56">
        <v>0</v>
      </c>
      <c r="F2027" s="57" t="s">
        <v>792</v>
      </c>
      <c r="G2027" s="58">
        <v>30000</v>
      </c>
      <c r="H2027" s="59">
        <v>45000</v>
      </c>
      <c r="I2027" s="59">
        <f t="shared" si="62"/>
        <v>0</v>
      </c>
    </row>
    <row r="2028" spans="1:9" customFormat="1" x14ac:dyDescent="0.35">
      <c r="A2028" s="63">
        <f t="shared" si="63"/>
        <v>2027</v>
      </c>
      <c r="B2028" s="54" t="s">
        <v>4904</v>
      </c>
      <c r="C2028" s="55" t="s">
        <v>4905</v>
      </c>
      <c r="D2028" s="54" t="s">
        <v>4387</v>
      </c>
      <c r="E2028" s="56">
        <v>0</v>
      </c>
      <c r="F2028" s="57" t="s">
        <v>870</v>
      </c>
      <c r="G2028" s="58">
        <v>750000</v>
      </c>
      <c r="H2028" s="59">
        <v>750000</v>
      </c>
      <c r="I2028" s="59">
        <f t="shared" si="62"/>
        <v>0</v>
      </c>
    </row>
    <row r="2029" spans="1:9" customFormat="1" x14ac:dyDescent="0.35">
      <c r="A2029" s="63">
        <f t="shared" si="63"/>
        <v>2028</v>
      </c>
      <c r="B2029" s="54" t="s">
        <v>4906</v>
      </c>
      <c r="C2029" s="55" t="s">
        <v>4907</v>
      </c>
      <c r="D2029" s="54" t="s">
        <v>4387</v>
      </c>
      <c r="E2029" s="56">
        <v>0</v>
      </c>
      <c r="F2029" s="57" t="s">
        <v>792</v>
      </c>
      <c r="G2029" s="58">
        <v>0</v>
      </c>
      <c r="H2029" s="59">
        <v>150000</v>
      </c>
      <c r="I2029" s="59">
        <f t="shared" si="62"/>
        <v>0</v>
      </c>
    </row>
    <row r="2030" spans="1:9" customFormat="1" x14ac:dyDescent="0.35">
      <c r="A2030" s="63">
        <f t="shared" si="63"/>
        <v>2029</v>
      </c>
      <c r="B2030" s="54" t="s">
        <v>4908</v>
      </c>
      <c r="C2030" s="55" t="s">
        <v>4909</v>
      </c>
      <c r="D2030" s="54" t="s">
        <v>4387</v>
      </c>
      <c r="E2030" s="56">
        <v>0</v>
      </c>
      <c r="F2030" s="57" t="s">
        <v>792</v>
      </c>
      <c r="G2030" s="58">
        <v>1295</v>
      </c>
      <c r="H2030" s="59">
        <v>1295</v>
      </c>
      <c r="I2030" s="59">
        <f t="shared" si="62"/>
        <v>0</v>
      </c>
    </row>
    <row r="2031" spans="1:9" customFormat="1" x14ac:dyDescent="0.35">
      <c r="A2031" s="63">
        <f t="shared" si="63"/>
        <v>2030</v>
      </c>
      <c r="B2031" s="54" t="s">
        <v>4910</v>
      </c>
      <c r="C2031" s="55" t="s">
        <v>4911</v>
      </c>
      <c r="D2031" s="54" t="s">
        <v>4387</v>
      </c>
      <c r="E2031" s="56">
        <v>0</v>
      </c>
      <c r="F2031" s="57" t="s">
        <v>792</v>
      </c>
      <c r="G2031" s="58">
        <v>0</v>
      </c>
      <c r="H2031" s="59">
        <v>0</v>
      </c>
      <c r="I2031" s="59">
        <f t="shared" si="62"/>
        <v>0</v>
      </c>
    </row>
    <row r="2032" spans="1:9" customFormat="1" x14ac:dyDescent="0.35">
      <c r="A2032" s="63">
        <f t="shared" si="63"/>
        <v>2031</v>
      </c>
      <c r="B2032" s="54" t="s">
        <v>4912</v>
      </c>
      <c r="C2032" s="55" t="s">
        <v>4913</v>
      </c>
      <c r="D2032" s="54" t="s">
        <v>4387</v>
      </c>
      <c r="E2032" s="56">
        <v>0</v>
      </c>
      <c r="F2032" s="57" t="s">
        <v>792</v>
      </c>
      <c r="G2032" s="58">
        <v>1570</v>
      </c>
      <c r="H2032" s="59">
        <v>3750</v>
      </c>
      <c r="I2032" s="59">
        <f t="shared" si="62"/>
        <v>0</v>
      </c>
    </row>
    <row r="2033" spans="1:9" customFormat="1" x14ac:dyDescent="0.35">
      <c r="A2033" s="63">
        <f t="shared" si="63"/>
        <v>2032</v>
      </c>
      <c r="B2033" s="54" t="s">
        <v>4914</v>
      </c>
      <c r="C2033" s="55" t="s">
        <v>4915</v>
      </c>
      <c r="D2033" s="54" t="s">
        <v>4387</v>
      </c>
      <c r="E2033" s="56">
        <v>0</v>
      </c>
      <c r="F2033" s="57" t="s">
        <v>792</v>
      </c>
      <c r="G2033" s="58">
        <v>0</v>
      </c>
      <c r="H2033" s="59">
        <v>0</v>
      </c>
      <c r="I2033" s="59">
        <f t="shared" si="62"/>
        <v>0</v>
      </c>
    </row>
    <row r="2034" spans="1:9" customFormat="1" x14ac:dyDescent="0.35">
      <c r="A2034" s="63">
        <f t="shared" si="63"/>
        <v>2033</v>
      </c>
      <c r="B2034" s="54" t="s">
        <v>4916</v>
      </c>
      <c r="C2034" s="55" t="s">
        <v>4917</v>
      </c>
      <c r="D2034" s="54" t="s">
        <v>4387</v>
      </c>
      <c r="E2034" s="56">
        <v>0</v>
      </c>
      <c r="F2034" s="57" t="s">
        <v>792</v>
      </c>
      <c r="G2034" s="58">
        <v>900</v>
      </c>
      <c r="H2034" s="59">
        <v>900</v>
      </c>
      <c r="I2034" s="59">
        <f t="shared" si="62"/>
        <v>0</v>
      </c>
    </row>
    <row r="2035" spans="1:9" customFormat="1" ht="23" x14ac:dyDescent="0.35">
      <c r="A2035" s="63">
        <f t="shared" si="63"/>
        <v>2034</v>
      </c>
      <c r="B2035" s="54" t="s">
        <v>4918</v>
      </c>
      <c r="C2035" s="55" t="s">
        <v>4919</v>
      </c>
      <c r="D2035" s="54" t="s">
        <v>4387</v>
      </c>
      <c r="E2035" s="56">
        <v>0</v>
      </c>
      <c r="F2035" s="57" t="s">
        <v>792</v>
      </c>
      <c r="G2035" s="58">
        <v>1157200</v>
      </c>
      <c r="H2035" s="59">
        <v>1728000</v>
      </c>
      <c r="I2035" s="59">
        <f t="shared" si="62"/>
        <v>0</v>
      </c>
    </row>
    <row r="2036" spans="1:9" customFormat="1" x14ac:dyDescent="0.35">
      <c r="A2036" s="63">
        <f t="shared" si="63"/>
        <v>2035</v>
      </c>
      <c r="B2036" s="54" t="s">
        <v>4920</v>
      </c>
      <c r="C2036" s="55" t="s">
        <v>4921</v>
      </c>
      <c r="D2036" s="54" t="s">
        <v>4387</v>
      </c>
      <c r="E2036" s="56">
        <v>0</v>
      </c>
      <c r="F2036" s="57" t="s">
        <v>792</v>
      </c>
      <c r="G2036" s="58">
        <v>470000</v>
      </c>
      <c r="H2036" s="59">
        <v>522000</v>
      </c>
      <c r="I2036" s="59">
        <f t="shared" si="62"/>
        <v>0</v>
      </c>
    </row>
    <row r="2037" spans="1:9" customFormat="1" x14ac:dyDescent="0.35">
      <c r="A2037" s="63">
        <f t="shared" si="63"/>
        <v>2036</v>
      </c>
      <c r="B2037" s="54" t="s">
        <v>4922</v>
      </c>
      <c r="C2037" s="55" t="s">
        <v>4923</v>
      </c>
      <c r="D2037" s="54" t="s">
        <v>4387</v>
      </c>
      <c r="E2037" s="56">
        <v>0</v>
      </c>
      <c r="F2037" s="57" t="s">
        <v>792</v>
      </c>
      <c r="G2037" s="58">
        <v>3000</v>
      </c>
      <c r="H2037" s="59">
        <v>3000</v>
      </c>
      <c r="I2037" s="59">
        <f t="shared" si="62"/>
        <v>0</v>
      </c>
    </row>
    <row r="2038" spans="1:9" customFormat="1" x14ac:dyDescent="0.35">
      <c r="A2038" s="63">
        <f t="shared" si="63"/>
        <v>2037</v>
      </c>
      <c r="B2038" s="54" t="s">
        <v>4924</v>
      </c>
      <c r="C2038" s="55" t="s">
        <v>4925</v>
      </c>
      <c r="D2038" s="54" t="s">
        <v>4387</v>
      </c>
      <c r="E2038" s="56">
        <v>0</v>
      </c>
      <c r="F2038" s="57" t="s">
        <v>792</v>
      </c>
      <c r="G2038" s="58">
        <v>1211712</v>
      </c>
      <c r="H2038" s="59">
        <v>1978000</v>
      </c>
      <c r="I2038" s="59">
        <f t="shared" si="62"/>
        <v>0</v>
      </c>
    </row>
    <row r="2039" spans="1:9" customFormat="1" x14ac:dyDescent="0.35">
      <c r="A2039" s="63">
        <f t="shared" si="63"/>
        <v>2038</v>
      </c>
      <c r="B2039" s="54" t="s">
        <v>4926</v>
      </c>
      <c r="C2039" s="55" t="s">
        <v>4927</v>
      </c>
      <c r="D2039" s="54" t="s">
        <v>4387</v>
      </c>
      <c r="E2039" s="56">
        <v>0</v>
      </c>
      <c r="F2039" s="57" t="s">
        <v>792</v>
      </c>
      <c r="G2039" s="58">
        <v>6918919</v>
      </c>
      <c r="H2039" s="59">
        <v>11520000</v>
      </c>
      <c r="I2039" s="59">
        <f t="shared" si="62"/>
        <v>0</v>
      </c>
    </row>
    <row r="2040" spans="1:9" customFormat="1" x14ac:dyDescent="0.35">
      <c r="A2040" s="63">
        <f t="shared" si="63"/>
        <v>2039</v>
      </c>
      <c r="B2040" s="54" t="s">
        <v>4928</v>
      </c>
      <c r="C2040" s="55" t="s">
        <v>4929</v>
      </c>
      <c r="D2040" s="54" t="s">
        <v>4387</v>
      </c>
      <c r="E2040" s="56">
        <v>0</v>
      </c>
      <c r="F2040" s="57" t="s">
        <v>792</v>
      </c>
      <c r="G2040" s="58">
        <v>0</v>
      </c>
      <c r="H2040" s="59">
        <v>499500</v>
      </c>
      <c r="I2040" s="59">
        <f t="shared" si="62"/>
        <v>0</v>
      </c>
    </row>
    <row r="2041" spans="1:9" customFormat="1" x14ac:dyDescent="0.35">
      <c r="A2041" s="63">
        <f t="shared" si="63"/>
        <v>2040</v>
      </c>
      <c r="B2041" s="54" t="s">
        <v>4930</v>
      </c>
      <c r="C2041" s="55" t="s">
        <v>4931</v>
      </c>
      <c r="D2041" s="54" t="s">
        <v>4387</v>
      </c>
      <c r="E2041" s="56">
        <v>0</v>
      </c>
      <c r="F2041" s="57" t="s">
        <v>792</v>
      </c>
      <c r="G2041" s="58">
        <v>10411</v>
      </c>
      <c r="H2041" s="59">
        <v>18430</v>
      </c>
      <c r="I2041" s="59">
        <f t="shared" si="62"/>
        <v>0</v>
      </c>
    </row>
    <row r="2042" spans="1:9" customFormat="1" x14ac:dyDescent="0.35">
      <c r="A2042" s="63">
        <f t="shared" si="63"/>
        <v>2041</v>
      </c>
      <c r="B2042" s="54" t="s">
        <v>4932</v>
      </c>
      <c r="C2042" s="55" t="s">
        <v>4933</v>
      </c>
      <c r="D2042" s="54" t="s">
        <v>4387</v>
      </c>
      <c r="E2042" s="56">
        <v>0</v>
      </c>
      <c r="F2042" s="57" t="s">
        <v>792</v>
      </c>
      <c r="G2042" s="58">
        <v>15034</v>
      </c>
      <c r="H2042" s="59">
        <v>22500</v>
      </c>
      <c r="I2042" s="59">
        <f t="shared" si="62"/>
        <v>0</v>
      </c>
    </row>
    <row r="2043" spans="1:9" customFormat="1" x14ac:dyDescent="0.35">
      <c r="A2043" s="63">
        <f t="shared" si="63"/>
        <v>2042</v>
      </c>
      <c r="B2043" s="54" t="s">
        <v>4934</v>
      </c>
      <c r="C2043" s="55" t="s">
        <v>4935</v>
      </c>
      <c r="D2043" s="54" t="s">
        <v>4387</v>
      </c>
      <c r="E2043" s="56">
        <v>0</v>
      </c>
      <c r="F2043" s="57" t="s">
        <v>792</v>
      </c>
      <c r="G2043" s="58">
        <v>232400</v>
      </c>
      <c r="H2043" s="59">
        <v>350000</v>
      </c>
      <c r="I2043" s="59">
        <f t="shared" si="62"/>
        <v>0</v>
      </c>
    </row>
    <row r="2044" spans="1:9" customFormat="1" x14ac:dyDescent="0.35">
      <c r="A2044" s="63">
        <f t="shared" si="63"/>
        <v>2043</v>
      </c>
      <c r="B2044" s="54" t="s">
        <v>4936</v>
      </c>
      <c r="C2044" s="55" t="s">
        <v>4937</v>
      </c>
      <c r="D2044" s="54" t="s">
        <v>4387</v>
      </c>
      <c r="E2044" s="56">
        <v>0</v>
      </c>
      <c r="F2044" s="57" t="s">
        <v>977</v>
      </c>
      <c r="G2044" s="58">
        <v>350000</v>
      </c>
      <c r="H2044" s="59">
        <v>525000</v>
      </c>
      <c r="I2044" s="59">
        <f t="shared" si="62"/>
        <v>0</v>
      </c>
    </row>
    <row r="2045" spans="1:9" customFormat="1" x14ac:dyDescent="0.35">
      <c r="A2045" s="63">
        <f t="shared" si="63"/>
        <v>2044</v>
      </c>
      <c r="B2045" s="54" t="s">
        <v>4938</v>
      </c>
      <c r="C2045" s="55" t="s">
        <v>4939</v>
      </c>
      <c r="D2045" s="54" t="s">
        <v>4387</v>
      </c>
      <c r="E2045" s="56">
        <v>0</v>
      </c>
      <c r="F2045" s="57" t="s">
        <v>1552</v>
      </c>
      <c r="G2045" s="58">
        <v>84360</v>
      </c>
      <c r="H2045" s="59">
        <v>84360</v>
      </c>
      <c r="I2045" s="59">
        <f t="shared" si="62"/>
        <v>0</v>
      </c>
    </row>
    <row r="2046" spans="1:9" customFormat="1" x14ac:dyDescent="0.35">
      <c r="A2046" s="63">
        <f t="shared" si="63"/>
        <v>2045</v>
      </c>
      <c r="B2046" s="54" t="s">
        <v>4940</v>
      </c>
      <c r="C2046" s="55" t="s">
        <v>4941</v>
      </c>
      <c r="D2046" s="54" t="s">
        <v>4387</v>
      </c>
      <c r="E2046" s="56">
        <v>0</v>
      </c>
      <c r="F2046" s="57" t="s">
        <v>1552</v>
      </c>
      <c r="G2046" s="58">
        <v>84360</v>
      </c>
      <c r="H2046" s="59">
        <v>84360</v>
      </c>
      <c r="I2046" s="59">
        <f t="shared" si="62"/>
        <v>0</v>
      </c>
    </row>
    <row r="2047" spans="1:9" customFormat="1" x14ac:dyDescent="0.35">
      <c r="A2047" s="63">
        <f t="shared" si="63"/>
        <v>2046</v>
      </c>
      <c r="B2047" s="54" t="s">
        <v>4942</v>
      </c>
      <c r="C2047" s="55" t="s">
        <v>4943</v>
      </c>
      <c r="D2047" s="54" t="s">
        <v>4387</v>
      </c>
      <c r="E2047" s="56">
        <v>0</v>
      </c>
      <c r="F2047" s="57" t="s">
        <v>792</v>
      </c>
      <c r="G2047" s="58">
        <v>500</v>
      </c>
      <c r="H2047" s="59">
        <v>500</v>
      </c>
      <c r="I2047" s="59">
        <f t="shared" si="62"/>
        <v>0</v>
      </c>
    </row>
    <row r="2048" spans="1:9" customFormat="1" ht="23" x14ac:dyDescent="0.35">
      <c r="A2048" s="63">
        <f t="shared" si="63"/>
        <v>2047</v>
      </c>
      <c r="B2048" s="54" t="s">
        <v>4944</v>
      </c>
      <c r="C2048" s="55" t="s">
        <v>4945</v>
      </c>
      <c r="D2048" s="54" t="s">
        <v>4387</v>
      </c>
      <c r="E2048" s="56">
        <v>0</v>
      </c>
      <c r="F2048" s="57" t="s">
        <v>792</v>
      </c>
      <c r="G2048" s="58">
        <v>4900</v>
      </c>
      <c r="H2048" s="59">
        <v>4900</v>
      </c>
      <c r="I2048" s="59">
        <f t="shared" si="62"/>
        <v>0</v>
      </c>
    </row>
    <row r="2049" spans="1:9" customFormat="1" x14ac:dyDescent="0.35">
      <c r="A2049" s="63">
        <f t="shared" si="63"/>
        <v>2048</v>
      </c>
      <c r="B2049" s="54" t="s">
        <v>4946</v>
      </c>
      <c r="C2049" s="55" t="s">
        <v>4947</v>
      </c>
      <c r="D2049" s="54" t="s">
        <v>4387</v>
      </c>
      <c r="E2049" s="56">
        <v>0</v>
      </c>
      <c r="F2049" s="57" t="s">
        <v>792</v>
      </c>
      <c r="G2049" s="58">
        <v>242000</v>
      </c>
      <c r="H2049" s="59">
        <v>242000</v>
      </c>
      <c r="I2049" s="59">
        <f t="shared" si="62"/>
        <v>0</v>
      </c>
    </row>
    <row r="2050" spans="1:9" customFormat="1" x14ac:dyDescent="0.35">
      <c r="A2050" s="63">
        <f t="shared" si="63"/>
        <v>2049</v>
      </c>
      <c r="B2050" s="54" t="s">
        <v>4948</v>
      </c>
      <c r="C2050" s="55" t="s">
        <v>4949</v>
      </c>
      <c r="D2050" s="54" t="s">
        <v>4387</v>
      </c>
      <c r="E2050" s="56">
        <v>0</v>
      </c>
      <c r="F2050" s="57" t="s">
        <v>792</v>
      </c>
      <c r="G2050" s="58">
        <v>15000</v>
      </c>
      <c r="H2050" s="59">
        <v>0</v>
      </c>
      <c r="I2050" s="59">
        <f t="shared" si="62"/>
        <v>0</v>
      </c>
    </row>
    <row r="2051" spans="1:9" customFormat="1" x14ac:dyDescent="0.35">
      <c r="A2051" s="63">
        <f t="shared" si="63"/>
        <v>2050</v>
      </c>
      <c r="B2051" s="54" t="s">
        <v>4950</v>
      </c>
      <c r="C2051" s="55" t="s">
        <v>4951</v>
      </c>
      <c r="D2051" s="54" t="s">
        <v>4387</v>
      </c>
      <c r="E2051" s="56">
        <v>0</v>
      </c>
      <c r="F2051" s="57" t="s">
        <v>792</v>
      </c>
      <c r="G2051" s="58">
        <v>0</v>
      </c>
      <c r="H2051" s="59">
        <v>0</v>
      </c>
      <c r="I2051" s="59">
        <f t="shared" ref="I2051:I2114" si="64">H2051*E2051</f>
        <v>0</v>
      </c>
    </row>
    <row r="2052" spans="1:9" customFormat="1" x14ac:dyDescent="0.35">
      <c r="A2052" s="63">
        <f t="shared" ref="A2052:A2115" si="65">A2051+1</f>
        <v>2051</v>
      </c>
      <c r="B2052" s="54" t="s">
        <v>4952</v>
      </c>
      <c r="C2052" s="55" t="s">
        <v>4953</v>
      </c>
      <c r="D2052" s="54" t="s">
        <v>4387</v>
      </c>
      <c r="E2052" s="56">
        <v>0</v>
      </c>
      <c r="F2052" s="57" t="s">
        <v>844</v>
      </c>
      <c r="G2052" s="58">
        <v>626127</v>
      </c>
      <c r="H2052" s="59">
        <v>626127</v>
      </c>
      <c r="I2052" s="59">
        <f t="shared" si="64"/>
        <v>0</v>
      </c>
    </row>
    <row r="2053" spans="1:9" customFormat="1" x14ac:dyDescent="0.35">
      <c r="A2053" s="63">
        <f t="shared" si="65"/>
        <v>2052</v>
      </c>
      <c r="B2053" s="54" t="s">
        <v>4954</v>
      </c>
      <c r="C2053" s="55" t="s">
        <v>4955</v>
      </c>
      <c r="D2053" s="54" t="s">
        <v>4387</v>
      </c>
      <c r="E2053" s="56">
        <v>0</v>
      </c>
      <c r="F2053" s="57" t="s">
        <v>792</v>
      </c>
      <c r="G2053" s="58">
        <v>695000</v>
      </c>
      <c r="H2053" s="59">
        <v>695000</v>
      </c>
      <c r="I2053" s="59">
        <f t="shared" si="64"/>
        <v>0</v>
      </c>
    </row>
    <row r="2054" spans="1:9" customFormat="1" ht="23" x14ac:dyDescent="0.35">
      <c r="A2054" s="63">
        <f t="shared" si="65"/>
        <v>2053</v>
      </c>
      <c r="B2054" s="54" t="s">
        <v>4956</v>
      </c>
      <c r="C2054" s="55" t="s">
        <v>4957</v>
      </c>
      <c r="D2054" s="54" t="s">
        <v>4387</v>
      </c>
      <c r="E2054" s="56">
        <v>0</v>
      </c>
      <c r="F2054" s="57" t="s">
        <v>792</v>
      </c>
      <c r="G2054" s="58">
        <v>3500</v>
      </c>
      <c r="H2054" s="59">
        <v>5550</v>
      </c>
      <c r="I2054" s="59">
        <f t="shared" si="64"/>
        <v>0</v>
      </c>
    </row>
    <row r="2055" spans="1:9" customFormat="1" x14ac:dyDescent="0.35">
      <c r="A2055" s="63">
        <f t="shared" si="65"/>
        <v>2054</v>
      </c>
      <c r="B2055" s="54" t="s">
        <v>4958</v>
      </c>
      <c r="C2055" s="55" t="s">
        <v>4959</v>
      </c>
      <c r="D2055" s="54" t="s">
        <v>4387</v>
      </c>
      <c r="E2055" s="56">
        <v>0</v>
      </c>
      <c r="F2055" s="57" t="s">
        <v>844</v>
      </c>
      <c r="G2055" s="58">
        <v>260000</v>
      </c>
      <c r="H2055" s="59">
        <v>260000</v>
      </c>
      <c r="I2055" s="59">
        <f t="shared" si="64"/>
        <v>0</v>
      </c>
    </row>
    <row r="2056" spans="1:9" customFormat="1" x14ac:dyDescent="0.35">
      <c r="A2056" s="63">
        <f t="shared" si="65"/>
        <v>2055</v>
      </c>
      <c r="B2056" s="54" t="s">
        <v>4960</v>
      </c>
      <c r="C2056" s="55" t="s">
        <v>4961</v>
      </c>
      <c r="D2056" s="54" t="s">
        <v>4387</v>
      </c>
      <c r="E2056" s="56">
        <v>0</v>
      </c>
      <c r="F2056" s="57" t="s">
        <v>844</v>
      </c>
      <c r="G2056" s="58">
        <v>9500000</v>
      </c>
      <c r="H2056" s="59">
        <v>9500000</v>
      </c>
      <c r="I2056" s="59">
        <f t="shared" si="64"/>
        <v>0</v>
      </c>
    </row>
    <row r="2057" spans="1:9" customFormat="1" ht="23" x14ac:dyDescent="0.35">
      <c r="A2057" s="63">
        <f t="shared" si="65"/>
        <v>2056</v>
      </c>
      <c r="B2057" s="54" t="s">
        <v>4962</v>
      </c>
      <c r="C2057" s="55" t="s">
        <v>4963</v>
      </c>
      <c r="D2057" s="54" t="s">
        <v>4387</v>
      </c>
      <c r="E2057" s="56">
        <v>0</v>
      </c>
      <c r="F2057" s="57" t="s">
        <v>792</v>
      </c>
      <c r="G2057" s="58">
        <v>60000</v>
      </c>
      <c r="H2057" s="59">
        <v>90000</v>
      </c>
      <c r="I2057" s="59">
        <f t="shared" si="64"/>
        <v>0</v>
      </c>
    </row>
    <row r="2058" spans="1:9" customFormat="1" ht="23" x14ac:dyDescent="0.35">
      <c r="A2058" s="63">
        <f t="shared" si="65"/>
        <v>2057</v>
      </c>
      <c r="B2058" s="54" t="s">
        <v>4964</v>
      </c>
      <c r="C2058" s="55" t="s">
        <v>4965</v>
      </c>
      <c r="D2058" s="54" t="s">
        <v>4387</v>
      </c>
      <c r="E2058" s="56">
        <v>0</v>
      </c>
      <c r="F2058" s="57" t="s">
        <v>792</v>
      </c>
      <c r="G2058" s="58">
        <v>30000</v>
      </c>
      <c r="H2058" s="59">
        <v>124950</v>
      </c>
      <c r="I2058" s="59">
        <f t="shared" si="64"/>
        <v>0</v>
      </c>
    </row>
    <row r="2059" spans="1:9" customFormat="1" x14ac:dyDescent="0.35">
      <c r="A2059" s="63">
        <f t="shared" si="65"/>
        <v>2058</v>
      </c>
      <c r="B2059" s="54" t="s">
        <v>4966</v>
      </c>
      <c r="C2059" s="55" t="s">
        <v>4967</v>
      </c>
      <c r="D2059" s="54" t="s">
        <v>4387</v>
      </c>
      <c r="E2059" s="56">
        <v>0</v>
      </c>
      <c r="F2059" s="57" t="s">
        <v>870</v>
      </c>
      <c r="G2059" s="58">
        <v>2500</v>
      </c>
      <c r="H2059" s="59">
        <v>2500</v>
      </c>
      <c r="I2059" s="59">
        <f t="shared" si="64"/>
        <v>0</v>
      </c>
    </row>
    <row r="2060" spans="1:9" customFormat="1" x14ac:dyDescent="0.35">
      <c r="A2060" s="63">
        <f t="shared" si="65"/>
        <v>2059</v>
      </c>
      <c r="B2060" s="54" t="s">
        <v>4968</v>
      </c>
      <c r="C2060" s="55" t="s">
        <v>4969</v>
      </c>
      <c r="D2060" s="54" t="s">
        <v>4387</v>
      </c>
      <c r="E2060" s="56">
        <v>0</v>
      </c>
      <c r="F2060" s="57" t="s">
        <v>870</v>
      </c>
      <c r="G2060" s="58">
        <v>3500</v>
      </c>
      <c r="H2060" s="59">
        <v>3500</v>
      </c>
      <c r="I2060" s="59">
        <f t="shared" si="64"/>
        <v>0</v>
      </c>
    </row>
    <row r="2061" spans="1:9" customFormat="1" x14ac:dyDescent="0.35">
      <c r="A2061" s="63">
        <f t="shared" si="65"/>
        <v>2060</v>
      </c>
      <c r="B2061" s="54" t="s">
        <v>4970</v>
      </c>
      <c r="C2061" s="55" t="s">
        <v>4971</v>
      </c>
      <c r="D2061" s="54" t="s">
        <v>4387</v>
      </c>
      <c r="E2061" s="56">
        <v>0</v>
      </c>
      <c r="F2061" s="57" t="s">
        <v>792</v>
      </c>
      <c r="G2061" s="58">
        <v>65000</v>
      </c>
      <c r="H2061" s="59">
        <v>65000</v>
      </c>
      <c r="I2061" s="59">
        <f t="shared" si="64"/>
        <v>0</v>
      </c>
    </row>
    <row r="2062" spans="1:9" customFormat="1" x14ac:dyDescent="0.35">
      <c r="A2062" s="63">
        <f t="shared" si="65"/>
        <v>2061</v>
      </c>
      <c r="B2062" s="54" t="s">
        <v>4972</v>
      </c>
      <c r="C2062" s="55" t="s">
        <v>4973</v>
      </c>
      <c r="D2062" s="54" t="s">
        <v>4387</v>
      </c>
      <c r="E2062" s="56">
        <v>0</v>
      </c>
      <c r="F2062" s="57" t="s">
        <v>792</v>
      </c>
      <c r="G2062" s="58">
        <v>150700</v>
      </c>
      <c r="H2062" s="59">
        <v>150700</v>
      </c>
      <c r="I2062" s="59">
        <f t="shared" si="64"/>
        <v>0</v>
      </c>
    </row>
    <row r="2063" spans="1:9" customFormat="1" x14ac:dyDescent="0.35">
      <c r="A2063" s="63">
        <f t="shared" si="65"/>
        <v>2062</v>
      </c>
      <c r="B2063" s="54" t="s">
        <v>4974</v>
      </c>
      <c r="C2063" s="55" t="s">
        <v>4975</v>
      </c>
      <c r="D2063" s="54" t="s">
        <v>4387</v>
      </c>
      <c r="E2063" s="56">
        <v>0</v>
      </c>
      <c r="F2063" s="57" t="s">
        <v>792</v>
      </c>
      <c r="G2063" s="58">
        <v>42342</v>
      </c>
      <c r="H2063" s="59">
        <v>42342</v>
      </c>
      <c r="I2063" s="59">
        <f t="shared" si="64"/>
        <v>0</v>
      </c>
    </row>
    <row r="2064" spans="1:9" customFormat="1" x14ac:dyDescent="0.35">
      <c r="A2064" s="63">
        <f t="shared" si="65"/>
        <v>2063</v>
      </c>
      <c r="B2064" s="54" t="s">
        <v>4976</v>
      </c>
      <c r="C2064" s="55" t="s">
        <v>4977</v>
      </c>
      <c r="D2064" s="54" t="s">
        <v>4387</v>
      </c>
      <c r="E2064" s="56">
        <v>0</v>
      </c>
      <c r="F2064" s="57" t="s">
        <v>792</v>
      </c>
      <c r="G2064" s="58">
        <v>21000</v>
      </c>
      <c r="H2064" s="59">
        <v>21000</v>
      </c>
      <c r="I2064" s="59">
        <f t="shared" si="64"/>
        <v>0</v>
      </c>
    </row>
    <row r="2065" spans="1:9" customFormat="1" x14ac:dyDescent="0.35">
      <c r="A2065" s="63">
        <f t="shared" si="65"/>
        <v>2064</v>
      </c>
      <c r="B2065" s="54" t="s">
        <v>4978</v>
      </c>
      <c r="C2065" s="55" t="s">
        <v>4979</v>
      </c>
      <c r="D2065" s="54" t="s">
        <v>4387</v>
      </c>
      <c r="E2065" s="56">
        <v>0</v>
      </c>
      <c r="F2065" s="57" t="s">
        <v>792</v>
      </c>
      <c r="G2065" s="58">
        <v>44000</v>
      </c>
      <c r="H2065" s="59">
        <v>44000</v>
      </c>
      <c r="I2065" s="59">
        <f t="shared" si="64"/>
        <v>0</v>
      </c>
    </row>
    <row r="2066" spans="1:9" customFormat="1" x14ac:dyDescent="0.35">
      <c r="A2066" s="63">
        <f t="shared" si="65"/>
        <v>2065</v>
      </c>
      <c r="B2066" s="54" t="s">
        <v>4980</v>
      </c>
      <c r="C2066" s="55" t="s">
        <v>4981</v>
      </c>
      <c r="D2066" s="54" t="s">
        <v>4387</v>
      </c>
      <c r="E2066" s="56">
        <v>0</v>
      </c>
      <c r="F2066" s="57" t="s">
        <v>792</v>
      </c>
      <c r="G2066" s="58">
        <v>129500</v>
      </c>
      <c r="H2066" s="59">
        <v>196650</v>
      </c>
      <c r="I2066" s="59">
        <f t="shared" si="64"/>
        <v>0</v>
      </c>
    </row>
    <row r="2067" spans="1:9" customFormat="1" x14ac:dyDescent="0.35">
      <c r="A2067" s="63">
        <f t="shared" si="65"/>
        <v>2066</v>
      </c>
      <c r="B2067" s="54" t="s">
        <v>4982</v>
      </c>
      <c r="C2067" s="55" t="s">
        <v>4983</v>
      </c>
      <c r="D2067" s="54" t="s">
        <v>4387</v>
      </c>
      <c r="E2067" s="56">
        <v>0</v>
      </c>
      <c r="F2067" s="57" t="s">
        <v>792</v>
      </c>
      <c r="G2067" s="58">
        <v>3000</v>
      </c>
      <c r="H2067" s="59">
        <v>0</v>
      </c>
      <c r="I2067" s="59">
        <f t="shared" si="64"/>
        <v>0</v>
      </c>
    </row>
    <row r="2068" spans="1:9" customFormat="1" x14ac:dyDescent="0.35">
      <c r="A2068" s="63">
        <f t="shared" si="65"/>
        <v>2067</v>
      </c>
      <c r="B2068" s="54" t="s">
        <v>4984</v>
      </c>
      <c r="C2068" s="55" t="s">
        <v>4985</v>
      </c>
      <c r="D2068" s="54" t="s">
        <v>4387</v>
      </c>
      <c r="E2068" s="56">
        <v>0</v>
      </c>
      <c r="F2068" s="57" t="s">
        <v>792</v>
      </c>
      <c r="G2068" s="58">
        <v>6300</v>
      </c>
      <c r="H2068" s="59">
        <v>6300</v>
      </c>
      <c r="I2068" s="59">
        <f t="shared" si="64"/>
        <v>0</v>
      </c>
    </row>
    <row r="2069" spans="1:9" customFormat="1" x14ac:dyDescent="0.35">
      <c r="A2069" s="63">
        <f t="shared" si="65"/>
        <v>2068</v>
      </c>
      <c r="B2069" s="54" t="s">
        <v>4986</v>
      </c>
      <c r="C2069" s="55" t="s">
        <v>4987</v>
      </c>
      <c r="D2069" s="54" t="s">
        <v>4387</v>
      </c>
      <c r="E2069" s="56">
        <v>0</v>
      </c>
      <c r="F2069" s="57" t="s">
        <v>792</v>
      </c>
      <c r="G2069" s="58">
        <v>4500</v>
      </c>
      <c r="H2069" s="59">
        <v>4500</v>
      </c>
      <c r="I2069" s="59">
        <f t="shared" si="64"/>
        <v>0</v>
      </c>
    </row>
    <row r="2070" spans="1:9" customFormat="1" x14ac:dyDescent="0.35">
      <c r="A2070" s="63">
        <f t="shared" si="65"/>
        <v>2069</v>
      </c>
      <c r="B2070" s="54" t="s">
        <v>4988</v>
      </c>
      <c r="C2070" s="55" t="s">
        <v>4989</v>
      </c>
      <c r="D2070" s="54" t="s">
        <v>4387</v>
      </c>
      <c r="E2070" s="56">
        <v>0</v>
      </c>
      <c r="F2070" s="57" t="s">
        <v>792</v>
      </c>
      <c r="G2070" s="58">
        <v>10000</v>
      </c>
      <c r="H2070" s="59">
        <v>10000</v>
      </c>
      <c r="I2070" s="59">
        <f t="shared" si="64"/>
        <v>0</v>
      </c>
    </row>
    <row r="2071" spans="1:9" customFormat="1" x14ac:dyDescent="0.35">
      <c r="A2071" s="63">
        <f t="shared" si="65"/>
        <v>2070</v>
      </c>
      <c r="B2071" s="54" t="s">
        <v>4990</v>
      </c>
      <c r="C2071" s="55" t="s">
        <v>4991</v>
      </c>
      <c r="D2071" s="54" t="s">
        <v>4387</v>
      </c>
      <c r="E2071" s="56">
        <v>0</v>
      </c>
      <c r="F2071" s="57" t="s">
        <v>792</v>
      </c>
      <c r="G2071" s="58">
        <v>149500</v>
      </c>
      <c r="H2071" s="59">
        <v>149500</v>
      </c>
      <c r="I2071" s="59">
        <f t="shared" si="64"/>
        <v>0</v>
      </c>
    </row>
    <row r="2072" spans="1:9" customFormat="1" ht="23" x14ac:dyDescent="0.35">
      <c r="A2072" s="63">
        <f t="shared" si="65"/>
        <v>2071</v>
      </c>
      <c r="B2072" s="54" t="s">
        <v>4992</v>
      </c>
      <c r="C2072" s="55" t="s">
        <v>4993</v>
      </c>
      <c r="D2072" s="54" t="s">
        <v>4387</v>
      </c>
      <c r="E2072" s="56">
        <v>0</v>
      </c>
      <c r="F2072" s="57" t="s">
        <v>815</v>
      </c>
      <c r="G2072" s="58">
        <v>1276.8</v>
      </c>
      <c r="H2072" s="59">
        <v>334163</v>
      </c>
      <c r="I2072" s="59">
        <f t="shared" si="64"/>
        <v>0</v>
      </c>
    </row>
    <row r="2073" spans="1:9" customFormat="1" ht="23" x14ac:dyDescent="0.35">
      <c r="A2073" s="63">
        <f t="shared" si="65"/>
        <v>2072</v>
      </c>
      <c r="B2073" s="54" t="s">
        <v>4994</v>
      </c>
      <c r="C2073" s="55" t="s">
        <v>4995</v>
      </c>
      <c r="D2073" s="54" t="s">
        <v>4387</v>
      </c>
      <c r="E2073" s="56">
        <v>0</v>
      </c>
      <c r="F2073" s="57" t="s">
        <v>815</v>
      </c>
      <c r="G2073" s="58">
        <v>0</v>
      </c>
      <c r="H2073" s="59">
        <v>0</v>
      </c>
      <c r="I2073" s="59">
        <f t="shared" si="64"/>
        <v>0</v>
      </c>
    </row>
    <row r="2074" spans="1:9" customFormat="1" ht="23" x14ac:dyDescent="0.35">
      <c r="A2074" s="63">
        <f t="shared" si="65"/>
        <v>2073</v>
      </c>
      <c r="B2074" s="54" t="s">
        <v>4996</v>
      </c>
      <c r="C2074" s="55" t="s">
        <v>4997</v>
      </c>
      <c r="D2074" s="54" t="s">
        <v>4387</v>
      </c>
      <c r="E2074" s="56">
        <v>0</v>
      </c>
      <c r="F2074" s="57" t="s">
        <v>815</v>
      </c>
      <c r="G2074" s="58">
        <v>372480</v>
      </c>
      <c r="H2074" s="59">
        <v>372480</v>
      </c>
      <c r="I2074" s="59">
        <f t="shared" si="64"/>
        <v>0</v>
      </c>
    </row>
    <row r="2075" spans="1:9" customFormat="1" x14ac:dyDescent="0.35">
      <c r="A2075" s="63">
        <f t="shared" si="65"/>
        <v>2074</v>
      </c>
      <c r="B2075" s="54" t="s">
        <v>4998</v>
      </c>
      <c r="C2075" s="55" t="s">
        <v>4999</v>
      </c>
      <c r="D2075" s="54" t="s">
        <v>4387</v>
      </c>
      <c r="E2075" s="56">
        <v>0</v>
      </c>
      <c r="F2075" s="57" t="s">
        <v>815</v>
      </c>
      <c r="G2075" s="58">
        <v>0</v>
      </c>
      <c r="H2075" s="59">
        <v>0</v>
      </c>
      <c r="I2075" s="59">
        <f t="shared" si="64"/>
        <v>0</v>
      </c>
    </row>
    <row r="2076" spans="1:9" customFormat="1" x14ac:dyDescent="0.35">
      <c r="A2076" s="63">
        <f t="shared" si="65"/>
        <v>2075</v>
      </c>
      <c r="B2076" s="54" t="s">
        <v>5000</v>
      </c>
      <c r="C2076" s="55" t="s">
        <v>5001</v>
      </c>
      <c r="D2076" s="54" t="s">
        <v>4387</v>
      </c>
      <c r="E2076" s="56">
        <v>0</v>
      </c>
      <c r="F2076" s="57" t="s">
        <v>870</v>
      </c>
      <c r="G2076" s="58">
        <v>1276.8</v>
      </c>
      <c r="H2076" s="59">
        <v>127680</v>
      </c>
      <c r="I2076" s="59">
        <f t="shared" si="64"/>
        <v>0</v>
      </c>
    </row>
    <row r="2077" spans="1:9" customFormat="1" x14ac:dyDescent="0.35">
      <c r="A2077" s="63">
        <f t="shared" si="65"/>
        <v>2076</v>
      </c>
      <c r="B2077" s="54" t="s">
        <v>5002</v>
      </c>
      <c r="C2077" s="55" t="s">
        <v>5003</v>
      </c>
      <c r="D2077" s="54" t="s">
        <v>4387</v>
      </c>
      <c r="E2077" s="56">
        <v>0</v>
      </c>
      <c r="F2077" s="57" t="s">
        <v>815</v>
      </c>
      <c r="G2077" s="58">
        <v>232750</v>
      </c>
      <c r="H2077" s="59">
        <v>698250</v>
      </c>
      <c r="I2077" s="59">
        <f t="shared" si="64"/>
        <v>0</v>
      </c>
    </row>
    <row r="2078" spans="1:9" customFormat="1" x14ac:dyDescent="0.35">
      <c r="A2078" s="63">
        <f t="shared" si="65"/>
        <v>2077</v>
      </c>
      <c r="B2078" s="54" t="s">
        <v>5004</v>
      </c>
      <c r="C2078" s="55" t="s">
        <v>5005</v>
      </c>
      <c r="D2078" s="54" t="s">
        <v>4387</v>
      </c>
      <c r="E2078" s="56">
        <v>0</v>
      </c>
      <c r="F2078" s="57" t="s">
        <v>870</v>
      </c>
      <c r="G2078" s="58">
        <v>1276.8</v>
      </c>
      <c r="H2078" s="59">
        <v>127680</v>
      </c>
      <c r="I2078" s="59">
        <f t="shared" si="64"/>
        <v>0</v>
      </c>
    </row>
    <row r="2079" spans="1:9" customFormat="1" ht="23" x14ac:dyDescent="0.35">
      <c r="A2079" s="63">
        <f t="shared" si="65"/>
        <v>2078</v>
      </c>
      <c r="B2079" s="54" t="s">
        <v>5006</v>
      </c>
      <c r="C2079" s="55" t="s">
        <v>5007</v>
      </c>
      <c r="D2079" s="54" t="s">
        <v>4387</v>
      </c>
      <c r="E2079" s="56">
        <v>0</v>
      </c>
      <c r="F2079" s="57" t="s">
        <v>815</v>
      </c>
      <c r="G2079" s="58">
        <v>694160</v>
      </c>
      <c r="H2079" s="59">
        <v>1254390</v>
      </c>
      <c r="I2079" s="59">
        <f t="shared" si="64"/>
        <v>0</v>
      </c>
    </row>
    <row r="2080" spans="1:9" customFormat="1" ht="23" x14ac:dyDescent="0.35">
      <c r="A2080" s="63">
        <f t="shared" si="65"/>
        <v>2079</v>
      </c>
      <c r="B2080" s="54" t="s">
        <v>5008</v>
      </c>
      <c r="C2080" s="55" t="s">
        <v>5009</v>
      </c>
      <c r="D2080" s="54" t="s">
        <v>4387</v>
      </c>
      <c r="E2080" s="56">
        <v>0</v>
      </c>
      <c r="F2080" s="57" t="s">
        <v>815</v>
      </c>
      <c r="G2080" s="58">
        <v>499200</v>
      </c>
      <c r="H2080" s="59">
        <v>499200</v>
      </c>
      <c r="I2080" s="59">
        <f t="shared" si="64"/>
        <v>0</v>
      </c>
    </row>
    <row r="2081" spans="1:9" customFormat="1" x14ac:dyDescent="0.35">
      <c r="A2081" s="63">
        <f t="shared" si="65"/>
        <v>2080</v>
      </c>
      <c r="B2081" s="54" t="s">
        <v>5010</v>
      </c>
      <c r="C2081" s="55" t="s">
        <v>5011</v>
      </c>
      <c r="D2081" s="54" t="s">
        <v>4387</v>
      </c>
      <c r="E2081" s="56">
        <v>0</v>
      </c>
      <c r="F2081" s="57" t="s">
        <v>870</v>
      </c>
      <c r="G2081" s="58">
        <v>167207</v>
      </c>
      <c r="H2081" s="59">
        <v>279000</v>
      </c>
      <c r="I2081" s="59">
        <f t="shared" si="64"/>
        <v>0</v>
      </c>
    </row>
    <row r="2082" spans="1:9" customFormat="1" x14ac:dyDescent="0.35">
      <c r="A2082" s="63">
        <f t="shared" si="65"/>
        <v>2081</v>
      </c>
      <c r="B2082" s="54" t="s">
        <v>5012</v>
      </c>
      <c r="C2082" s="55" t="s">
        <v>5013</v>
      </c>
      <c r="D2082" s="54" t="s">
        <v>4387</v>
      </c>
      <c r="E2082" s="56">
        <v>0</v>
      </c>
      <c r="F2082" s="57" t="s">
        <v>870</v>
      </c>
      <c r="G2082" s="58">
        <v>30000</v>
      </c>
      <c r="H2082" s="59">
        <v>30000</v>
      </c>
      <c r="I2082" s="59">
        <f t="shared" si="64"/>
        <v>0</v>
      </c>
    </row>
    <row r="2083" spans="1:9" customFormat="1" x14ac:dyDescent="0.35">
      <c r="A2083" s="63">
        <f t="shared" si="65"/>
        <v>2082</v>
      </c>
      <c r="B2083" s="54" t="s">
        <v>5014</v>
      </c>
      <c r="C2083" s="55" t="s">
        <v>5015</v>
      </c>
      <c r="D2083" s="54" t="s">
        <v>4387</v>
      </c>
      <c r="E2083" s="56">
        <v>0</v>
      </c>
      <c r="F2083" s="57" t="s">
        <v>792</v>
      </c>
      <c r="G2083" s="58">
        <v>524890</v>
      </c>
      <c r="H2083" s="59">
        <v>524890</v>
      </c>
      <c r="I2083" s="59">
        <f t="shared" si="64"/>
        <v>0</v>
      </c>
    </row>
    <row r="2084" spans="1:9" customFormat="1" x14ac:dyDescent="0.35">
      <c r="A2084" s="63">
        <f t="shared" si="65"/>
        <v>2083</v>
      </c>
      <c r="B2084" s="54" t="s">
        <v>5016</v>
      </c>
      <c r="C2084" s="55" t="s">
        <v>5017</v>
      </c>
      <c r="D2084" s="54" t="s">
        <v>4387</v>
      </c>
      <c r="E2084" s="56">
        <v>0</v>
      </c>
      <c r="F2084" s="57" t="s">
        <v>1087</v>
      </c>
      <c r="G2084" s="58">
        <v>8500</v>
      </c>
      <c r="H2084" s="59">
        <v>8500</v>
      </c>
      <c r="I2084" s="59">
        <f t="shared" si="64"/>
        <v>0</v>
      </c>
    </row>
    <row r="2085" spans="1:9" customFormat="1" x14ac:dyDescent="0.35">
      <c r="A2085" s="63">
        <f t="shared" si="65"/>
        <v>2084</v>
      </c>
      <c r="B2085" s="54" t="s">
        <v>5018</v>
      </c>
      <c r="C2085" s="55" t="s">
        <v>5019</v>
      </c>
      <c r="D2085" s="54" t="s">
        <v>4387</v>
      </c>
      <c r="E2085" s="56">
        <v>0</v>
      </c>
      <c r="F2085" s="57" t="s">
        <v>1087</v>
      </c>
      <c r="G2085" s="58">
        <v>22000</v>
      </c>
      <c r="H2085" s="59">
        <v>25500</v>
      </c>
      <c r="I2085" s="59">
        <f t="shared" si="64"/>
        <v>0</v>
      </c>
    </row>
    <row r="2086" spans="1:9" customFormat="1" x14ac:dyDescent="0.35">
      <c r="A2086" s="63">
        <f t="shared" si="65"/>
        <v>2085</v>
      </c>
      <c r="B2086" s="54" t="s">
        <v>5020</v>
      </c>
      <c r="C2086" s="55" t="s">
        <v>5021</v>
      </c>
      <c r="D2086" s="54" t="s">
        <v>4387</v>
      </c>
      <c r="E2086" s="56">
        <v>0</v>
      </c>
      <c r="F2086" s="57" t="s">
        <v>1087</v>
      </c>
      <c r="G2086" s="58">
        <v>30500</v>
      </c>
      <c r="H2086" s="59">
        <v>39500</v>
      </c>
      <c r="I2086" s="59">
        <f t="shared" si="64"/>
        <v>0</v>
      </c>
    </row>
    <row r="2087" spans="1:9" customFormat="1" x14ac:dyDescent="0.35">
      <c r="A2087" s="63">
        <f t="shared" si="65"/>
        <v>2086</v>
      </c>
      <c r="B2087" s="54" t="s">
        <v>5022</v>
      </c>
      <c r="C2087" s="55" t="s">
        <v>5023</v>
      </c>
      <c r="D2087" s="54" t="s">
        <v>4387</v>
      </c>
      <c r="E2087" s="56">
        <v>0</v>
      </c>
      <c r="F2087" s="57" t="s">
        <v>1217</v>
      </c>
      <c r="G2087" s="58">
        <v>150000</v>
      </c>
      <c r="H2087" s="59">
        <v>240000</v>
      </c>
      <c r="I2087" s="59">
        <f t="shared" si="64"/>
        <v>0</v>
      </c>
    </row>
    <row r="2088" spans="1:9" customFormat="1" x14ac:dyDescent="0.35">
      <c r="A2088" s="63">
        <f t="shared" si="65"/>
        <v>2087</v>
      </c>
      <c r="B2088" s="54" t="s">
        <v>5024</v>
      </c>
      <c r="C2088" s="55" t="s">
        <v>5025</v>
      </c>
      <c r="D2088" s="54" t="s">
        <v>4387</v>
      </c>
      <c r="E2088" s="56">
        <v>0</v>
      </c>
      <c r="F2088" s="57" t="s">
        <v>792</v>
      </c>
      <c r="G2088" s="58">
        <v>3500</v>
      </c>
      <c r="H2088" s="59">
        <v>3500</v>
      </c>
      <c r="I2088" s="59">
        <f t="shared" si="64"/>
        <v>0</v>
      </c>
    </row>
    <row r="2089" spans="1:9" customFormat="1" x14ac:dyDescent="0.35">
      <c r="A2089" s="63">
        <f t="shared" si="65"/>
        <v>2088</v>
      </c>
      <c r="B2089" s="54" t="s">
        <v>5026</v>
      </c>
      <c r="C2089" s="55" t="s">
        <v>5027</v>
      </c>
      <c r="D2089" s="54" t="s">
        <v>4387</v>
      </c>
      <c r="E2089" s="56">
        <v>0</v>
      </c>
      <c r="F2089" s="57" t="s">
        <v>1217</v>
      </c>
      <c r="G2089" s="58">
        <v>30000</v>
      </c>
      <c r="H2089" s="59">
        <v>49950</v>
      </c>
      <c r="I2089" s="59">
        <f t="shared" si="64"/>
        <v>0</v>
      </c>
    </row>
    <row r="2090" spans="1:9" customFormat="1" x14ac:dyDescent="0.35">
      <c r="A2090" s="63">
        <f t="shared" si="65"/>
        <v>2089</v>
      </c>
      <c r="B2090" s="54" t="s">
        <v>5028</v>
      </c>
      <c r="C2090" s="55" t="s">
        <v>5029</v>
      </c>
      <c r="D2090" s="54" t="s">
        <v>4387</v>
      </c>
      <c r="E2090" s="56">
        <v>0</v>
      </c>
      <c r="F2090" s="57" t="s">
        <v>994</v>
      </c>
      <c r="G2090" s="58">
        <v>141500</v>
      </c>
      <c r="H2090" s="59">
        <v>235598</v>
      </c>
      <c r="I2090" s="59">
        <f t="shared" si="64"/>
        <v>0</v>
      </c>
    </row>
    <row r="2091" spans="1:9" customFormat="1" x14ac:dyDescent="0.35">
      <c r="A2091" s="63">
        <f t="shared" si="65"/>
        <v>2090</v>
      </c>
      <c r="B2091" s="54" t="s">
        <v>5030</v>
      </c>
      <c r="C2091" s="55" t="s">
        <v>5031</v>
      </c>
      <c r="D2091" s="54" t="s">
        <v>4387</v>
      </c>
      <c r="E2091" s="56">
        <v>0</v>
      </c>
      <c r="F2091" s="57" t="s">
        <v>974</v>
      </c>
      <c r="G2091" s="58">
        <v>28300</v>
      </c>
      <c r="H2091" s="59">
        <v>28300</v>
      </c>
      <c r="I2091" s="59">
        <f t="shared" si="64"/>
        <v>0</v>
      </c>
    </row>
    <row r="2092" spans="1:9" customFormat="1" x14ac:dyDescent="0.35">
      <c r="A2092" s="63">
        <f t="shared" si="65"/>
        <v>2091</v>
      </c>
      <c r="B2092" s="54" t="s">
        <v>5032</v>
      </c>
      <c r="C2092" s="55" t="s">
        <v>5033</v>
      </c>
      <c r="D2092" s="54" t="s">
        <v>4387</v>
      </c>
      <c r="E2092" s="56">
        <v>0</v>
      </c>
      <c r="F2092" s="57" t="s">
        <v>792</v>
      </c>
      <c r="G2092" s="58">
        <v>461510</v>
      </c>
      <c r="H2092" s="59">
        <v>460510</v>
      </c>
      <c r="I2092" s="59">
        <f t="shared" si="64"/>
        <v>0</v>
      </c>
    </row>
    <row r="2093" spans="1:9" customFormat="1" x14ac:dyDescent="0.35">
      <c r="A2093" s="63">
        <f t="shared" si="65"/>
        <v>2092</v>
      </c>
      <c r="B2093" s="54" t="s">
        <v>5034</v>
      </c>
      <c r="C2093" s="55" t="s">
        <v>5035</v>
      </c>
      <c r="D2093" s="54" t="s">
        <v>4387</v>
      </c>
      <c r="E2093" s="56">
        <v>0</v>
      </c>
      <c r="F2093" s="57" t="s">
        <v>792</v>
      </c>
      <c r="G2093" s="58">
        <v>785510</v>
      </c>
      <c r="H2093" s="59">
        <v>784510</v>
      </c>
      <c r="I2093" s="59">
        <f t="shared" si="64"/>
        <v>0</v>
      </c>
    </row>
    <row r="2094" spans="1:9" customFormat="1" x14ac:dyDescent="0.35">
      <c r="A2094" s="63">
        <f t="shared" si="65"/>
        <v>2093</v>
      </c>
      <c r="B2094" s="54" t="s">
        <v>5036</v>
      </c>
      <c r="C2094" s="55" t="s">
        <v>5037</v>
      </c>
      <c r="D2094" s="54" t="s">
        <v>4387</v>
      </c>
      <c r="E2094" s="56">
        <v>0</v>
      </c>
      <c r="F2094" s="57" t="s">
        <v>792</v>
      </c>
      <c r="G2094" s="58">
        <v>55000</v>
      </c>
      <c r="H2094" s="59">
        <v>55000</v>
      </c>
      <c r="I2094" s="59">
        <f t="shared" si="64"/>
        <v>0</v>
      </c>
    </row>
    <row r="2095" spans="1:9" customFormat="1" x14ac:dyDescent="0.35">
      <c r="A2095" s="63">
        <f t="shared" si="65"/>
        <v>2094</v>
      </c>
      <c r="B2095" s="54" t="s">
        <v>5038</v>
      </c>
      <c r="C2095" s="55" t="s">
        <v>5039</v>
      </c>
      <c r="D2095" s="54" t="s">
        <v>4387</v>
      </c>
      <c r="E2095" s="56">
        <v>0</v>
      </c>
      <c r="F2095" s="57" t="s">
        <v>792</v>
      </c>
      <c r="G2095" s="58">
        <v>163233.34</v>
      </c>
      <c r="H2095" s="59">
        <v>208000</v>
      </c>
      <c r="I2095" s="59">
        <f t="shared" si="64"/>
        <v>0</v>
      </c>
    </row>
    <row r="2096" spans="1:9" customFormat="1" ht="23" x14ac:dyDescent="0.35">
      <c r="A2096" s="63">
        <f t="shared" si="65"/>
        <v>2095</v>
      </c>
      <c r="B2096" s="54" t="s">
        <v>5040</v>
      </c>
      <c r="C2096" s="55" t="s">
        <v>5041</v>
      </c>
      <c r="D2096" s="54" t="s">
        <v>4387</v>
      </c>
      <c r="E2096" s="56">
        <v>0</v>
      </c>
      <c r="F2096" s="57" t="s">
        <v>994</v>
      </c>
      <c r="G2096" s="58">
        <v>23500</v>
      </c>
      <c r="H2096" s="59">
        <v>23500</v>
      </c>
      <c r="I2096" s="59">
        <f t="shared" si="64"/>
        <v>0</v>
      </c>
    </row>
    <row r="2097" spans="1:9" customFormat="1" ht="23" x14ac:dyDescent="0.35">
      <c r="A2097" s="63">
        <f t="shared" si="65"/>
        <v>2096</v>
      </c>
      <c r="B2097" s="54" t="s">
        <v>5042</v>
      </c>
      <c r="C2097" s="55" t="s">
        <v>5043</v>
      </c>
      <c r="D2097" s="54" t="s">
        <v>4387</v>
      </c>
      <c r="E2097" s="56">
        <v>0</v>
      </c>
      <c r="F2097" s="57" t="s">
        <v>792</v>
      </c>
      <c r="G2097" s="58">
        <v>345000</v>
      </c>
      <c r="H2097" s="59">
        <v>345000</v>
      </c>
      <c r="I2097" s="59">
        <f t="shared" si="64"/>
        <v>0</v>
      </c>
    </row>
    <row r="2098" spans="1:9" customFormat="1" ht="23" x14ac:dyDescent="0.35">
      <c r="A2098" s="63">
        <f t="shared" si="65"/>
        <v>2097</v>
      </c>
      <c r="B2098" s="54" t="s">
        <v>5044</v>
      </c>
      <c r="C2098" s="55" t="s">
        <v>5045</v>
      </c>
      <c r="D2098" s="54" t="s">
        <v>4387</v>
      </c>
      <c r="E2098" s="56">
        <v>0</v>
      </c>
      <c r="F2098" s="57" t="s">
        <v>792</v>
      </c>
      <c r="G2098" s="58">
        <v>0</v>
      </c>
      <c r="H2098" s="59">
        <v>256500</v>
      </c>
      <c r="I2098" s="59">
        <f t="shared" si="64"/>
        <v>0</v>
      </c>
    </row>
    <row r="2099" spans="1:9" customFormat="1" x14ac:dyDescent="0.35">
      <c r="A2099" s="63">
        <f t="shared" si="65"/>
        <v>2098</v>
      </c>
      <c r="B2099" s="54" t="s">
        <v>5046</v>
      </c>
      <c r="C2099" s="55" t="s">
        <v>5047</v>
      </c>
      <c r="D2099" s="54" t="s">
        <v>4387</v>
      </c>
      <c r="E2099" s="56">
        <v>0</v>
      </c>
      <c r="F2099" s="57" t="s">
        <v>844</v>
      </c>
      <c r="G2099" s="58">
        <v>9128900</v>
      </c>
      <c r="H2099" s="59">
        <v>14700000</v>
      </c>
      <c r="I2099" s="59">
        <f t="shared" si="64"/>
        <v>0</v>
      </c>
    </row>
    <row r="2100" spans="1:9" customFormat="1" x14ac:dyDescent="0.35">
      <c r="A2100" s="63">
        <f t="shared" si="65"/>
        <v>2099</v>
      </c>
      <c r="B2100" s="54" t="s">
        <v>5048</v>
      </c>
      <c r="C2100" s="55" t="s">
        <v>5049</v>
      </c>
      <c r="D2100" s="54" t="s">
        <v>4387</v>
      </c>
      <c r="E2100" s="56">
        <v>0</v>
      </c>
      <c r="F2100" s="57" t="s">
        <v>792</v>
      </c>
      <c r="G2100" s="58">
        <v>17500000</v>
      </c>
      <c r="H2100" s="59">
        <v>17500000</v>
      </c>
      <c r="I2100" s="59">
        <f t="shared" si="64"/>
        <v>0</v>
      </c>
    </row>
    <row r="2101" spans="1:9" customFormat="1" x14ac:dyDescent="0.35">
      <c r="A2101" s="63">
        <f t="shared" si="65"/>
        <v>2100</v>
      </c>
      <c r="B2101" s="54" t="s">
        <v>5050</v>
      </c>
      <c r="C2101" s="55" t="s">
        <v>5051</v>
      </c>
      <c r="D2101" s="54" t="s">
        <v>4387</v>
      </c>
      <c r="E2101" s="56">
        <v>0</v>
      </c>
      <c r="F2101" s="57" t="s">
        <v>792</v>
      </c>
      <c r="G2101" s="58">
        <v>403500</v>
      </c>
      <c r="H2101" s="59">
        <v>403500</v>
      </c>
      <c r="I2101" s="59">
        <f t="shared" si="64"/>
        <v>0</v>
      </c>
    </row>
    <row r="2102" spans="1:9" customFormat="1" x14ac:dyDescent="0.35">
      <c r="A2102" s="63">
        <f t="shared" si="65"/>
        <v>2101</v>
      </c>
      <c r="B2102" s="54" t="s">
        <v>5052</v>
      </c>
      <c r="C2102" s="55" t="s">
        <v>5053</v>
      </c>
      <c r="D2102" s="54" t="s">
        <v>4387</v>
      </c>
      <c r="E2102" s="56">
        <v>0</v>
      </c>
      <c r="F2102" s="57" t="s">
        <v>844</v>
      </c>
      <c r="G2102" s="58">
        <v>601000</v>
      </c>
      <c r="H2102" s="59">
        <v>883470</v>
      </c>
      <c r="I2102" s="59">
        <f t="shared" si="64"/>
        <v>0</v>
      </c>
    </row>
    <row r="2103" spans="1:9" customFormat="1" x14ac:dyDescent="0.35">
      <c r="A2103" s="63">
        <f t="shared" si="65"/>
        <v>2102</v>
      </c>
      <c r="B2103" s="54" t="s">
        <v>5054</v>
      </c>
      <c r="C2103" s="55" t="s">
        <v>5055</v>
      </c>
      <c r="D2103" s="54" t="s">
        <v>4387</v>
      </c>
      <c r="E2103" s="56">
        <v>0</v>
      </c>
      <c r="F2103" s="57" t="s">
        <v>844</v>
      </c>
      <c r="G2103" s="58">
        <v>502600</v>
      </c>
      <c r="H2103" s="59">
        <v>502600</v>
      </c>
      <c r="I2103" s="59">
        <f t="shared" si="64"/>
        <v>0</v>
      </c>
    </row>
    <row r="2104" spans="1:9" customFormat="1" x14ac:dyDescent="0.35">
      <c r="A2104" s="63">
        <f t="shared" si="65"/>
        <v>2103</v>
      </c>
      <c r="B2104" s="54" t="s">
        <v>5056</v>
      </c>
      <c r="C2104" s="55" t="s">
        <v>5057</v>
      </c>
      <c r="D2104" s="54" t="s">
        <v>4387</v>
      </c>
      <c r="E2104" s="56">
        <v>0</v>
      </c>
      <c r="F2104" s="57" t="s">
        <v>792</v>
      </c>
      <c r="G2104" s="58">
        <v>214200</v>
      </c>
      <c r="H2104" s="59">
        <v>321300</v>
      </c>
      <c r="I2104" s="59">
        <f t="shared" si="64"/>
        <v>0</v>
      </c>
    </row>
    <row r="2105" spans="1:9" customFormat="1" x14ac:dyDescent="0.35">
      <c r="A2105" s="63">
        <f t="shared" si="65"/>
        <v>2104</v>
      </c>
      <c r="B2105" s="54" t="s">
        <v>5058</v>
      </c>
      <c r="C2105" s="55" t="s">
        <v>5059</v>
      </c>
      <c r="D2105" s="54" t="s">
        <v>4387</v>
      </c>
      <c r="E2105" s="56">
        <v>0</v>
      </c>
      <c r="F2105" s="57" t="s">
        <v>844</v>
      </c>
      <c r="G2105" s="58">
        <v>1266000</v>
      </c>
      <c r="H2105" s="59">
        <v>1899000</v>
      </c>
      <c r="I2105" s="59">
        <f t="shared" si="64"/>
        <v>0</v>
      </c>
    </row>
    <row r="2106" spans="1:9" customFormat="1" x14ac:dyDescent="0.35">
      <c r="A2106" s="63">
        <f t="shared" si="65"/>
        <v>2105</v>
      </c>
      <c r="B2106" s="54" t="s">
        <v>5060</v>
      </c>
      <c r="C2106" s="55" t="s">
        <v>5061</v>
      </c>
      <c r="D2106" s="54" t="s">
        <v>4387</v>
      </c>
      <c r="E2106" s="56">
        <v>0</v>
      </c>
      <c r="F2106" s="57" t="s">
        <v>792</v>
      </c>
      <c r="G2106" s="58">
        <v>140000</v>
      </c>
      <c r="H2106" s="59">
        <v>140000</v>
      </c>
      <c r="I2106" s="59">
        <f t="shared" si="64"/>
        <v>0</v>
      </c>
    </row>
    <row r="2107" spans="1:9" customFormat="1" ht="23" x14ac:dyDescent="0.35">
      <c r="A2107" s="63">
        <f t="shared" si="65"/>
        <v>2106</v>
      </c>
      <c r="B2107" s="54" t="s">
        <v>5062</v>
      </c>
      <c r="C2107" s="55" t="s">
        <v>5063</v>
      </c>
      <c r="D2107" s="54" t="s">
        <v>4387</v>
      </c>
      <c r="E2107" s="56">
        <v>0</v>
      </c>
      <c r="F2107" s="57" t="s">
        <v>792</v>
      </c>
      <c r="G2107" s="58">
        <v>4200</v>
      </c>
      <c r="H2107" s="59">
        <v>0</v>
      </c>
      <c r="I2107" s="59">
        <f t="shared" si="64"/>
        <v>0</v>
      </c>
    </row>
    <row r="2108" spans="1:9" customFormat="1" ht="23" x14ac:dyDescent="0.35">
      <c r="A2108" s="63">
        <f t="shared" si="65"/>
        <v>2107</v>
      </c>
      <c r="B2108" s="54" t="s">
        <v>5064</v>
      </c>
      <c r="C2108" s="55" t="s">
        <v>5065</v>
      </c>
      <c r="D2108" s="54" t="s">
        <v>4387</v>
      </c>
      <c r="E2108" s="56">
        <v>0</v>
      </c>
      <c r="F2108" s="57" t="s">
        <v>792</v>
      </c>
      <c r="G2108" s="58">
        <v>7533.34</v>
      </c>
      <c r="H2108" s="59">
        <v>0</v>
      </c>
      <c r="I2108" s="59">
        <f t="shared" si="64"/>
        <v>0</v>
      </c>
    </row>
    <row r="2109" spans="1:9" customFormat="1" x14ac:dyDescent="0.35">
      <c r="A2109" s="63">
        <f t="shared" si="65"/>
        <v>2108</v>
      </c>
      <c r="B2109" s="54" t="s">
        <v>5066</v>
      </c>
      <c r="C2109" s="55" t="s">
        <v>5067</v>
      </c>
      <c r="D2109" s="54" t="s">
        <v>4387</v>
      </c>
      <c r="E2109" s="56">
        <v>0</v>
      </c>
      <c r="F2109" s="57" t="s">
        <v>792</v>
      </c>
      <c r="G2109" s="58">
        <v>494000</v>
      </c>
      <c r="H2109" s="59">
        <v>0</v>
      </c>
      <c r="I2109" s="59">
        <f t="shared" si="64"/>
        <v>0</v>
      </c>
    </row>
    <row r="2110" spans="1:9" customFormat="1" x14ac:dyDescent="0.35">
      <c r="A2110" s="63">
        <f t="shared" si="65"/>
        <v>2109</v>
      </c>
      <c r="B2110" s="54" t="s">
        <v>5068</v>
      </c>
      <c r="C2110" s="55" t="s">
        <v>5069</v>
      </c>
      <c r="D2110" s="54" t="s">
        <v>4387</v>
      </c>
      <c r="E2110" s="56">
        <v>0</v>
      </c>
      <c r="F2110" s="57" t="s">
        <v>792</v>
      </c>
      <c r="G2110" s="58">
        <v>4500</v>
      </c>
      <c r="H2110" s="59">
        <v>4500</v>
      </c>
      <c r="I2110" s="59">
        <f t="shared" si="64"/>
        <v>0</v>
      </c>
    </row>
    <row r="2111" spans="1:9" customFormat="1" x14ac:dyDescent="0.35">
      <c r="A2111" s="63">
        <f t="shared" si="65"/>
        <v>2110</v>
      </c>
      <c r="B2111" s="54" t="s">
        <v>5070</v>
      </c>
      <c r="C2111" s="55" t="s">
        <v>5071</v>
      </c>
      <c r="D2111" s="54" t="s">
        <v>4387</v>
      </c>
      <c r="E2111" s="56">
        <v>0</v>
      </c>
      <c r="F2111" s="57" t="s">
        <v>792</v>
      </c>
      <c r="G2111" s="58">
        <v>5000</v>
      </c>
      <c r="H2111" s="59">
        <v>0</v>
      </c>
      <c r="I2111" s="59">
        <f t="shared" si="64"/>
        <v>0</v>
      </c>
    </row>
    <row r="2112" spans="1:9" customFormat="1" x14ac:dyDescent="0.35">
      <c r="A2112" s="63">
        <f t="shared" si="65"/>
        <v>2111</v>
      </c>
      <c r="B2112" s="54" t="s">
        <v>5072</v>
      </c>
      <c r="C2112" s="55" t="s">
        <v>5073</v>
      </c>
      <c r="D2112" s="54" t="s">
        <v>4387</v>
      </c>
      <c r="E2112" s="56">
        <v>0</v>
      </c>
      <c r="F2112" s="57" t="s">
        <v>792</v>
      </c>
      <c r="G2112" s="58">
        <v>7500</v>
      </c>
      <c r="H2112" s="59">
        <v>7500</v>
      </c>
      <c r="I2112" s="59">
        <f t="shared" si="64"/>
        <v>0</v>
      </c>
    </row>
    <row r="2113" spans="1:9" customFormat="1" x14ac:dyDescent="0.35">
      <c r="A2113" s="63">
        <f t="shared" si="65"/>
        <v>2112</v>
      </c>
      <c r="B2113" s="54" t="s">
        <v>5074</v>
      </c>
      <c r="C2113" s="55" t="s">
        <v>5075</v>
      </c>
      <c r="D2113" s="54" t="s">
        <v>4387</v>
      </c>
      <c r="E2113" s="56">
        <v>0</v>
      </c>
      <c r="F2113" s="57" t="s">
        <v>792</v>
      </c>
      <c r="G2113" s="58">
        <v>12500</v>
      </c>
      <c r="H2113" s="59">
        <v>12500</v>
      </c>
      <c r="I2113" s="59">
        <f t="shared" si="64"/>
        <v>0</v>
      </c>
    </row>
    <row r="2114" spans="1:9" customFormat="1" x14ac:dyDescent="0.35">
      <c r="A2114" s="63">
        <f t="shared" si="65"/>
        <v>2113</v>
      </c>
      <c r="B2114" s="54" t="s">
        <v>5076</v>
      </c>
      <c r="C2114" s="55" t="s">
        <v>5077</v>
      </c>
      <c r="D2114" s="54" t="s">
        <v>4387</v>
      </c>
      <c r="E2114" s="56">
        <v>0</v>
      </c>
      <c r="F2114" s="57" t="s">
        <v>792</v>
      </c>
      <c r="G2114" s="58">
        <v>91000</v>
      </c>
      <c r="H2114" s="59">
        <v>91000</v>
      </c>
      <c r="I2114" s="59">
        <f t="shared" si="64"/>
        <v>0</v>
      </c>
    </row>
    <row r="2115" spans="1:9" customFormat="1" x14ac:dyDescent="0.35">
      <c r="A2115" s="63">
        <f t="shared" si="65"/>
        <v>2114</v>
      </c>
      <c r="B2115" s="54" t="s">
        <v>5078</v>
      </c>
      <c r="C2115" s="55" t="s">
        <v>5079</v>
      </c>
      <c r="D2115" s="54" t="s">
        <v>4387</v>
      </c>
      <c r="E2115" s="56">
        <v>0</v>
      </c>
      <c r="F2115" s="57" t="s">
        <v>792</v>
      </c>
      <c r="G2115" s="58">
        <v>212613</v>
      </c>
      <c r="H2115" s="59">
        <v>347000</v>
      </c>
      <c r="I2115" s="59">
        <f t="shared" ref="I2115:I2178" si="66">H2115*E2115</f>
        <v>0</v>
      </c>
    </row>
    <row r="2116" spans="1:9" customFormat="1" x14ac:dyDescent="0.35">
      <c r="A2116" s="63">
        <f t="shared" ref="A2116:A2179" si="67">A2115+1</f>
        <v>2115</v>
      </c>
      <c r="B2116" s="54" t="s">
        <v>5080</v>
      </c>
      <c r="C2116" s="55" t="s">
        <v>5081</v>
      </c>
      <c r="D2116" s="54" t="s">
        <v>4387</v>
      </c>
      <c r="E2116" s="56">
        <v>0</v>
      </c>
      <c r="F2116" s="57" t="s">
        <v>792</v>
      </c>
      <c r="G2116" s="58">
        <v>0</v>
      </c>
      <c r="H2116" s="59">
        <v>0</v>
      </c>
      <c r="I2116" s="59">
        <f t="shared" si="66"/>
        <v>0</v>
      </c>
    </row>
    <row r="2117" spans="1:9" customFormat="1" x14ac:dyDescent="0.35">
      <c r="A2117" s="63">
        <f t="shared" si="67"/>
        <v>2116</v>
      </c>
      <c r="B2117" s="54" t="s">
        <v>5082</v>
      </c>
      <c r="C2117" s="55" t="s">
        <v>5083</v>
      </c>
      <c r="D2117" s="54" t="s">
        <v>4387</v>
      </c>
      <c r="E2117" s="56">
        <v>0</v>
      </c>
      <c r="F2117" s="57" t="s">
        <v>792</v>
      </c>
      <c r="G2117" s="58">
        <v>50451</v>
      </c>
      <c r="H2117" s="59">
        <v>83000</v>
      </c>
      <c r="I2117" s="59">
        <f t="shared" si="66"/>
        <v>0</v>
      </c>
    </row>
    <row r="2118" spans="1:9" customFormat="1" x14ac:dyDescent="0.35">
      <c r="A2118" s="63">
        <f t="shared" si="67"/>
        <v>2117</v>
      </c>
      <c r="B2118" s="54" t="s">
        <v>5084</v>
      </c>
      <c r="C2118" s="55" t="s">
        <v>5085</v>
      </c>
      <c r="D2118" s="54" t="s">
        <v>4387</v>
      </c>
      <c r="E2118" s="56">
        <v>0</v>
      </c>
      <c r="F2118" s="57" t="s">
        <v>792</v>
      </c>
      <c r="G2118" s="58">
        <v>16900</v>
      </c>
      <c r="H2118" s="59">
        <v>25350</v>
      </c>
      <c r="I2118" s="59">
        <f t="shared" si="66"/>
        <v>0</v>
      </c>
    </row>
    <row r="2119" spans="1:9" customFormat="1" x14ac:dyDescent="0.35">
      <c r="A2119" s="63">
        <f t="shared" si="67"/>
        <v>2118</v>
      </c>
      <c r="B2119" s="54" t="s">
        <v>5086</v>
      </c>
      <c r="C2119" s="55" t="s">
        <v>5087</v>
      </c>
      <c r="D2119" s="54" t="s">
        <v>4387</v>
      </c>
      <c r="E2119" s="56">
        <v>0</v>
      </c>
      <c r="F2119" s="57" t="s">
        <v>792</v>
      </c>
      <c r="G2119" s="58">
        <v>22000</v>
      </c>
      <c r="H2119" s="59">
        <v>22000</v>
      </c>
      <c r="I2119" s="59">
        <f t="shared" si="66"/>
        <v>0</v>
      </c>
    </row>
    <row r="2120" spans="1:9" customFormat="1" x14ac:dyDescent="0.35">
      <c r="A2120" s="63">
        <f t="shared" si="67"/>
        <v>2119</v>
      </c>
      <c r="B2120" s="54" t="s">
        <v>5088</v>
      </c>
      <c r="C2120" s="55" t="s">
        <v>5089</v>
      </c>
      <c r="D2120" s="54" t="s">
        <v>4387</v>
      </c>
      <c r="E2120" s="56">
        <v>0</v>
      </c>
      <c r="F2120" s="57" t="s">
        <v>792</v>
      </c>
      <c r="G2120" s="58">
        <v>51802</v>
      </c>
      <c r="H2120" s="59">
        <v>51802</v>
      </c>
      <c r="I2120" s="59">
        <f t="shared" si="66"/>
        <v>0</v>
      </c>
    </row>
    <row r="2121" spans="1:9" customFormat="1" x14ac:dyDescent="0.35">
      <c r="A2121" s="63">
        <f t="shared" si="67"/>
        <v>2120</v>
      </c>
      <c r="B2121" s="54" t="s">
        <v>5090</v>
      </c>
      <c r="C2121" s="55" t="s">
        <v>5091</v>
      </c>
      <c r="D2121" s="54" t="s">
        <v>4387</v>
      </c>
      <c r="E2121" s="56">
        <v>0</v>
      </c>
      <c r="F2121" s="57" t="s">
        <v>792</v>
      </c>
      <c r="G2121" s="58">
        <v>0</v>
      </c>
      <c r="H2121" s="59">
        <v>11250</v>
      </c>
      <c r="I2121" s="59">
        <f t="shared" si="66"/>
        <v>0</v>
      </c>
    </row>
    <row r="2122" spans="1:9" customFormat="1" x14ac:dyDescent="0.35">
      <c r="A2122" s="63">
        <f t="shared" si="67"/>
        <v>2121</v>
      </c>
      <c r="B2122" s="54" t="s">
        <v>5092</v>
      </c>
      <c r="C2122" s="55" t="s">
        <v>5093</v>
      </c>
      <c r="D2122" s="54" t="s">
        <v>4387</v>
      </c>
      <c r="E2122" s="56">
        <v>0</v>
      </c>
      <c r="F2122" s="57" t="s">
        <v>792</v>
      </c>
      <c r="G2122" s="58">
        <v>24500</v>
      </c>
      <c r="H2122" s="59">
        <v>24500</v>
      </c>
      <c r="I2122" s="59">
        <f t="shared" si="66"/>
        <v>0</v>
      </c>
    </row>
    <row r="2123" spans="1:9" customFormat="1" x14ac:dyDescent="0.35">
      <c r="A2123" s="63">
        <f t="shared" si="67"/>
        <v>2122</v>
      </c>
      <c r="B2123" s="54" t="s">
        <v>5094</v>
      </c>
      <c r="C2123" s="55" t="s">
        <v>5095</v>
      </c>
      <c r="D2123" s="54" t="s">
        <v>4387</v>
      </c>
      <c r="E2123" s="56">
        <v>0</v>
      </c>
      <c r="F2123" s="57" t="s">
        <v>792</v>
      </c>
      <c r="G2123" s="58">
        <v>13500</v>
      </c>
      <c r="H2123" s="59">
        <v>120000</v>
      </c>
      <c r="I2123" s="59">
        <f t="shared" si="66"/>
        <v>0</v>
      </c>
    </row>
    <row r="2124" spans="1:9" customFormat="1" x14ac:dyDescent="0.35">
      <c r="A2124" s="63">
        <f t="shared" si="67"/>
        <v>2123</v>
      </c>
      <c r="B2124" s="54" t="s">
        <v>5096</v>
      </c>
      <c r="C2124" s="55" t="s">
        <v>5097</v>
      </c>
      <c r="D2124" s="54" t="s">
        <v>4387</v>
      </c>
      <c r="E2124" s="56">
        <v>0</v>
      </c>
      <c r="F2124" s="57" t="s">
        <v>792</v>
      </c>
      <c r="G2124" s="58">
        <v>2102000</v>
      </c>
      <c r="H2124" s="59">
        <v>2878500</v>
      </c>
      <c r="I2124" s="59">
        <f t="shared" si="66"/>
        <v>0</v>
      </c>
    </row>
    <row r="2125" spans="1:9" customFormat="1" x14ac:dyDescent="0.35">
      <c r="A2125" s="63">
        <f t="shared" si="67"/>
        <v>2124</v>
      </c>
      <c r="B2125" s="54" t="s">
        <v>5098</v>
      </c>
      <c r="C2125" s="55" t="s">
        <v>5099</v>
      </c>
      <c r="D2125" s="54" t="s">
        <v>4387</v>
      </c>
      <c r="E2125" s="56">
        <v>0</v>
      </c>
      <c r="F2125" s="57" t="s">
        <v>1217</v>
      </c>
      <c r="G2125" s="58">
        <v>7200</v>
      </c>
      <c r="H2125" s="59">
        <v>7200</v>
      </c>
      <c r="I2125" s="59">
        <f t="shared" si="66"/>
        <v>0</v>
      </c>
    </row>
    <row r="2126" spans="1:9" customFormat="1" x14ac:dyDescent="0.35">
      <c r="A2126" s="63">
        <f t="shared" si="67"/>
        <v>2125</v>
      </c>
      <c r="B2126" s="54" t="s">
        <v>5100</v>
      </c>
      <c r="C2126" s="55" t="s">
        <v>5101</v>
      </c>
      <c r="D2126" s="54" t="s">
        <v>4387</v>
      </c>
      <c r="E2126" s="56">
        <v>0</v>
      </c>
      <c r="F2126" s="57" t="s">
        <v>1217</v>
      </c>
      <c r="G2126" s="58">
        <v>24500</v>
      </c>
      <c r="H2126" s="59">
        <v>24000</v>
      </c>
      <c r="I2126" s="59">
        <f t="shared" si="66"/>
        <v>0</v>
      </c>
    </row>
    <row r="2127" spans="1:9" customFormat="1" x14ac:dyDescent="0.35">
      <c r="A2127" s="63">
        <f t="shared" si="67"/>
        <v>2126</v>
      </c>
      <c r="B2127" s="54" t="s">
        <v>5102</v>
      </c>
      <c r="C2127" s="55" t="s">
        <v>5103</v>
      </c>
      <c r="D2127" s="54" t="s">
        <v>4387</v>
      </c>
      <c r="E2127" s="56">
        <v>0</v>
      </c>
      <c r="F2127" s="57" t="s">
        <v>792</v>
      </c>
      <c r="G2127" s="58">
        <v>142000</v>
      </c>
      <c r="H2127" s="59">
        <v>142216.67000000001</v>
      </c>
      <c r="I2127" s="59">
        <f t="shared" si="66"/>
        <v>0</v>
      </c>
    </row>
    <row r="2128" spans="1:9" customFormat="1" x14ac:dyDescent="0.35">
      <c r="A2128" s="63">
        <f t="shared" si="67"/>
        <v>2127</v>
      </c>
      <c r="B2128" s="54" t="s">
        <v>5104</v>
      </c>
      <c r="C2128" s="55" t="s">
        <v>5105</v>
      </c>
      <c r="D2128" s="54" t="s">
        <v>4387</v>
      </c>
      <c r="E2128" s="56">
        <v>0</v>
      </c>
      <c r="F2128" s="57" t="s">
        <v>792</v>
      </c>
      <c r="G2128" s="58">
        <v>142000</v>
      </c>
      <c r="H2128" s="59">
        <v>142216.66</v>
      </c>
      <c r="I2128" s="59">
        <f t="shared" si="66"/>
        <v>0</v>
      </c>
    </row>
    <row r="2129" spans="1:9" customFormat="1" x14ac:dyDescent="0.35">
      <c r="A2129" s="63">
        <f t="shared" si="67"/>
        <v>2128</v>
      </c>
      <c r="B2129" s="54" t="s">
        <v>5106</v>
      </c>
      <c r="C2129" s="55" t="s">
        <v>5107</v>
      </c>
      <c r="D2129" s="54" t="s">
        <v>4387</v>
      </c>
      <c r="E2129" s="56">
        <v>0</v>
      </c>
      <c r="F2129" s="57" t="s">
        <v>792</v>
      </c>
      <c r="G2129" s="58">
        <v>142000</v>
      </c>
      <c r="H2129" s="59">
        <v>142216.67000000001</v>
      </c>
      <c r="I2129" s="59">
        <f t="shared" si="66"/>
        <v>0</v>
      </c>
    </row>
    <row r="2130" spans="1:9" customFormat="1" x14ac:dyDescent="0.35">
      <c r="A2130" s="63">
        <f t="shared" si="67"/>
        <v>2129</v>
      </c>
      <c r="B2130" s="54" t="s">
        <v>5108</v>
      </c>
      <c r="C2130" s="55" t="s">
        <v>5109</v>
      </c>
      <c r="D2130" s="54" t="s">
        <v>4387</v>
      </c>
      <c r="E2130" s="56">
        <v>0</v>
      </c>
      <c r="F2130" s="57" t="s">
        <v>815</v>
      </c>
      <c r="G2130" s="58">
        <v>15000</v>
      </c>
      <c r="H2130" s="59">
        <v>15000</v>
      </c>
      <c r="I2130" s="59">
        <f t="shared" si="66"/>
        <v>0</v>
      </c>
    </row>
    <row r="2131" spans="1:9" customFormat="1" x14ac:dyDescent="0.35">
      <c r="A2131" s="63">
        <f t="shared" si="67"/>
        <v>2130</v>
      </c>
      <c r="B2131" s="54" t="s">
        <v>5110</v>
      </c>
      <c r="C2131" s="55" t="s">
        <v>5111</v>
      </c>
      <c r="D2131" s="54" t="s">
        <v>4387</v>
      </c>
      <c r="E2131" s="56">
        <v>0</v>
      </c>
      <c r="F2131" s="57" t="s">
        <v>815</v>
      </c>
      <c r="G2131" s="58">
        <v>40000</v>
      </c>
      <c r="H2131" s="59">
        <v>40000</v>
      </c>
      <c r="I2131" s="59">
        <f t="shared" si="66"/>
        <v>0</v>
      </c>
    </row>
    <row r="2132" spans="1:9" customFormat="1" x14ac:dyDescent="0.35">
      <c r="A2132" s="63">
        <f t="shared" si="67"/>
        <v>2131</v>
      </c>
      <c r="B2132" s="54" t="s">
        <v>5112</v>
      </c>
      <c r="C2132" s="55" t="s">
        <v>5113</v>
      </c>
      <c r="D2132" s="54" t="s">
        <v>4387</v>
      </c>
      <c r="E2132" s="56">
        <v>0</v>
      </c>
      <c r="F2132" s="57" t="s">
        <v>815</v>
      </c>
      <c r="G2132" s="58">
        <v>45000</v>
      </c>
      <c r="H2132" s="59">
        <v>45000</v>
      </c>
      <c r="I2132" s="59">
        <f t="shared" si="66"/>
        <v>0</v>
      </c>
    </row>
    <row r="2133" spans="1:9" customFormat="1" x14ac:dyDescent="0.35">
      <c r="A2133" s="63">
        <f t="shared" si="67"/>
        <v>2132</v>
      </c>
      <c r="B2133" s="54" t="s">
        <v>5114</v>
      </c>
      <c r="C2133" s="55" t="s">
        <v>5115</v>
      </c>
      <c r="D2133" s="54" t="s">
        <v>4387</v>
      </c>
      <c r="E2133" s="56">
        <v>0</v>
      </c>
      <c r="F2133" s="57" t="s">
        <v>792</v>
      </c>
      <c r="G2133" s="58">
        <v>6000</v>
      </c>
      <c r="H2133" s="59">
        <v>9000</v>
      </c>
      <c r="I2133" s="59">
        <f t="shared" si="66"/>
        <v>0</v>
      </c>
    </row>
    <row r="2134" spans="1:9" customFormat="1" x14ac:dyDescent="0.35">
      <c r="A2134" s="63">
        <f t="shared" si="67"/>
        <v>2133</v>
      </c>
      <c r="B2134" s="54" t="s">
        <v>5116</v>
      </c>
      <c r="C2134" s="55" t="s">
        <v>5117</v>
      </c>
      <c r="D2134" s="54" t="s">
        <v>4387</v>
      </c>
      <c r="E2134" s="56">
        <v>0</v>
      </c>
      <c r="F2134" s="57" t="s">
        <v>792</v>
      </c>
      <c r="G2134" s="58">
        <v>6000</v>
      </c>
      <c r="H2134" s="59">
        <v>6000</v>
      </c>
      <c r="I2134" s="59">
        <f t="shared" si="66"/>
        <v>0</v>
      </c>
    </row>
    <row r="2135" spans="1:9" customFormat="1" x14ac:dyDescent="0.35">
      <c r="A2135" s="63">
        <f t="shared" si="67"/>
        <v>2134</v>
      </c>
      <c r="B2135" s="54" t="s">
        <v>5118</v>
      </c>
      <c r="C2135" s="55" t="s">
        <v>5119</v>
      </c>
      <c r="D2135" s="54" t="s">
        <v>4387</v>
      </c>
      <c r="E2135" s="56">
        <v>0</v>
      </c>
      <c r="F2135" s="57" t="s">
        <v>792</v>
      </c>
      <c r="G2135" s="58">
        <v>50000</v>
      </c>
      <c r="H2135" s="59">
        <v>50000</v>
      </c>
      <c r="I2135" s="59">
        <f t="shared" si="66"/>
        <v>0</v>
      </c>
    </row>
    <row r="2136" spans="1:9" customFormat="1" x14ac:dyDescent="0.35">
      <c r="A2136" s="63">
        <f t="shared" si="67"/>
        <v>2135</v>
      </c>
      <c r="B2136" s="54" t="s">
        <v>5120</v>
      </c>
      <c r="C2136" s="55" t="s">
        <v>5121</v>
      </c>
      <c r="D2136" s="54" t="s">
        <v>4387</v>
      </c>
      <c r="E2136" s="56">
        <v>0</v>
      </c>
      <c r="F2136" s="57" t="s">
        <v>792</v>
      </c>
      <c r="G2136" s="58">
        <v>57000</v>
      </c>
      <c r="H2136" s="59">
        <v>80000</v>
      </c>
      <c r="I2136" s="59">
        <f t="shared" si="66"/>
        <v>0</v>
      </c>
    </row>
    <row r="2137" spans="1:9" customFormat="1" x14ac:dyDescent="0.35">
      <c r="A2137" s="63">
        <f t="shared" si="67"/>
        <v>2136</v>
      </c>
      <c r="B2137" s="54" t="s">
        <v>5122</v>
      </c>
      <c r="C2137" s="55" t="s">
        <v>5123</v>
      </c>
      <c r="D2137" s="54" t="s">
        <v>4387</v>
      </c>
      <c r="E2137" s="56">
        <v>0</v>
      </c>
      <c r="F2137" s="57" t="s">
        <v>792</v>
      </c>
      <c r="G2137" s="58">
        <v>90000</v>
      </c>
      <c r="H2137" s="59">
        <v>90000</v>
      </c>
      <c r="I2137" s="59">
        <f t="shared" si="66"/>
        <v>0</v>
      </c>
    </row>
    <row r="2138" spans="1:9" customFormat="1" x14ac:dyDescent="0.35">
      <c r="A2138" s="63">
        <f t="shared" si="67"/>
        <v>2137</v>
      </c>
      <c r="B2138" s="54" t="s">
        <v>5124</v>
      </c>
      <c r="C2138" s="55" t="s">
        <v>5125</v>
      </c>
      <c r="D2138" s="54" t="s">
        <v>4387</v>
      </c>
      <c r="E2138" s="56">
        <v>0</v>
      </c>
      <c r="F2138" s="57" t="s">
        <v>792</v>
      </c>
      <c r="G2138" s="58">
        <v>105000</v>
      </c>
      <c r="H2138" s="59">
        <v>172500</v>
      </c>
      <c r="I2138" s="59">
        <f t="shared" si="66"/>
        <v>0</v>
      </c>
    </row>
    <row r="2139" spans="1:9" customFormat="1" x14ac:dyDescent="0.35">
      <c r="A2139" s="63">
        <f t="shared" si="67"/>
        <v>2138</v>
      </c>
      <c r="B2139" s="54" t="s">
        <v>5126</v>
      </c>
      <c r="C2139" s="55" t="s">
        <v>5127</v>
      </c>
      <c r="D2139" s="54" t="s">
        <v>4387</v>
      </c>
      <c r="E2139" s="56">
        <v>0</v>
      </c>
      <c r="F2139" s="57" t="s">
        <v>792</v>
      </c>
      <c r="G2139" s="58">
        <v>80000</v>
      </c>
      <c r="H2139" s="59">
        <v>141680</v>
      </c>
      <c r="I2139" s="59">
        <f t="shared" si="66"/>
        <v>0</v>
      </c>
    </row>
    <row r="2140" spans="1:9" customFormat="1" ht="23" x14ac:dyDescent="0.35">
      <c r="A2140" s="63">
        <f t="shared" si="67"/>
        <v>2139</v>
      </c>
      <c r="B2140" s="54" t="s">
        <v>5128</v>
      </c>
      <c r="C2140" s="55" t="s">
        <v>5129</v>
      </c>
      <c r="D2140" s="54" t="s">
        <v>4387</v>
      </c>
      <c r="E2140" s="56">
        <v>0</v>
      </c>
      <c r="F2140" s="57" t="s">
        <v>792</v>
      </c>
      <c r="G2140" s="58">
        <v>0</v>
      </c>
      <c r="H2140" s="59">
        <v>0</v>
      </c>
      <c r="I2140" s="59">
        <f t="shared" si="66"/>
        <v>0</v>
      </c>
    </row>
    <row r="2141" spans="1:9" customFormat="1" ht="23" x14ac:dyDescent="0.35">
      <c r="A2141" s="63">
        <f t="shared" si="67"/>
        <v>2140</v>
      </c>
      <c r="B2141" s="54" t="s">
        <v>5130</v>
      </c>
      <c r="C2141" s="55" t="s">
        <v>5131</v>
      </c>
      <c r="D2141" s="54" t="s">
        <v>4387</v>
      </c>
      <c r="E2141" s="56">
        <v>0</v>
      </c>
      <c r="F2141" s="57" t="s">
        <v>792</v>
      </c>
      <c r="G2141" s="58">
        <v>75000</v>
      </c>
      <c r="H2141" s="59">
        <v>225088</v>
      </c>
      <c r="I2141" s="59">
        <f t="shared" si="66"/>
        <v>0</v>
      </c>
    </row>
    <row r="2142" spans="1:9" customFormat="1" x14ac:dyDescent="0.35">
      <c r="A2142" s="63">
        <f t="shared" si="67"/>
        <v>2141</v>
      </c>
      <c r="B2142" s="54" t="s">
        <v>5132</v>
      </c>
      <c r="C2142" s="55" t="s">
        <v>5133</v>
      </c>
      <c r="D2142" s="54" t="s">
        <v>4387</v>
      </c>
      <c r="E2142" s="56">
        <v>0</v>
      </c>
      <c r="F2142" s="57" t="s">
        <v>792</v>
      </c>
      <c r="G2142" s="58">
        <v>12000</v>
      </c>
      <c r="H2142" s="59">
        <v>12000</v>
      </c>
      <c r="I2142" s="59">
        <f t="shared" si="66"/>
        <v>0</v>
      </c>
    </row>
    <row r="2143" spans="1:9" customFormat="1" x14ac:dyDescent="0.35">
      <c r="A2143" s="63">
        <f t="shared" si="67"/>
        <v>2142</v>
      </c>
      <c r="B2143" s="54" t="s">
        <v>5134</v>
      </c>
      <c r="C2143" s="55" t="s">
        <v>5135</v>
      </c>
      <c r="D2143" s="54" t="s">
        <v>4387</v>
      </c>
      <c r="E2143" s="56">
        <v>0</v>
      </c>
      <c r="F2143" s="57" t="s">
        <v>792</v>
      </c>
      <c r="G2143" s="58">
        <v>6000</v>
      </c>
      <c r="H2143" s="59">
        <v>6000</v>
      </c>
      <c r="I2143" s="59">
        <f t="shared" si="66"/>
        <v>0</v>
      </c>
    </row>
    <row r="2144" spans="1:9" customFormat="1" x14ac:dyDescent="0.35">
      <c r="A2144" s="63">
        <f t="shared" si="67"/>
        <v>2143</v>
      </c>
      <c r="B2144" s="54" t="s">
        <v>5136</v>
      </c>
      <c r="C2144" s="55" t="s">
        <v>5137</v>
      </c>
      <c r="D2144" s="54" t="s">
        <v>4387</v>
      </c>
      <c r="E2144" s="56">
        <v>0</v>
      </c>
      <c r="F2144" s="57" t="s">
        <v>792</v>
      </c>
      <c r="G2144" s="58">
        <v>75000</v>
      </c>
      <c r="H2144" s="59">
        <v>150000</v>
      </c>
      <c r="I2144" s="59">
        <f t="shared" si="66"/>
        <v>0</v>
      </c>
    </row>
    <row r="2145" spans="1:9" customFormat="1" ht="23" x14ac:dyDescent="0.35">
      <c r="A2145" s="63">
        <f t="shared" si="67"/>
        <v>2144</v>
      </c>
      <c r="B2145" s="54" t="s">
        <v>5138</v>
      </c>
      <c r="C2145" s="55" t="s">
        <v>5139</v>
      </c>
      <c r="D2145" s="54" t="s">
        <v>4387</v>
      </c>
      <c r="E2145" s="56">
        <v>0</v>
      </c>
      <c r="F2145" s="57" t="s">
        <v>792</v>
      </c>
      <c r="G2145" s="58">
        <v>579500</v>
      </c>
      <c r="H2145" s="59">
        <v>579500</v>
      </c>
      <c r="I2145" s="59">
        <f t="shared" si="66"/>
        <v>0</v>
      </c>
    </row>
    <row r="2146" spans="1:9" customFormat="1" x14ac:dyDescent="0.35">
      <c r="A2146" s="63">
        <f t="shared" si="67"/>
        <v>2145</v>
      </c>
      <c r="B2146" s="54" t="s">
        <v>5140</v>
      </c>
      <c r="C2146" s="55" t="s">
        <v>5141</v>
      </c>
      <c r="D2146" s="54" t="s">
        <v>4387</v>
      </c>
      <c r="E2146" s="56">
        <v>0</v>
      </c>
      <c r="F2146" s="57" t="s">
        <v>792</v>
      </c>
      <c r="G2146" s="58">
        <v>792750</v>
      </c>
      <c r="H2146" s="59">
        <v>1168000</v>
      </c>
      <c r="I2146" s="59">
        <f t="shared" si="66"/>
        <v>0</v>
      </c>
    </row>
    <row r="2147" spans="1:9" customFormat="1" x14ac:dyDescent="0.35">
      <c r="A2147" s="63">
        <f t="shared" si="67"/>
        <v>2146</v>
      </c>
      <c r="B2147" s="54" t="s">
        <v>5142</v>
      </c>
      <c r="C2147" s="55" t="s">
        <v>5143</v>
      </c>
      <c r="D2147" s="54" t="s">
        <v>4387</v>
      </c>
      <c r="E2147" s="56">
        <v>0</v>
      </c>
      <c r="F2147" s="57" t="s">
        <v>792</v>
      </c>
      <c r="G2147" s="58">
        <v>334200</v>
      </c>
      <c r="H2147" s="59">
        <v>334200</v>
      </c>
      <c r="I2147" s="59">
        <f t="shared" si="66"/>
        <v>0</v>
      </c>
    </row>
    <row r="2148" spans="1:9" customFormat="1" x14ac:dyDescent="0.35">
      <c r="A2148" s="63">
        <f t="shared" si="67"/>
        <v>2147</v>
      </c>
      <c r="B2148" s="54" t="s">
        <v>5144</v>
      </c>
      <c r="C2148" s="55" t="s">
        <v>5145</v>
      </c>
      <c r="D2148" s="54" t="s">
        <v>4387</v>
      </c>
      <c r="E2148" s="56">
        <v>0</v>
      </c>
      <c r="F2148" s="57" t="s">
        <v>792</v>
      </c>
      <c r="G2148" s="58">
        <v>470300</v>
      </c>
      <c r="H2148" s="59">
        <v>470300</v>
      </c>
      <c r="I2148" s="59">
        <f t="shared" si="66"/>
        <v>0</v>
      </c>
    </row>
    <row r="2149" spans="1:9" customFormat="1" x14ac:dyDescent="0.35">
      <c r="A2149" s="63">
        <f t="shared" si="67"/>
        <v>2148</v>
      </c>
      <c r="B2149" s="54" t="s">
        <v>5146</v>
      </c>
      <c r="C2149" s="55" t="s">
        <v>5147</v>
      </c>
      <c r="D2149" s="54" t="s">
        <v>4387</v>
      </c>
      <c r="E2149" s="56">
        <v>0</v>
      </c>
      <c r="F2149" s="57" t="s">
        <v>878</v>
      </c>
      <c r="G2149" s="58">
        <v>2861254</v>
      </c>
      <c r="H2149" s="59">
        <v>8700000</v>
      </c>
      <c r="I2149" s="59">
        <f t="shared" si="66"/>
        <v>0</v>
      </c>
    </row>
    <row r="2150" spans="1:9" customFormat="1" x14ac:dyDescent="0.35">
      <c r="A2150" s="63">
        <f t="shared" si="67"/>
        <v>2149</v>
      </c>
      <c r="B2150" s="54" t="s">
        <v>5148</v>
      </c>
      <c r="C2150" s="55" t="s">
        <v>5149</v>
      </c>
      <c r="D2150" s="54" t="s">
        <v>4387</v>
      </c>
      <c r="E2150" s="56">
        <v>0</v>
      </c>
      <c r="F2150" s="57" t="s">
        <v>792</v>
      </c>
      <c r="G2150" s="58">
        <v>65000</v>
      </c>
      <c r="H2150" s="59">
        <v>65000</v>
      </c>
      <c r="I2150" s="59">
        <f t="shared" si="66"/>
        <v>0</v>
      </c>
    </row>
    <row r="2151" spans="1:9" customFormat="1" ht="23" x14ac:dyDescent="0.35">
      <c r="A2151" s="63">
        <f t="shared" si="67"/>
        <v>2150</v>
      </c>
      <c r="B2151" s="54" t="s">
        <v>5150</v>
      </c>
      <c r="C2151" s="55" t="s">
        <v>5151</v>
      </c>
      <c r="D2151" s="54" t="s">
        <v>4387</v>
      </c>
      <c r="E2151" s="56">
        <v>0</v>
      </c>
      <c r="F2151" s="57" t="s">
        <v>792</v>
      </c>
      <c r="G2151" s="58">
        <v>0</v>
      </c>
      <c r="H2151" s="59">
        <v>0</v>
      </c>
      <c r="I2151" s="59">
        <f t="shared" si="66"/>
        <v>0</v>
      </c>
    </row>
    <row r="2152" spans="1:9" customFormat="1" x14ac:dyDescent="0.35">
      <c r="A2152" s="63">
        <f t="shared" si="67"/>
        <v>2151</v>
      </c>
      <c r="B2152" s="54" t="s">
        <v>5152</v>
      </c>
      <c r="C2152" s="55" t="s">
        <v>5153</v>
      </c>
      <c r="D2152" s="54" t="s">
        <v>4387</v>
      </c>
      <c r="E2152" s="56">
        <v>0</v>
      </c>
      <c r="F2152" s="57" t="s">
        <v>792</v>
      </c>
      <c r="G2152" s="58">
        <v>886250</v>
      </c>
      <c r="H2152" s="59">
        <v>0</v>
      </c>
      <c r="I2152" s="59">
        <f t="shared" si="66"/>
        <v>0</v>
      </c>
    </row>
    <row r="2153" spans="1:9" customFormat="1" x14ac:dyDescent="0.35">
      <c r="A2153" s="63">
        <f t="shared" si="67"/>
        <v>2152</v>
      </c>
      <c r="B2153" s="54" t="s">
        <v>5154</v>
      </c>
      <c r="C2153" s="55" t="s">
        <v>5155</v>
      </c>
      <c r="D2153" s="54" t="s">
        <v>4387</v>
      </c>
      <c r="E2153" s="56">
        <v>0</v>
      </c>
      <c r="F2153" s="57" t="s">
        <v>792</v>
      </c>
      <c r="G2153" s="58">
        <v>3025</v>
      </c>
      <c r="H2153" s="59">
        <v>5500</v>
      </c>
      <c r="I2153" s="59">
        <f t="shared" si="66"/>
        <v>0</v>
      </c>
    </row>
    <row r="2154" spans="1:9" customFormat="1" x14ac:dyDescent="0.35">
      <c r="A2154" s="63">
        <f t="shared" si="67"/>
        <v>2153</v>
      </c>
      <c r="B2154" s="54" t="s">
        <v>5156</v>
      </c>
      <c r="C2154" s="55" t="s">
        <v>5157</v>
      </c>
      <c r="D2154" s="54" t="s">
        <v>4387</v>
      </c>
      <c r="E2154" s="56">
        <v>0</v>
      </c>
      <c r="F2154" s="57" t="s">
        <v>792</v>
      </c>
      <c r="G2154" s="58">
        <v>37600</v>
      </c>
      <c r="H2154" s="59">
        <v>37600</v>
      </c>
      <c r="I2154" s="59">
        <f t="shared" si="66"/>
        <v>0</v>
      </c>
    </row>
    <row r="2155" spans="1:9" customFormat="1" x14ac:dyDescent="0.35">
      <c r="A2155" s="63">
        <f t="shared" si="67"/>
        <v>2154</v>
      </c>
      <c r="B2155" s="54" t="s">
        <v>5158</v>
      </c>
      <c r="C2155" s="55" t="s">
        <v>5159</v>
      </c>
      <c r="D2155" s="54" t="s">
        <v>4387</v>
      </c>
      <c r="E2155" s="56">
        <v>0</v>
      </c>
      <c r="F2155" s="57" t="s">
        <v>792</v>
      </c>
      <c r="G2155" s="58">
        <v>9400</v>
      </c>
      <c r="H2155" s="59">
        <v>9400</v>
      </c>
      <c r="I2155" s="59">
        <f t="shared" si="66"/>
        <v>0</v>
      </c>
    </row>
    <row r="2156" spans="1:9" customFormat="1" x14ac:dyDescent="0.35">
      <c r="A2156" s="63">
        <f t="shared" si="67"/>
        <v>2155</v>
      </c>
      <c r="B2156" s="54" t="s">
        <v>5160</v>
      </c>
      <c r="C2156" s="55" t="s">
        <v>5161</v>
      </c>
      <c r="D2156" s="54" t="s">
        <v>4387</v>
      </c>
      <c r="E2156" s="56">
        <v>0</v>
      </c>
      <c r="F2156" s="57" t="s">
        <v>792</v>
      </c>
      <c r="G2156" s="58">
        <v>31057</v>
      </c>
      <c r="H2156" s="59">
        <v>47341</v>
      </c>
      <c r="I2156" s="59">
        <f t="shared" si="66"/>
        <v>0</v>
      </c>
    </row>
    <row r="2157" spans="1:9" customFormat="1" x14ac:dyDescent="0.35">
      <c r="A2157" s="63">
        <f t="shared" si="67"/>
        <v>2156</v>
      </c>
      <c r="B2157" s="54" t="s">
        <v>5162</v>
      </c>
      <c r="C2157" s="55" t="s">
        <v>5163</v>
      </c>
      <c r="D2157" s="54" t="s">
        <v>4387</v>
      </c>
      <c r="E2157" s="56">
        <v>0</v>
      </c>
      <c r="F2157" s="57" t="s">
        <v>792</v>
      </c>
      <c r="G2157" s="58">
        <v>95589</v>
      </c>
      <c r="H2157" s="59">
        <v>275106</v>
      </c>
      <c r="I2157" s="59">
        <f t="shared" si="66"/>
        <v>0</v>
      </c>
    </row>
    <row r="2158" spans="1:9" customFormat="1" x14ac:dyDescent="0.35">
      <c r="A2158" s="63">
        <f t="shared" si="67"/>
        <v>2157</v>
      </c>
      <c r="B2158" s="54" t="s">
        <v>5164</v>
      </c>
      <c r="C2158" s="55" t="s">
        <v>5165</v>
      </c>
      <c r="D2158" s="54" t="s">
        <v>4387</v>
      </c>
      <c r="E2158" s="56">
        <v>0</v>
      </c>
      <c r="F2158" s="57" t="s">
        <v>792</v>
      </c>
      <c r="G2158" s="58">
        <v>14326</v>
      </c>
      <c r="H2158" s="59">
        <v>22040</v>
      </c>
      <c r="I2158" s="59">
        <f t="shared" si="66"/>
        <v>0</v>
      </c>
    </row>
    <row r="2159" spans="1:9" customFormat="1" x14ac:dyDescent="0.35">
      <c r="A2159" s="63">
        <f t="shared" si="67"/>
        <v>2158</v>
      </c>
      <c r="B2159" s="54" t="s">
        <v>5166</v>
      </c>
      <c r="C2159" s="55" t="s">
        <v>5167</v>
      </c>
      <c r="D2159" s="54" t="s">
        <v>4387</v>
      </c>
      <c r="E2159" s="56">
        <v>0</v>
      </c>
      <c r="F2159" s="57" t="s">
        <v>792</v>
      </c>
      <c r="G2159" s="58">
        <v>45747</v>
      </c>
      <c r="H2159" s="59">
        <v>137553</v>
      </c>
      <c r="I2159" s="59">
        <f t="shared" si="66"/>
        <v>0</v>
      </c>
    </row>
    <row r="2160" spans="1:9" customFormat="1" x14ac:dyDescent="0.35">
      <c r="A2160" s="63">
        <f t="shared" si="67"/>
        <v>2159</v>
      </c>
      <c r="B2160" s="54" t="s">
        <v>5168</v>
      </c>
      <c r="C2160" s="55" t="s">
        <v>5169</v>
      </c>
      <c r="D2160" s="54" t="s">
        <v>4387</v>
      </c>
      <c r="E2160" s="56">
        <v>0</v>
      </c>
      <c r="F2160" s="57" t="s">
        <v>792</v>
      </c>
      <c r="G2160" s="58">
        <v>75400</v>
      </c>
      <c r="H2160" s="59">
        <v>75400</v>
      </c>
      <c r="I2160" s="59">
        <f t="shared" si="66"/>
        <v>0</v>
      </c>
    </row>
    <row r="2161" spans="1:9" customFormat="1" x14ac:dyDescent="0.35">
      <c r="A2161" s="63">
        <f t="shared" si="67"/>
        <v>2160</v>
      </c>
      <c r="B2161" s="54" t="s">
        <v>5170</v>
      </c>
      <c r="C2161" s="55" t="s">
        <v>5171</v>
      </c>
      <c r="D2161" s="54" t="s">
        <v>4387</v>
      </c>
      <c r="E2161" s="56">
        <v>0</v>
      </c>
      <c r="F2161" s="57" t="s">
        <v>792</v>
      </c>
      <c r="G2161" s="58">
        <v>63492</v>
      </c>
      <c r="H2161" s="59">
        <v>198627</v>
      </c>
      <c r="I2161" s="59">
        <f t="shared" si="66"/>
        <v>0</v>
      </c>
    </row>
    <row r="2162" spans="1:9" customFormat="1" x14ac:dyDescent="0.35">
      <c r="A2162" s="63">
        <f t="shared" si="67"/>
        <v>2161</v>
      </c>
      <c r="B2162" s="54" t="s">
        <v>5172</v>
      </c>
      <c r="C2162" s="55" t="s">
        <v>5173</v>
      </c>
      <c r="D2162" s="54" t="s">
        <v>4387</v>
      </c>
      <c r="E2162" s="56">
        <v>0</v>
      </c>
      <c r="F2162" s="57" t="s">
        <v>792</v>
      </c>
      <c r="G2162" s="58">
        <v>12818</v>
      </c>
      <c r="H2162" s="59">
        <v>38844</v>
      </c>
      <c r="I2162" s="59">
        <f t="shared" si="66"/>
        <v>0</v>
      </c>
    </row>
    <row r="2163" spans="1:9" customFormat="1" x14ac:dyDescent="0.35">
      <c r="A2163" s="63">
        <f t="shared" si="67"/>
        <v>2162</v>
      </c>
      <c r="B2163" s="54" t="s">
        <v>5174</v>
      </c>
      <c r="C2163" s="55" t="s">
        <v>5175</v>
      </c>
      <c r="D2163" s="54" t="s">
        <v>4387</v>
      </c>
      <c r="E2163" s="56">
        <v>0</v>
      </c>
      <c r="F2163" s="57" t="s">
        <v>792</v>
      </c>
      <c r="G2163" s="58">
        <v>14326</v>
      </c>
      <c r="H2163" s="59">
        <v>21819</v>
      </c>
      <c r="I2163" s="59">
        <f t="shared" si="66"/>
        <v>0</v>
      </c>
    </row>
    <row r="2164" spans="1:9" customFormat="1" x14ac:dyDescent="0.35">
      <c r="A2164" s="63">
        <f t="shared" si="67"/>
        <v>2163</v>
      </c>
      <c r="B2164" s="54" t="s">
        <v>5176</v>
      </c>
      <c r="C2164" s="55" t="s">
        <v>5177</v>
      </c>
      <c r="D2164" s="54" t="s">
        <v>4387</v>
      </c>
      <c r="E2164" s="56">
        <v>0</v>
      </c>
      <c r="F2164" s="57" t="s">
        <v>792</v>
      </c>
      <c r="G2164" s="58">
        <v>16601</v>
      </c>
      <c r="H2164" s="59">
        <v>38844</v>
      </c>
      <c r="I2164" s="59">
        <f t="shared" si="66"/>
        <v>0</v>
      </c>
    </row>
    <row r="2165" spans="1:9" customFormat="1" x14ac:dyDescent="0.35">
      <c r="A2165" s="63">
        <f t="shared" si="67"/>
        <v>2164</v>
      </c>
      <c r="B2165" s="54" t="s">
        <v>5178</v>
      </c>
      <c r="C2165" s="55" t="s">
        <v>5179</v>
      </c>
      <c r="D2165" s="54" t="s">
        <v>4387</v>
      </c>
      <c r="E2165" s="56">
        <v>0</v>
      </c>
      <c r="F2165" s="57" t="s">
        <v>792</v>
      </c>
      <c r="G2165" s="58">
        <v>20228</v>
      </c>
      <c r="H2165" s="59">
        <v>59495</v>
      </c>
      <c r="I2165" s="59">
        <f t="shared" si="66"/>
        <v>0</v>
      </c>
    </row>
    <row r="2166" spans="1:9" customFormat="1" x14ac:dyDescent="0.35">
      <c r="A2166" s="63">
        <f t="shared" si="67"/>
        <v>2165</v>
      </c>
      <c r="B2166" s="54" t="s">
        <v>5180</v>
      </c>
      <c r="C2166" s="55" t="s">
        <v>5181</v>
      </c>
      <c r="D2166" s="54" t="s">
        <v>4387</v>
      </c>
      <c r="E2166" s="56">
        <v>0</v>
      </c>
      <c r="F2166" s="57" t="s">
        <v>792</v>
      </c>
      <c r="G2166" s="58">
        <v>27040</v>
      </c>
      <c r="H2166" s="59">
        <v>41205</v>
      </c>
      <c r="I2166" s="59">
        <f t="shared" si="66"/>
        <v>0</v>
      </c>
    </row>
    <row r="2167" spans="1:9" customFormat="1" x14ac:dyDescent="0.35">
      <c r="A2167" s="63">
        <f t="shared" si="67"/>
        <v>2166</v>
      </c>
      <c r="B2167" s="54" t="s">
        <v>5182</v>
      </c>
      <c r="C2167" s="55" t="s">
        <v>5183</v>
      </c>
      <c r="D2167" s="54" t="s">
        <v>4387</v>
      </c>
      <c r="E2167" s="56">
        <v>0</v>
      </c>
      <c r="F2167" s="57" t="s">
        <v>792</v>
      </c>
      <c r="G2167" s="58">
        <v>47780</v>
      </c>
      <c r="H2167" s="59">
        <v>71670</v>
      </c>
      <c r="I2167" s="59">
        <f t="shared" si="66"/>
        <v>0</v>
      </c>
    </row>
    <row r="2168" spans="1:9" customFormat="1" x14ac:dyDescent="0.35">
      <c r="A2168" s="63">
        <f t="shared" si="67"/>
        <v>2167</v>
      </c>
      <c r="B2168" s="54" t="s">
        <v>5184</v>
      </c>
      <c r="C2168" s="55" t="s">
        <v>5185</v>
      </c>
      <c r="D2168" s="54" t="s">
        <v>4387</v>
      </c>
      <c r="E2168" s="56">
        <v>0</v>
      </c>
      <c r="F2168" s="57" t="s">
        <v>792</v>
      </c>
      <c r="G2168" s="58">
        <v>39283.5</v>
      </c>
      <c r="H2168" s="59">
        <v>54038</v>
      </c>
      <c r="I2168" s="59">
        <f t="shared" si="66"/>
        <v>0</v>
      </c>
    </row>
    <row r="2169" spans="1:9" customFormat="1" x14ac:dyDescent="0.35">
      <c r="A2169" s="63">
        <f t="shared" si="67"/>
        <v>2168</v>
      </c>
      <c r="B2169" s="54" t="s">
        <v>5186</v>
      </c>
      <c r="C2169" s="55" t="s">
        <v>5187</v>
      </c>
      <c r="D2169" s="54" t="s">
        <v>4387</v>
      </c>
      <c r="E2169" s="56">
        <v>0</v>
      </c>
      <c r="F2169" s="57" t="s">
        <v>792</v>
      </c>
      <c r="G2169" s="58">
        <v>36500</v>
      </c>
      <c r="H2169" s="59">
        <v>53000</v>
      </c>
      <c r="I2169" s="59">
        <f t="shared" si="66"/>
        <v>0</v>
      </c>
    </row>
    <row r="2170" spans="1:9" customFormat="1" x14ac:dyDescent="0.35">
      <c r="A2170" s="63">
        <f t="shared" si="67"/>
        <v>2169</v>
      </c>
      <c r="B2170" s="54" t="s">
        <v>5188</v>
      </c>
      <c r="C2170" s="55" t="s">
        <v>5189</v>
      </c>
      <c r="D2170" s="54" t="s">
        <v>4387</v>
      </c>
      <c r="E2170" s="56">
        <v>0</v>
      </c>
      <c r="F2170" s="57" t="s">
        <v>792</v>
      </c>
      <c r="G2170" s="58">
        <v>23725</v>
      </c>
      <c r="H2170" s="59">
        <v>53000</v>
      </c>
      <c r="I2170" s="59">
        <f t="shared" si="66"/>
        <v>0</v>
      </c>
    </row>
    <row r="2171" spans="1:9" customFormat="1" x14ac:dyDescent="0.35">
      <c r="A2171" s="63">
        <f t="shared" si="67"/>
        <v>2170</v>
      </c>
      <c r="B2171" s="54" t="s">
        <v>5190</v>
      </c>
      <c r="C2171" s="55" t="s">
        <v>5191</v>
      </c>
      <c r="D2171" s="54" t="s">
        <v>4387</v>
      </c>
      <c r="E2171" s="56">
        <v>0</v>
      </c>
      <c r="F2171" s="57" t="s">
        <v>792</v>
      </c>
      <c r="G2171" s="58">
        <v>35464</v>
      </c>
      <c r="H2171" s="59">
        <v>78000</v>
      </c>
      <c r="I2171" s="59">
        <f t="shared" si="66"/>
        <v>0</v>
      </c>
    </row>
    <row r="2172" spans="1:9" customFormat="1" x14ac:dyDescent="0.35">
      <c r="A2172" s="63">
        <f t="shared" si="67"/>
        <v>2171</v>
      </c>
      <c r="B2172" s="54" t="s">
        <v>5192</v>
      </c>
      <c r="C2172" s="55" t="s">
        <v>5193</v>
      </c>
      <c r="D2172" s="54" t="s">
        <v>4387</v>
      </c>
      <c r="E2172" s="56">
        <v>0</v>
      </c>
      <c r="F2172" s="57" t="s">
        <v>792</v>
      </c>
      <c r="G2172" s="58">
        <v>717800</v>
      </c>
      <c r="H2172" s="59">
        <v>1174000</v>
      </c>
      <c r="I2172" s="59">
        <f t="shared" si="66"/>
        <v>0</v>
      </c>
    </row>
    <row r="2173" spans="1:9" customFormat="1" x14ac:dyDescent="0.35">
      <c r="A2173" s="63">
        <f t="shared" si="67"/>
        <v>2172</v>
      </c>
      <c r="B2173" s="54" t="s">
        <v>5194</v>
      </c>
      <c r="C2173" s="55" t="s">
        <v>5195</v>
      </c>
      <c r="D2173" s="54" t="s">
        <v>4387</v>
      </c>
      <c r="E2173" s="56">
        <v>0</v>
      </c>
      <c r="F2173" s="57" t="s">
        <v>1552</v>
      </c>
      <c r="G2173" s="58">
        <v>30000</v>
      </c>
      <c r="H2173" s="59">
        <v>30000</v>
      </c>
      <c r="I2173" s="59">
        <f t="shared" si="66"/>
        <v>0</v>
      </c>
    </row>
    <row r="2174" spans="1:9" customFormat="1" x14ac:dyDescent="0.35">
      <c r="A2174" s="63">
        <f t="shared" si="67"/>
        <v>2173</v>
      </c>
      <c r="B2174" s="54" t="s">
        <v>5196</v>
      </c>
      <c r="C2174" s="55" t="s">
        <v>5197</v>
      </c>
      <c r="D2174" s="54" t="s">
        <v>4387</v>
      </c>
      <c r="E2174" s="56">
        <v>0</v>
      </c>
      <c r="F2174" s="57" t="s">
        <v>1552</v>
      </c>
      <c r="G2174" s="58">
        <v>30000</v>
      </c>
      <c r="H2174" s="59">
        <v>30000</v>
      </c>
      <c r="I2174" s="59">
        <f t="shared" si="66"/>
        <v>0</v>
      </c>
    </row>
    <row r="2175" spans="1:9" customFormat="1" ht="23" x14ac:dyDescent="0.35">
      <c r="A2175" s="63">
        <f t="shared" si="67"/>
        <v>2174</v>
      </c>
      <c r="B2175" s="54" t="s">
        <v>5198</v>
      </c>
      <c r="C2175" s="55" t="s">
        <v>5199</v>
      </c>
      <c r="D2175" s="54" t="s">
        <v>4387</v>
      </c>
      <c r="E2175" s="56">
        <v>0</v>
      </c>
      <c r="F2175" s="57" t="s">
        <v>844</v>
      </c>
      <c r="G2175" s="58">
        <v>2370000</v>
      </c>
      <c r="H2175" s="59">
        <v>2370000</v>
      </c>
      <c r="I2175" s="59">
        <f t="shared" si="66"/>
        <v>0</v>
      </c>
    </row>
    <row r="2176" spans="1:9" customFormat="1" x14ac:dyDescent="0.35">
      <c r="A2176" s="63">
        <f t="shared" si="67"/>
        <v>2175</v>
      </c>
      <c r="B2176" s="54" t="s">
        <v>5200</v>
      </c>
      <c r="C2176" s="55" t="s">
        <v>5201</v>
      </c>
      <c r="D2176" s="54" t="s">
        <v>4387</v>
      </c>
      <c r="E2176" s="56">
        <v>0</v>
      </c>
      <c r="F2176" s="57" t="s">
        <v>792</v>
      </c>
      <c r="G2176" s="58">
        <v>88647</v>
      </c>
      <c r="H2176" s="59">
        <v>136380</v>
      </c>
      <c r="I2176" s="59">
        <f t="shared" si="66"/>
        <v>0</v>
      </c>
    </row>
    <row r="2177" spans="1:9" customFormat="1" x14ac:dyDescent="0.35">
      <c r="A2177" s="63">
        <f t="shared" si="67"/>
        <v>2176</v>
      </c>
      <c r="B2177" s="54" t="s">
        <v>5202</v>
      </c>
      <c r="C2177" s="55" t="s">
        <v>5203</v>
      </c>
      <c r="D2177" s="54" t="s">
        <v>4387</v>
      </c>
      <c r="E2177" s="56">
        <v>0</v>
      </c>
      <c r="F2177" s="57" t="s">
        <v>792</v>
      </c>
      <c r="G2177" s="58">
        <v>473350</v>
      </c>
      <c r="H2177" s="59">
        <v>472350</v>
      </c>
      <c r="I2177" s="59">
        <f t="shared" si="66"/>
        <v>0</v>
      </c>
    </row>
    <row r="2178" spans="1:9" customFormat="1" x14ac:dyDescent="0.35">
      <c r="A2178" s="63">
        <f t="shared" si="67"/>
        <v>2177</v>
      </c>
      <c r="B2178" s="54" t="s">
        <v>5204</v>
      </c>
      <c r="C2178" s="55" t="s">
        <v>5205</v>
      </c>
      <c r="D2178" s="54" t="s">
        <v>4387</v>
      </c>
      <c r="E2178" s="56">
        <v>0</v>
      </c>
      <c r="F2178" s="57" t="s">
        <v>792</v>
      </c>
      <c r="G2178" s="58">
        <v>160000</v>
      </c>
      <c r="H2178" s="59">
        <v>337500</v>
      </c>
      <c r="I2178" s="59">
        <f t="shared" si="66"/>
        <v>0</v>
      </c>
    </row>
    <row r="2179" spans="1:9" customFormat="1" x14ac:dyDescent="0.35">
      <c r="A2179" s="63">
        <f t="shared" si="67"/>
        <v>2178</v>
      </c>
      <c r="B2179" s="54" t="s">
        <v>5206</v>
      </c>
      <c r="C2179" s="55" t="s">
        <v>5207</v>
      </c>
      <c r="D2179" s="54" t="s">
        <v>4387</v>
      </c>
      <c r="E2179" s="56">
        <v>0</v>
      </c>
      <c r="F2179" s="57" t="s">
        <v>792</v>
      </c>
      <c r="G2179" s="58">
        <v>210000</v>
      </c>
      <c r="H2179" s="59">
        <v>352500</v>
      </c>
      <c r="I2179" s="59">
        <f t="shared" ref="I2179:I2242" si="68">H2179*E2179</f>
        <v>0</v>
      </c>
    </row>
    <row r="2180" spans="1:9" customFormat="1" x14ac:dyDescent="0.35">
      <c r="A2180" s="63">
        <f t="shared" ref="A2180:A2243" si="69">A2179+1</f>
        <v>2179</v>
      </c>
      <c r="B2180" s="54" t="s">
        <v>5208</v>
      </c>
      <c r="C2180" s="55" t="s">
        <v>5209</v>
      </c>
      <c r="D2180" s="54" t="s">
        <v>4387</v>
      </c>
      <c r="E2180" s="56">
        <v>0</v>
      </c>
      <c r="F2180" s="57" t="s">
        <v>792</v>
      </c>
      <c r="G2180" s="58">
        <v>165000</v>
      </c>
      <c r="H2180" s="59">
        <v>375000</v>
      </c>
      <c r="I2180" s="59">
        <f t="shared" si="68"/>
        <v>0</v>
      </c>
    </row>
    <row r="2181" spans="1:9" customFormat="1" x14ac:dyDescent="0.35">
      <c r="A2181" s="63">
        <f t="shared" si="69"/>
        <v>2180</v>
      </c>
      <c r="B2181" s="54" t="s">
        <v>5210</v>
      </c>
      <c r="C2181" s="55" t="s">
        <v>5211</v>
      </c>
      <c r="D2181" s="54" t="s">
        <v>4387</v>
      </c>
      <c r="E2181" s="56">
        <v>0</v>
      </c>
      <c r="F2181" s="57" t="s">
        <v>792</v>
      </c>
      <c r="G2181" s="58">
        <v>215000</v>
      </c>
      <c r="H2181" s="59">
        <v>322500</v>
      </c>
      <c r="I2181" s="59">
        <f t="shared" si="68"/>
        <v>0</v>
      </c>
    </row>
    <row r="2182" spans="1:9" customFormat="1" x14ac:dyDescent="0.35">
      <c r="A2182" s="63">
        <f t="shared" si="69"/>
        <v>2181</v>
      </c>
      <c r="B2182" s="54" t="s">
        <v>5212</v>
      </c>
      <c r="C2182" s="55" t="s">
        <v>5213</v>
      </c>
      <c r="D2182" s="54" t="s">
        <v>4387</v>
      </c>
      <c r="E2182" s="56">
        <v>0</v>
      </c>
      <c r="F2182" s="57" t="s">
        <v>792</v>
      </c>
      <c r="G2182" s="58">
        <v>4530</v>
      </c>
      <c r="H2182" s="59">
        <v>6750</v>
      </c>
      <c r="I2182" s="59">
        <f t="shared" si="68"/>
        <v>0</v>
      </c>
    </row>
    <row r="2183" spans="1:9" customFormat="1" x14ac:dyDescent="0.35">
      <c r="A2183" s="63">
        <f t="shared" si="69"/>
        <v>2182</v>
      </c>
      <c r="B2183" s="54" t="s">
        <v>5214</v>
      </c>
      <c r="C2183" s="55" t="s">
        <v>5215</v>
      </c>
      <c r="D2183" s="54" t="s">
        <v>4387</v>
      </c>
      <c r="E2183" s="56">
        <v>0</v>
      </c>
      <c r="F2183" s="57" t="s">
        <v>792</v>
      </c>
      <c r="G2183" s="58">
        <v>2400</v>
      </c>
      <c r="H2183" s="59">
        <v>2400</v>
      </c>
      <c r="I2183" s="59">
        <f t="shared" si="68"/>
        <v>0</v>
      </c>
    </row>
    <row r="2184" spans="1:9" customFormat="1" x14ac:dyDescent="0.35">
      <c r="A2184" s="63">
        <f t="shared" si="69"/>
        <v>2183</v>
      </c>
      <c r="B2184" s="54" t="s">
        <v>5216</v>
      </c>
      <c r="C2184" s="55" t="s">
        <v>5217</v>
      </c>
      <c r="D2184" s="54" t="s">
        <v>4387</v>
      </c>
      <c r="E2184" s="56">
        <v>0</v>
      </c>
      <c r="F2184" s="57" t="s">
        <v>792</v>
      </c>
      <c r="G2184" s="58">
        <v>3600</v>
      </c>
      <c r="H2184" s="59">
        <v>3600</v>
      </c>
      <c r="I2184" s="59">
        <f t="shared" si="68"/>
        <v>0</v>
      </c>
    </row>
    <row r="2185" spans="1:9" customFormat="1" x14ac:dyDescent="0.35">
      <c r="A2185" s="63">
        <f t="shared" si="69"/>
        <v>2184</v>
      </c>
      <c r="B2185" s="54" t="s">
        <v>5218</v>
      </c>
      <c r="C2185" s="55" t="s">
        <v>5219</v>
      </c>
      <c r="D2185" s="54" t="s">
        <v>4387</v>
      </c>
      <c r="E2185" s="56">
        <v>0</v>
      </c>
      <c r="F2185" s="57" t="s">
        <v>792</v>
      </c>
      <c r="G2185" s="58">
        <v>5000</v>
      </c>
      <c r="H2185" s="59">
        <v>5000</v>
      </c>
      <c r="I2185" s="59">
        <f t="shared" si="68"/>
        <v>0</v>
      </c>
    </row>
    <row r="2186" spans="1:9" customFormat="1" x14ac:dyDescent="0.35">
      <c r="A2186" s="63">
        <f t="shared" si="69"/>
        <v>2185</v>
      </c>
      <c r="B2186" s="54" t="s">
        <v>5220</v>
      </c>
      <c r="C2186" s="55" t="s">
        <v>5221</v>
      </c>
      <c r="D2186" s="54" t="s">
        <v>4387</v>
      </c>
      <c r="E2186" s="56">
        <v>0</v>
      </c>
      <c r="F2186" s="57" t="s">
        <v>792</v>
      </c>
      <c r="G2186" s="58">
        <v>6500</v>
      </c>
      <c r="H2186" s="59">
        <v>10500</v>
      </c>
      <c r="I2186" s="59">
        <f t="shared" si="68"/>
        <v>0</v>
      </c>
    </row>
    <row r="2187" spans="1:9" customFormat="1" x14ac:dyDescent="0.35">
      <c r="A2187" s="63">
        <f t="shared" si="69"/>
        <v>2186</v>
      </c>
      <c r="B2187" s="54" t="s">
        <v>5222</v>
      </c>
      <c r="C2187" s="55" t="s">
        <v>5223</v>
      </c>
      <c r="D2187" s="54" t="s">
        <v>4387</v>
      </c>
      <c r="E2187" s="56">
        <v>0</v>
      </c>
      <c r="F2187" s="57" t="s">
        <v>792</v>
      </c>
      <c r="G2187" s="58">
        <v>9530</v>
      </c>
      <c r="H2187" s="59">
        <v>9500</v>
      </c>
      <c r="I2187" s="59">
        <f t="shared" si="68"/>
        <v>0</v>
      </c>
    </row>
    <row r="2188" spans="1:9" customFormat="1" x14ac:dyDescent="0.35">
      <c r="A2188" s="63">
        <f t="shared" si="69"/>
        <v>2187</v>
      </c>
      <c r="B2188" s="54" t="s">
        <v>5224</v>
      </c>
      <c r="C2188" s="55" t="s">
        <v>5225</v>
      </c>
      <c r="D2188" s="54" t="s">
        <v>4387</v>
      </c>
      <c r="E2188" s="56">
        <v>0</v>
      </c>
      <c r="F2188" s="57" t="s">
        <v>792</v>
      </c>
      <c r="G2188" s="58">
        <v>0</v>
      </c>
      <c r="H2188" s="59">
        <v>776</v>
      </c>
      <c r="I2188" s="59">
        <f t="shared" si="68"/>
        <v>0</v>
      </c>
    </row>
    <row r="2189" spans="1:9" customFormat="1" x14ac:dyDescent="0.35">
      <c r="A2189" s="63">
        <f t="shared" si="69"/>
        <v>2188</v>
      </c>
      <c r="B2189" s="54" t="s">
        <v>5226</v>
      </c>
      <c r="C2189" s="55" t="s">
        <v>5227</v>
      </c>
      <c r="D2189" s="54" t="s">
        <v>4387</v>
      </c>
      <c r="E2189" s="56">
        <v>0</v>
      </c>
      <c r="F2189" s="57" t="s">
        <v>792</v>
      </c>
      <c r="G2189" s="58">
        <v>100</v>
      </c>
      <c r="H2189" s="59">
        <v>100</v>
      </c>
      <c r="I2189" s="59">
        <f t="shared" si="68"/>
        <v>0</v>
      </c>
    </row>
    <row r="2190" spans="1:9" customFormat="1" x14ac:dyDescent="0.35">
      <c r="A2190" s="63">
        <f t="shared" si="69"/>
        <v>2189</v>
      </c>
      <c r="B2190" s="54" t="s">
        <v>5228</v>
      </c>
      <c r="C2190" s="55" t="s">
        <v>5229</v>
      </c>
      <c r="D2190" s="54" t="s">
        <v>4387</v>
      </c>
      <c r="E2190" s="56">
        <v>0</v>
      </c>
      <c r="F2190" s="57" t="s">
        <v>792</v>
      </c>
      <c r="G2190" s="58">
        <v>120</v>
      </c>
      <c r="H2190" s="59">
        <v>120</v>
      </c>
      <c r="I2190" s="59">
        <f t="shared" si="68"/>
        <v>0</v>
      </c>
    </row>
    <row r="2191" spans="1:9" customFormat="1" x14ac:dyDescent="0.35">
      <c r="A2191" s="63">
        <f t="shared" si="69"/>
        <v>2190</v>
      </c>
      <c r="B2191" s="54" t="s">
        <v>5230</v>
      </c>
      <c r="C2191" s="55" t="s">
        <v>5231</v>
      </c>
      <c r="D2191" s="54" t="s">
        <v>4387</v>
      </c>
      <c r="E2191" s="56">
        <v>0</v>
      </c>
      <c r="F2191" s="57" t="s">
        <v>792</v>
      </c>
      <c r="G2191" s="58">
        <v>130</v>
      </c>
      <c r="H2191" s="59">
        <v>130</v>
      </c>
      <c r="I2191" s="59">
        <f t="shared" si="68"/>
        <v>0</v>
      </c>
    </row>
    <row r="2192" spans="1:9" customFormat="1" x14ac:dyDescent="0.35">
      <c r="A2192" s="63">
        <f t="shared" si="69"/>
        <v>2191</v>
      </c>
      <c r="B2192" s="54" t="s">
        <v>5232</v>
      </c>
      <c r="C2192" s="55" t="s">
        <v>5233</v>
      </c>
      <c r="D2192" s="54" t="s">
        <v>4387</v>
      </c>
      <c r="E2192" s="56">
        <v>0</v>
      </c>
      <c r="F2192" s="57" t="s">
        <v>792</v>
      </c>
      <c r="G2192" s="58">
        <v>400</v>
      </c>
      <c r="H2192" s="59">
        <v>400</v>
      </c>
      <c r="I2192" s="59">
        <f t="shared" si="68"/>
        <v>0</v>
      </c>
    </row>
    <row r="2193" spans="1:9" customFormat="1" x14ac:dyDescent="0.35">
      <c r="A2193" s="63">
        <f t="shared" si="69"/>
        <v>2192</v>
      </c>
      <c r="B2193" s="54" t="s">
        <v>5234</v>
      </c>
      <c r="C2193" s="55" t="s">
        <v>5235</v>
      </c>
      <c r="D2193" s="54" t="s">
        <v>4387</v>
      </c>
      <c r="E2193" s="56">
        <v>0</v>
      </c>
      <c r="F2193" s="57" t="s">
        <v>792</v>
      </c>
      <c r="G2193" s="58">
        <v>0</v>
      </c>
      <c r="H2193" s="59">
        <v>776</v>
      </c>
      <c r="I2193" s="59">
        <f t="shared" si="68"/>
        <v>0</v>
      </c>
    </row>
    <row r="2194" spans="1:9" customFormat="1" x14ac:dyDescent="0.35">
      <c r="A2194" s="63">
        <f t="shared" si="69"/>
        <v>2193</v>
      </c>
      <c r="B2194" s="54" t="s">
        <v>5236</v>
      </c>
      <c r="C2194" s="55" t="s">
        <v>5237</v>
      </c>
      <c r="D2194" s="54" t="s">
        <v>4387</v>
      </c>
      <c r="E2194" s="56">
        <v>0</v>
      </c>
      <c r="F2194" s="57" t="s">
        <v>792</v>
      </c>
      <c r="G2194" s="58">
        <v>0</v>
      </c>
      <c r="H2194" s="59">
        <v>1034</v>
      </c>
      <c r="I2194" s="59">
        <f t="shared" si="68"/>
        <v>0</v>
      </c>
    </row>
    <row r="2195" spans="1:9" customFormat="1" x14ac:dyDescent="0.35">
      <c r="A2195" s="63">
        <f t="shared" si="69"/>
        <v>2194</v>
      </c>
      <c r="B2195" s="54" t="s">
        <v>5238</v>
      </c>
      <c r="C2195" s="55" t="s">
        <v>5239</v>
      </c>
      <c r="D2195" s="54" t="s">
        <v>4387</v>
      </c>
      <c r="E2195" s="56">
        <v>0</v>
      </c>
      <c r="F2195" s="57" t="s">
        <v>792</v>
      </c>
      <c r="G2195" s="58">
        <v>0</v>
      </c>
      <c r="H2195" s="59">
        <v>130</v>
      </c>
      <c r="I2195" s="59">
        <f t="shared" si="68"/>
        <v>0</v>
      </c>
    </row>
    <row r="2196" spans="1:9" customFormat="1" x14ac:dyDescent="0.35">
      <c r="A2196" s="63">
        <f t="shared" si="69"/>
        <v>2195</v>
      </c>
      <c r="B2196" s="54" t="s">
        <v>5240</v>
      </c>
      <c r="C2196" s="55" t="s">
        <v>5241</v>
      </c>
      <c r="D2196" s="54" t="s">
        <v>4387</v>
      </c>
      <c r="E2196" s="56">
        <v>0</v>
      </c>
      <c r="F2196" s="57" t="s">
        <v>792</v>
      </c>
      <c r="G2196" s="58">
        <v>33</v>
      </c>
      <c r="H2196" s="59">
        <v>332</v>
      </c>
      <c r="I2196" s="59">
        <f t="shared" si="68"/>
        <v>0</v>
      </c>
    </row>
    <row r="2197" spans="1:9" customFormat="1" x14ac:dyDescent="0.35">
      <c r="A2197" s="63">
        <f t="shared" si="69"/>
        <v>2196</v>
      </c>
      <c r="B2197" s="54" t="s">
        <v>5242</v>
      </c>
      <c r="C2197" s="55" t="s">
        <v>5243</v>
      </c>
      <c r="D2197" s="54" t="s">
        <v>4387</v>
      </c>
      <c r="E2197" s="56">
        <v>0</v>
      </c>
      <c r="F2197" s="57" t="s">
        <v>792</v>
      </c>
      <c r="G2197" s="58">
        <v>5760</v>
      </c>
      <c r="H2197" s="59">
        <v>5760</v>
      </c>
      <c r="I2197" s="59">
        <f t="shared" si="68"/>
        <v>0</v>
      </c>
    </row>
    <row r="2198" spans="1:9" customFormat="1" x14ac:dyDescent="0.35">
      <c r="A2198" s="63">
        <f t="shared" si="69"/>
        <v>2197</v>
      </c>
      <c r="B2198" s="54" t="s">
        <v>5244</v>
      </c>
      <c r="C2198" s="55" t="s">
        <v>5245</v>
      </c>
      <c r="D2198" s="54" t="s">
        <v>4387</v>
      </c>
      <c r="E2198" s="56">
        <v>0</v>
      </c>
      <c r="F2198" s="57" t="s">
        <v>792</v>
      </c>
      <c r="G2198" s="58">
        <v>45495</v>
      </c>
      <c r="H2198" s="59">
        <v>75750</v>
      </c>
      <c r="I2198" s="59">
        <f t="shared" si="68"/>
        <v>0</v>
      </c>
    </row>
    <row r="2199" spans="1:9" customFormat="1" x14ac:dyDescent="0.35">
      <c r="A2199" s="63">
        <f t="shared" si="69"/>
        <v>2198</v>
      </c>
      <c r="B2199" s="54" t="s">
        <v>5246</v>
      </c>
      <c r="C2199" s="55" t="s">
        <v>5247</v>
      </c>
      <c r="D2199" s="54" t="s">
        <v>4387</v>
      </c>
      <c r="E2199" s="56">
        <v>0</v>
      </c>
      <c r="F2199" s="57" t="s">
        <v>1552</v>
      </c>
      <c r="G2199" s="58">
        <v>72291.66</v>
      </c>
      <c r="H2199" s="59">
        <v>145000</v>
      </c>
      <c r="I2199" s="59">
        <f t="shared" si="68"/>
        <v>0</v>
      </c>
    </row>
    <row r="2200" spans="1:9" customFormat="1" x14ac:dyDescent="0.35">
      <c r="A2200" s="63">
        <f t="shared" si="69"/>
        <v>2199</v>
      </c>
      <c r="B2200" s="54" t="s">
        <v>5248</v>
      </c>
      <c r="C2200" s="55" t="s">
        <v>5249</v>
      </c>
      <c r="D2200" s="54" t="s">
        <v>4387</v>
      </c>
      <c r="E2200" s="56">
        <v>0</v>
      </c>
      <c r="F2200" s="57" t="s">
        <v>792</v>
      </c>
      <c r="G2200" s="58">
        <v>4500000</v>
      </c>
      <c r="H2200" s="59">
        <v>0</v>
      </c>
      <c r="I2200" s="59">
        <f t="shared" si="68"/>
        <v>0</v>
      </c>
    </row>
    <row r="2201" spans="1:9" customFormat="1" ht="23" x14ac:dyDescent="0.35">
      <c r="A2201" s="63">
        <f t="shared" si="69"/>
        <v>2200</v>
      </c>
      <c r="B2201" s="54" t="s">
        <v>5250</v>
      </c>
      <c r="C2201" s="55" t="s">
        <v>5251</v>
      </c>
      <c r="D2201" s="54" t="s">
        <v>4387</v>
      </c>
      <c r="E2201" s="56">
        <v>0</v>
      </c>
      <c r="F2201" s="57" t="s">
        <v>1217</v>
      </c>
      <c r="G2201" s="58">
        <v>269000</v>
      </c>
      <c r="H2201" s="59">
        <v>405000</v>
      </c>
      <c r="I2201" s="59">
        <f t="shared" si="68"/>
        <v>0</v>
      </c>
    </row>
    <row r="2202" spans="1:9" customFormat="1" ht="23" x14ac:dyDescent="0.35">
      <c r="A2202" s="63">
        <f t="shared" si="69"/>
        <v>2201</v>
      </c>
      <c r="B2202" s="54" t="s">
        <v>5252</v>
      </c>
      <c r="C2202" s="55" t="s">
        <v>5253</v>
      </c>
      <c r="D2202" s="54" t="s">
        <v>4387</v>
      </c>
      <c r="E2202" s="56">
        <v>0</v>
      </c>
      <c r="F2202" s="57" t="s">
        <v>1217</v>
      </c>
      <c r="G2202" s="58">
        <v>269000</v>
      </c>
      <c r="H2202" s="59">
        <v>405000</v>
      </c>
      <c r="I2202" s="59">
        <f t="shared" si="68"/>
        <v>0</v>
      </c>
    </row>
    <row r="2203" spans="1:9" customFormat="1" x14ac:dyDescent="0.35">
      <c r="A2203" s="63">
        <f t="shared" si="69"/>
        <v>2202</v>
      </c>
      <c r="B2203" s="54" t="s">
        <v>5254</v>
      </c>
      <c r="C2203" s="55" t="s">
        <v>5255</v>
      </c>
      <c r="D2203" s="54" t="s">
        <v>4387</v>
      </c>
      <c r="E2203" s="56">
        <v>0</v>
      </c>
      <c r="F2203" s="57" t="s">
        <v>792</v>
      </c>
      <c r="G2203" s="58">
        <v>150</v>
      </c>
      <c r="H2203" s="59">
        <v>150</v>
      </c>
      <c r="I2203" s="59">
        <f t="shared" si="68"/>
        <v>0</v>
      </c>
    </row>
    <row r="2204" spans="1:9" customFormat="1" x14ac:dyDescent="0.35">
      <c r="A2204" s="63">
        <f t="shared" si="69"/>
        <v>2203</v>
      </c>
      <c r="B2204" s="54" t="s">
        <v>5256</v>
      </c>
      <c r="C2204" s="55" t="s">
        <v>5257</v>
      </c>
      <c r="D2204" s="54" t="s">
        <v>4387</v>
      </c>
      <c r="E2204" s="56">
        <v>0</v>
      </c>
      <c r="F2204" s="57" t="s">
        <v>792</v>
      </c>
      <c r="G2204" s="58">
        <v>200</v>
      </c>
      <c r="H2204" s="59">
        <v>200</v>
      </c>
      <c r="I2204" s="59">
        <f t="shared" si="68"/>
        <v>0</v>
      </c>
    </row>
    <row r="2205" spans="1:9" customFormat="1" x14ac:dyDescent="0.35">
      <c r="A2205" s="63">
        <f t="shared" si="69"/>
        <v>2204</v>
      </c>
      <c r="B2205" s="54" t="s">
        <v>5258</v>
      </c>
      <c r="C2205" s="55" t="s">
        <v>5259</v>
      </c>
      <c r="D2205" s="54" t="s">
        <v>4387</v>
      </c>
      <c r="E2205" s="56">
        <v>0</v>
      </c>
      <c r="F2205" s="57" t="s">
        <v>792</v>
      </c>
      <c r="G2205" s="58">
        <v>250</v>
      </c>
      <c r="H2205" s="59">
        <v>250</v>
      </c>
      <c r="I2205" s="59">
        <f t="shared" si="68"/>
        <v>0</v>
      </c>
    </row>
    <row r="2206" spans="1:9" customFormat="1" x14ac:dyDescent="0.35">
      <c r="A2206" s="63">
        <f t="shared" si="69"/>
        <v>2205</v>
      </c>
      <c r="B2206" s="54" t="s">
        <v>5260</v>
      </c>
      <c r="C2206" s="55" t="s">
        <v>5261</v>
      </c>
      <c r="D2206" s="54" t="s">
        <v>4387</v>
      </c>
      <c r="E2206" s="56">
        <v>0</v>
      </c>
      <c r="F2206" s="57" t="s">
        <v>792</v>
      </c>
      <c r="G2206" s="58">
        <v>66000</v>
      </c>
      <c r="H2206" s="59">
        <v>97100</v>
      </c>
      <c r="I2206" s="59">
        <f t="shared" si="68"/>
        <v>0</v>
      </c>
    </row>
    <row r="2207" spans="1:9" customFormat="1" x14ac:dyDescent="0.35">
      <c r="A2207" s="63">
        <f t="shared" si="69"/>
        <v>2206</v>
      </c>
      <c r="B2207" s="54" t="s">
        <v>5262</v>
      </c>
      <c r="C2207" s="55" t="s">
        <v>5263</v>
      </c>
      <c r="D2207" s="54" t="s">
        <v>4387</v>
      </c>
      <c r="E2207" s="56">
        <v>0</v>
      </c>
      <c r="F2207" s="57" t="s">
        <v>792</v>
      </c>
      <c r="G2207" s="58">
        <v>66000</v>
      </c>
      <c r="H2207" s="59">
        <v>97100</v>
      </c>
      <c r="I2207" s="59">
        <f t="shared" si="68"/>
        <v>0</v>
      </c>
    </row>
    <row r="2208" spans="1:9" customFormat="1" x14ac:dyDescent="0.35">
      <c r="A2208" s="63">
        <f t="shared" si="69"/>
        <v>2207</v>
      </c>
      <c r="B2208" s="54" t="s">
        <v>5264</v>
      </c>
      <c r="C2208" s="55" t="s">
        <v>5265</v>
      </c>
      <c r="D2208" s="54" t="s">
        <v>4387</v>
      </c>
      <c r="E2208" s="56">
        <v>0</v>
      </c>
      <c r="F2208" s="57" t="s">
        <v>792</v>
      </c>
      <c r="G2208" s="58">
        <v>29800</v>
      </c>
      <c r="H2208" s="59">
        <v>65700</v>
      </c>
      <c r="I2208" s="59">
        <f t="shared" si="68"/>
        <v>0</v>
      </c>
    </row>
    <row r="2209" spans="1:9" customFormat="1" x14ac:dyDescent="0.35">
      <c r="A2209" s="63">
        <f t="shared" si="69"/>
        <v>2208</v>
      </c>
      <c r="B2209" s="54" t="s">
        <v>5266</v>
      </c>
      <c r="C2209" s="55" t="s">
        <v>5267</v>
      </c>
      <c r="D2209" s="54" t="s">
        <v>4387</v>
      </c>
      <c r="E2209" s="56">
        <v>0</v>
      </c>
      <c r="F2209" s="57" t="s">
        <v>792</v>
      </c>
      <c r="G2209" s="58">
        <v>8000</v>
      </c>
      <c r="H2209" s="59">
        <v>8000</v>
      </c>
      <c r="I2209" s="59">
        <f t="shared" si="68"/>
        <v>0</v>
      </c>
    </row>
    <row r="2210" spans="1:9" customFormat="1" x14ac:dyDescent="0.35">
      <c r="A2210" s="63">
        <f t="shared" si="69"/>
        <v>2209</v>
      </c>
      <c r="B2210" s="54" t="s">
        <v>5268</v>
      </c>
      <c r="C2210" s="55" t="s">
        <v>5269</v>
      </c>
      <c r="D2210" s="54" t="s">
        <v>4387</v>
      </c>
      <c r="E2210" s="56">
        <v>0</v>
      </c>
      <c r="F2210" s="57" t="s">
        <v>792</v>
      </c>
      <c r="G2210" s="58">
        <v>30000</v>
      </c>
      <c r="H2210" s="59">
        <v>30000</v>
      </c>
      <c r="I2210" s="59">
        <f t="shared" si="68"/>
        <v>0</v>
      </c>
    </row>
    <row r="2211" spans="1:9" customFormat="1" x14ac:dyDescent="0.35">
      <c r="A2211" s="63">
        <f t="shared" si="69"/>
        <v>2210</v>
      </c>
      <c r="B2211" s="54" t="s">
        <v>5270</v>
      </c>
      <c r="C2211" s="55" t="s">
        <v>5271</v>
      </c>
      <c r="D2211" s="54" t="s">
        <v>4387</v>
      </c>
      <c r="E2211" s="56">
        <v>0</v>
      </c>
      <c r="F2211" s="57" t="s">
        <v>878</v>
      </c>
      <c r="G2211" s="58">
        <v>1200000</v>
      </c>
      <c r="H2211" s="59">
        <v>1764000</v>
      </c>
      <c r="I2211" s="59">
        <f t="shared" si="68"/>
        <v>0</v>
      </c>
    </row>
    <row r="2212" spans="1:9" customFormat="1" x14ac:dyDescent="0.35">
      <c r="A2212" s="63">
        <f t="shared" si="69"/>
        <v>2211</v>
      </c>
      <c r="B2212" s="54" t="s">
        <v>5272</v>
      </c>
      <c r="C2212" s="55" t="s">
        <v>5273</v>
      </c>
      <c r="D2212" s="54" t="s">
        <v>4387</v>
      </c>
      <c r="E2212" s="56">
        <v>0</v>
      </c>
      <c r="F2212" s="57" t="s">
        <v>792</v>
      </c>
      <c r="G2212" s="58">
        <v>30000</v>
      </c>
      <c r="H2212" s="59">
        <v>30000</v>
      </c>
      <c r="I2212" s="59">
        <f t="shared" si="68"/>
        <v>0</v>
      </c>
    </row>
    <row r="2213" spans="1:9" customFormat="1" x14ac:dyDescent="0.35">
      <c r="A2213" s="63">
        <f t="shared" si="69"/>
        <v>2212</v>
      </c>
      <c r="B2213" s="54" t="s">
        <v>5274</v>
      </c>
      <c r="C2213" s="55" t="s">
        <v>5275</v>
      </c>
      <c r="D2213" s="54" t="s">
        <v>4387</v>
      </c>
      <c r="E2213" s="56">
        <v>0</v>
      </c>
      <c r="F2213" s="57" t="s">
        <v>792</v>
      </c>
      <c r="G2213" s="58">
        <v>75000</v>
      </c>
      <c r="H2213" s="59">
        <v>75000</v>
      </c>
      <c r="I2213" s="59">
        <f t="shared" si="68"/>
        <v>0</v>
      </c>
    </row>
    <row r="2214" spans="1:9" customFormat="1" x14ac:dyDescent="0.35">
      <c r="A2214" s="63">
        <f t="shared" si="69"/>
        <v>2213</v>
      </c>
      <c r="B2214" s="54" t="s">
        <v>5276</v>
      </c>
      <c r="C2214" s="55" t="s">
        <v>5277</v>
      </c>
      <c r="D2214" s="54" t="s">
        <v>4387</v>
      </c>
      <c r="E2214" s="56">
        <v>0</v>
      </c>
      <c r="F2214" s="57" t="s">
        <v>792</v>
      </c>
      <c r="G2214" s="58">
        <v>65000</v>
      </c>
      <c r="H2214" s="59">
        <v>65000</v>
      </c>
      <c r="I2214" s="59">
        <f t="shared" si="68"/>
        <v>0</v>
      </c>
    </row>
    <row r="2215" spans="1:9" customFormat="1" x14ac:dyDescent="0.35">
      <c r="A2215" s="63">
        <f t="shared" si="69"/>
        <v>2214</v>
      </c>
      <c r="B2215" s="54" t="s">
        <v>5278</v>
      </c>
      <c r="C2215" s="55" t="s">
        <v>5279</v>
      </c>
      <c r="D2215" s="54" t="s">
        <v>4387</v>
      </c>
      <c r="E2215" s="56">
        <v>0</v>
      </c>
      <c r="F2215" s="57" t="s">
        <v>792</v>
      </c>
      <c r="G2215" s="58">
        <v>25000</v>
      </c>
      <c r="H2215" s="59">
        <v>25000</v>
      </c>
      <c r="I2215" s="59">
        <f t="shared" si="68"/>
        <v>0</v>
      </c>
    </row>
    <row r="2216" spans="1:9" customFormat="1" x14ac:dyDescent="0.35">
      <c r="A2216" s="63">
        <f t="shared" si="69"/>
        <v>2215</v>
      </c>
      <c r="B2216" s="54" t="s">
        <v>5280</v>
      </c>
      <c r="C2216" s="55" t="s">
        <v>5281</v>
      </c>
      <c r="D2216" s="54" t="s">
        <v>4387</v>
      </c>
      <c r="E2216" s="56">
        <v>0</v>
      </c>
      <c r="F2216" s="57" t="s">
        <v>792</v>
      </c>
      <c r="G2216" s="58">
        <v>153000</v>
      </c>
      <c r="H2216" s="59">
        <v>229500</v>
      </c>
      <c r="I2216" s="59">
        <f t="shared" si="68"/>
        <v>0</v>
      </c>
    </row>
    <row r="2217" spans="1:9" customFormat="1" x14ac:dyDescent="0.35">
      <c r="A2217" s="63">
        <f t="shared" si="69"/>
        <v>2216</v>
      </c>
      <c r="B2217" s="54" t="s">
        <v>5282</v>
      </c>
      <c r="C2217" s="55" t="s">
        <v>5283</v>
      </c>
      <c r="D2217" s="54" t="s">
        <v>4387</v>
      </c>
      <c r="E2217" s="56">
        <v>0</v>
      </c>
      <c r="F2217" s="57" t="s">
        <v>792</v>
      </c>
      <c r="G2217" s="58">
        <v>32300</v>
      </c>
      <c r="H2217" s="59">
        <v>64500</v>
      </c>
      <c r="I2217" s="59">
        <f t="shared" si="68"/>
        <v>0</v>
      </c>
    </row>
    <row r="2218" spans="1:9" customFormat="1" x14ac:dyDescent="0.35">
      <c r="A2218" s="63">
        <f t="shared" si="69"/>
        <v>2217</v>
      </c>
      <c r="B2218" s="54" t="s">
        <v>5284</v>
      </c>
      <c r="C2218" s="55" t="s">
        <v>5285</v>
      </c>
      <c r="D2218" s="54" t="s">
        <v>4387</v>
      </c>
      <c r="E2218" s="56">
        <v>0</v>
      </c>
      <c r="F2218" s="57" t="s">
        <v>844</v>
      </c>
      <c r="G2218" s="58">
        <v>367000</v>
      </c>
      <c r="H2218" s="59">
        <v>552000</v>
      </c>
      <c r="I2218" s="59">
        <f t="shared" si="68"/>
        <v>0</v>
      </c>
    </row>
    <row r="2219" spans="1:9" customFormat="1" x14ac:dyDescent="0.35">
      <c r="A2219" s="63">
        <f t="shared" si="69"/>
        <v>2218</v>
      </c>
      <c r="B2219" s="54" t="s">
        <v>5286</v>
      </c>
      <c r="C2219" s="55" t="s">
        <v>5287</v>
      </c>
      <c r="D2219" s="54" t="s">
        <v>4387</v>
      </c>
      <c r="E2219" s="56">
        <v>0</v>
      </c>
      <c r="F2219" s="57" t="s">
        <v>792</v>
      </c>
      <c r="G2219" s="58">
        <v>64000</v>
      </c>
      <c r="H2219" s="59">
        <v>97200</v>
      </c>
      <c r="I2219" s="59">
        <f t="shared" si="68"/>
        <v>0</v>
      </c>
    </row>
    <row r="2220" spans="1:9" customFormat="1" x14ac:dyDescent="0.35">
      <c r="A2220" s="63">
        <f t="shared" si="69"/>
        <v>2219</v>
      </c>
      <c r="B2220" s="54" t="s">
        <v>5288</v>
      </c>
      <c r="C2220" s="55" t="s">
        <v>5289</v>
      </c>
      <c r="D2220" s="54" t="s">
        <v>4387</v>
      </c>
      <c r="E2220" s="56">
        <v>0</v>
      </c>
      <c r="F2220" s="57" t="s">
        <v>792</v>
      </c>
      <c r="G2220" s="58">
        <v>0</v>
      </c>
      <c r="H2220" s="59">
        <v>426300</v>
      </c>
      <c r="I2220" s="59">
        <f t="shared" si="68"/>
        <v>0</v>
      </c>
    </row>
    <row r="2221" spans="1:9" customFormat="1" x14ac:dyDescent="0.35">
      <c r="A2221" s="63">
        <f t="shared" si="69"/>
        <v>2220</v>
      </c>
      <c r="B2221" s="54" t="s">
        <v>5290</v>
      </c>
      <c r="C2221" s="55" t="s">
        <v>5291</v>
      </c>
      <c r="D2221" s="54" t="s">
        <v>4387</v>
      </c>
      <c r="E2221" s="56">
        <v>0</v>
      </c>
      <c r="F2221" s="57" t="s">
        <v>792</v>
      </c>
      <c r="G2221" s="58">
        <v>0</v>
      </c>
      <c r="H2221" s="59">
        <v>426300</v>
      </c>
      <c r="I2221" s="59">
        <f t="shared" si="68"/>
        <v>0</v>
      </c>
    </row>
    <row r="2222" spans="1:9" customFormat="1" x14ac:dyDescent="0.35">
      <c r="A2222" s="63">
        <f t="shared" si="69"/>
        <v>2221</v>
      </c>
      <c r="B2222" s="54" t="s">
        <v>5292</v>
      </c>
      <c r="C2222" s="55" t="s">
        <v>5293</v>
      </c>
      <c r="D2222" s="54" t="s">
        <v>4387</v>
      </c>
      <c r="E2222" s="56">
        <v>0</v>
      </c>
      <c r="F2222" s="57" t="s">
        <v>792</v>
      </c>
      <c r="G2222" s="58">
        <v>0</v>
      </c>
      <c r="H2222" s="59">
        <v>82500</v>
      </c>
      <c r="I2222" s="59">
        <f t="shared" si="68"/>
        <v>0</v>
      </c>
    </row>
    <row r="2223" spans="1:9" customFormat="1" x14ac:dyDescent="0.35">
      <c r="A2223" s="63">
        <f t="shared" si="69"/>
        <v>2222</v>
      </c>
      <c r="B2223" s="54" t="s">
        <v>5294</v>
      </c>
      <c r="C2223" s="55" t="s">
        <v>5295</v>
      </c>
      <c r="D2223" s="54" t="s">
        <v>4387</v>
      </c>
      <c r="E2223" s="56">
        <v>0</v>
      </c>
      <c r="F2223" s="57" t="s">
        <v>792</v>
      </c>
      <c r="G2223" s="58">
        <v>10000</v>
      </c>
      <c r="H2223" s="59">
        <v>10000</v>
      </c>
      <c r="I2223" s="59">
        <f t="shared" si="68"/>
        <v>0</v>
      </c>
    </row>
    <row r="2224" spans="1:9" customFormat="1" x14ac:dyDescent="0.35">
      <c r="A2224" s="63">
        <f t="shared" si="69"/>
        <v>2223</v>
      </c>
      <c r="B2224" s="54" t="s">
        <v>5296</v>
      </c>
      <c r="C2224" s="55" t="s">
        <v>5297</v>
      </c>
      <c r="D2224" s="54" t="s">
        <v>4387</v>
      </c>
      <c r="E2224" s="56">
        <v>0</v>
      </c>
      <c r="F2224" s="57" t="s">
        <v>792</v>
      </c>
      <c r="G2224" s="58">
        <v>35000</v>
      </c>
      <c r="H2224" s="59">
        <v>35000</v>
      </c>
      <c r="I2224" s="59">
        <f t="shared" si="68"/>
        <v>0</v>
      </c>
    </row>
    <row r="2225" spans="1:9" customFormat="1" x14ac:dyDescent="0.35">
      <c r="A2225" s="63">
        <f t="shared" si="69"/>
        <v>2224</v>
      </c>
      <c r="B2225" s="54" t="s">
        <v>5298</v>
      </c>
      <c r="C2225" s="55" t="s">
        <v>5299</v>
      </c>
      <c r="D2225" s="54" t="s">
        <v>4387</v>
      </c>
      <c r="E2225" s="56">
        <v>0</v>
      </c>
      <c r="F2225" s="57" t="s">
        <v>792</v>
      </c>
      <c r="G2225" s="58">
        <v>35000</v>
      </c>
      <c r="H2225" s="59">
        <v>35000</v>
      </c>
      <c r="I2225" s="59">
        <f t="shared" si="68"/>
        <v>0</v>
      </c>
    </row>
    <row r="2226" spans="1:9" customFormat="1" x14ac:dyDescent="0.35">
      <c r="A2226" s="63">
        <f t="shared" si="69"/>
        <v>2225</v>
      </c>
      <c r="B2226" s="54" t="s">
        <v>5300</v>
      </c>
      <c r="C2226" s="55" t="s">
        <v>5301</v>
      </c>
      <c r="D2226" s="54" t="s">
        <v>4387</v>
      </c>
      <c r="E2226" s="56">
        <v>0</v>
      </c>
      <c r="F2226" s="57" t="s">
        <v>792</v>
      </c>
      <c r="G2226" s="58">
        <v>35000</v>
      </c>
      <c r="H2226" s="59">
        <v>35000</v>
      </c>
      <c r="I2226" s="59">
        <f t="shared" si="68"/>
        <v>0</v>
      </c>
    </row>
    <row r="2227" spans="1:9" customFormat="1" x14ac:dyDescent="0.35">
      <c r="A2227" s="63">
        <f t="shared" si="69"/>
        <v>2226</v>
      </c>
      <c r="B2227" s="54" t="s">
        <v>5302</v>
      </c>
      <c r="C2227" s="55" t="s">
        <v>5303</v>
      </c>
      <c r="D2227" s="54" t="s">
        <v>4387</v>
      </c>
      <c r="E2227" s="56">
        <v>0</v>
      </c>
      <c r="F2227" s="57" t="s">
        <v>792</v>
      </c>
      <c r="G2227" s="58">
        <v>32500</v>
      </c>
      <c r="H2227" s="59">
        <v>32500</v>
      </c>
      <c r="I2227" s="59">
        <f t="shared" si="68"/>
        <v>0</v>
      </c>
    </row>
    <row r="2228" spans="1:9" customFormat="1" x14ac:dyDescent="0.35">
      <c r="A2228" s="63">
        <f t="shared" si="69"/>
        <v>2227</v>
      </c>
      <c r="B2228" s="54" t="s">
        <v>5304</v>
      </c>
      <c r="C2228" s="55" t="s">
        <v>5305</v>
      </c>
      <c r="D2228" s="54" t="s">
        <v>4387</v>
      </c>
      <c r="E2228" s="56">
        <v>0</v>
      </c>
      <c r="F2228" s="57" t="s">
        <v>792</v>
      </c>
      <c r="G2228" s="58">
        <v>95000</v>
      </c>
      <c r="H2228" s="59">
        <v>95000</v>
      </c>
      <c r="I2228" s="59">
        <f t="shared" si="68"/>
        <v>0</v>
      </c>
    </row>
    <row r="2229" spans="1:9" customFormat="1" x14ac:dyDescent="0.35">
      <c r="A2229" s="63">
        <f t="shared" si="69"/>
        <v>2228</v>
      </c>
      <c r="B2229" s="54" t="s">
        <v>5306</v>
      </c>
      <c r="C2229" s="55" t="s">
        <v>5307</v>
      </c>
      <c r="D2229" s="54" t="s">
        <v>4387</v>
      </c>
      <c r="E2229" s="56">
        <v>0</v>
      </c>
      <c r="F2229" s="57" t="s">
        <v>815</v>
      </c>
      <c r="G2229" s="58">
        <v>0</v>
      </c>
      <c r="H2229" s="59">
        <v>0</v>
      </c>
      <c r="I2229" s="59">
        <f t="shared" si="68"/>
        <v>0</v>
      </c>
    </row>
    <row r="2230" spans="1:9" customFormat="1" ht="23" x14ac:dyDescent="0.35">
      <c r="A2230" s="63">
        <f t="shared" si="69"/>
        <v>2229</v>
      </c>
      <c r="B2230" s="54" t="s">
        <v>5308</v>
      </c>
      <c r="C2230" s="55" t="s">
        <v>5309</v>
      </c>
      <c r="D2230" s="54" t="s">
        <v>4387</v>
      </c>
      <c r="E2230" s="56">
        <v>0</v>
      </c>
      <c r="F2230" s="57" t="s">
        <v>792</v>
      </c>
      <c r="G2230" s="58">
        <v>295000</v>
      </c>
      <c r="H2230" s="59">
        <v>442500</v>
      </c>
      <c r="I2230" s="59">
        <f t="shared" si="68"/>
        <v>0</v>
      </c>
    </row>
    <row r="2231" spans="1:9" customFormat="1" x14ac:dyDescent="0.35">
      <c r="A2231" s="63">
        <f t="shared" si="69"/>
        <v>2230</v>
      </c>
      <c r="B2231" s="54" t="s">
        <v>5310</v>
      </c>
      <c r="C2231" s="55" t="s">
        <v>5311</v>
      </c>
      <c r="D2231" s="54" t="s">
        <v>4387</v>
      </c>
      <c r="E2231" s="56">
        <v>0</v>
      </c>
      <c r="F2231" s="57" t="s">
        <v>977</v>
      </c>
      <c r="G2231" s="58">
        <v>77000</v>
      </c>
      <c r="H2231" s="59">
        <v>77000</v>
      </c>
      <c r="I2231" s="59">
        <f t="shared" si="68"/>
        <v>0</v>
      </c>
    </row>
    <row r="2232" spans="1:9" customFormat="1" x14ac:dyDescent="0.35">
      <c r="A2232" s="63">
        <f t="shared" si="69"/>
        <v>2231</v>
      </c>
      <c r="B2232" s="54" t="s">
        <v>5312</v>
      </c>
      <c r="C2232" s="55" t="s">
        <v>5313</v>
      </c>
      <c r="D2232" s="54" t="s">
        <v>4387</v>
      </c>
      <c r="E2232" s="56">
        <v>0</v>
      </c>
      <c r="F2232" s="57" t="s">
        <v>844</v>
      </c>
      <c r="G2232" s="58">
        <v>500000</v>
      </c>
      <c r="H2232" s="59">
        <v>975000</v>
      </c>
      <c r="I2232" s="59">
        <f t="shared" si="68"/>
        <v>0</v>
      </c>
    </row>
    <row r="2233" spans="1:9" customFormat="1" x14ac:dyDescent="0.35">
      <c r="A2233" s="63">
        <f t="shared" si="69"/>
        <v>2232</v>
      </c>
      <c r="B2233" s="54" t="s">
        <v>5314</v>
      </c>
      <c r="C2233" s="55" t="s">
        <v>5315</v>
      </c>
      <c r="D2233" s="54" t="s">
        <v>4387</v>
      </c>
      <c r="E2233" s="56">
        <v>0</v>
      </c>
      <c r="F2233" s="57" t="s">
        <v>792</v>
      </c>
      <c r="G2233" s="58">
        <v>15600</v>
      </c>
      <c r="H2233" s="59">
        <v>23400</v>
      </c>
      <c r="I2233" s="59">
        <f t="shared" si="68"/>
        <v>0</v>
      </c>
    </row>
    <row r="2234" spans="1:9" customFormat="1" x14ac:dyDescent="0.35">
      <c r="A2234" s="63">
        <f t="shared" si="69"/>
        <v>2233</v>
      </c>
      <c r="B2234" s="54" t="s">
        <v>5316</v>
      </c>
      <c r="C2234" s="55" t="s">
        <v>5317</v>
      </c>
      <c r="D2234" s="54" t="s">
        <v>4387</v>
      </c>
      <c r="E2234" s="56">
        <v>0</v>
      </c>
      <c r="F2234" s="57" t="s">
        <v>792</v>
      </c>
      <c r="G2234" s="58">
        <v>164000</v>
      </c>
      <c r="H2234" s="59">
        <v>252000</v>
      </c>
      <c r="I2234" s="59">
        <f t="shared" si="68"/>
        <v>0</v>
      </c>
    </row>
    <row r="2235" spans="1:9" customFormat="1" ht="23" x14ac:dyDescent="0.35">
      <c r="A2235" s="63">
        <f t="shared" si="69"/>
        <v>2234</v>
      </c>
      <c r="B2235" s="54" t="s">
        <v>5318</v>
      </c>
      <c r="C2235" s="55" t="s">
        <v>5319</v>
      </c>
      <c r="D2235" s="54" t="s">
        <v>4387</v>
      </c>
      <c r="E2235" s="56">
        <v>0</v>
      </c>
      <c r="F2235" s="57" t="s">
        <v>792</v>
      </c>
      <c r="G2235" s="58">
        <v>3667500</v>
      </c>
      <c r="H2235" s="59">
        <v>5481000</v>
      </c>
      <c r="I2235" s="59">
        <f t="shared" si="68"/>
        <v>0</v>
      </c>
    </row>
    <row r="2236" spans="1:9" customFormat="1" x14ac:dyDescent="0.35">
      <c r="A2236" s="63">
        <f t="shared" si="69"/>
        <v>2235</v>
      </c>
      <c r="B2236" s="54" t="s">
        <v>5320</v>
      </c>
      <c r="C2236" s="55" t="s">
        <v>5321</v>
      </c>
      <c r="D2236" s="54" t="s">
        <v>4387</v>
      </c>
      <c r="E2236" s="56">
        <v>0</v>
      </c>
      <c r="F2236" s="57" t="s">
        <v>792</v>
      </c>
      <c r="G2236" s="58">
        <v>70000</v>
      </c>
      <c r="H2236" s="59">
        <v>102500</v>
      </c>
      <c r="I2236" s="59">
        <f t="shared" si="68"/>
        <v>0</v>
      </c>
    </row>
    <row r="2237" spans="1:9" customFormat="1" x14ac:dyDescent="0.35">
      <c r="A2237" s="63">
        <f t="shared" si="69"/>
        <v>2236</v>
      </c>
      <c r="B2237" s="54" t="s">
        <v>5322</v>
      </c>
      <c r="C2237" s="55" t="s">
        <v>5323</v>
      </c>
      <c r="D2237" s="54" t="s">
        <v>4387</v>
      </c>
      <c r="E2237" s="56">
        <v>0</v>
      </c>
      <c r="F2237" s="57" t="s">
        <v>792</v>
      </c>
      <c r="G2237" s="58">
        <v>14000</v>
      </c>
      <c r="H2237" s="59">
        <v>14000</v>
      </c>
      <c r="I2237" s="59">
        <f t="shared" si="68"/>
        <v>0</v>
      </c>
    </row>
    <row r="2238" spans="1:9" customFormat="1" x14ac:dyDescent="0.35">
      <c r="A2238" s="63">
        <f t="shared" si="69"/>
        <v>2237</v>
      </c>
      <c r="B2238" s="54" t="s">
        <v>5324</v>
      </c>
      <c r="C2238" s="55" t="s">
        <v>5325</v>
      </c>
      <c r="D2238" s="54" t="s">
        <v>4387</v>
      </c>
      <c r="E2238" s="56">
        <v>0</v>
      </c>
      <c r="F2238" s="57" t="s">
        <v>792</v>
      </c>
      <c r="G2238" s="58">
        <v>0</v>
      </c>
      <c r="H2238" s="59">
        <v>654150</v>
      </c>
      <c r="I2238" s="59">
        <f t="shared" si="68"/>
        <v>0</v>
      </c>
    </row>
    <row r="2239" spans="1:9" customFormat="1" x14ac:dyDescent="0.35">
      <c r="A2239" s="63">
        <f t="shared" si="69"/>
        <v>2238</v>
      </c>
      <c r="B2239" s="54" t="s">
        <v>5326</v>
      </c>
      <c r="C2239" s="55" t="s">
        <v>5327</v>
      </c>
      <c r="D2239" s="54" t="s">
        <v>4387</v>
      </c>
      <c r="E2239" s="56">
        <v>0</v>
      </c>
      <c r="F2239" s="57" t="s">
        <v>792</v>
      </c>
      <c r="G2239" s="58">
        <v>85000</v>
      </c>
      <c r="H2239" s="59">
        <v>125000</v>
      </c>
      <c r="I2239" s="59">
        <f t="shared" si="68"/>
        <v>0</v>
      </c>
    </row>
    <row r="2240" spans="1:9" customFormat="1" x14ac:dyDescent="0.35">
      <c r="A2240" s="63">
        <f t="shared" si="69"/>
        <v>2239</v>
      </c>
      <c r="B2240" s="54" t="s">
        <v>5328</v>
      </c>
      <c r="C2240" s="55" t="s">
        <v>5329</v>
      </c>
      <c r="D2240" s="54" t="s">
        <v>4387</v>
      </c>
      <c r="E2240" s="56">
        <v>0</v>
      </c>
      <c r="F2240" s="57" t="s">
        <v>870</v>
      </c>
      <c r="G2240" s="58">
        <v>110000</v>
      </c>
      <c r="H2240" s="59">
        <v>176000</v>
      </c>
      <c r="I2240" s="59">
        <f t="shared" si="68"/>
        <v>0</v>
      </c>
    </row>
    <row r="2241" spans="1:9" customFormat="1" x14ac:dyDescent="0.35">
      <c r="A2241" s="63">
        <f t="shared" si="69"/>
        <v>2240</v>
      </c>
      <c r="B2241" s="54" t="s">
        <v>5330</v>
      </c>
      <c r="C2241" s="55" t="s">
        <v>5331</v>
      </c>
      <c r="D2241" s="54" t="s">
        <v>4387</v>
      </c>
      <c r="E2241" s="56">
        <v>0</v>
      </c>
      <c r="F2241" s="57" t="s">
        <v>792</v>
      </c>
      <c r="G2241" s="58">
        <v>6000</v>
      </c>
      <c r="H2241" s="59">
        <v>12350</v>
      </c>
      <c r="I2241" s="59">
        <f t="shared" si="68"/>
        <v>0</v>
      </c>
    </row>
    <row r="2242" spans="1:9" customFormat="1" x14ac:dyDescent="0.35">
      <c r="A2242" s="63">
        <f t="shared" si="69"/>
        <v>2241</v>
      </c>
      <c r="B2242" s="54" t="s">
        <v>5332</v>
      </c>
      <c r="C2242" s="55" t="s">
        <v>5333</v>
      </c>
      <c r="D2242" s="54" t="s">
        <v>4387</v>
      </c>
      <c r="E2242" s="56">
        <v>0</v>
      </c>
      <c r="F2242" s="57" t="s">
        <v>792</v>
      </c>
      <c r="G2242" s="58">
        <v>6500</v>
      </c>
      <c r="H2242" s="59">
        <v>6500</v>
      </c>
      <c r="I2242" s="59">
        <f t="shared" si="68"/>
        <v>0</v>
      </c>
    </row>
    <row r="2243" spans="1:9" customFormat="1" x14ac:dyDescent="0.35">
      <c r="A2243" s="63">
        <f t="shared" si="69"/>
        <v>2242</v>
      </c>
      <c r="B2243" s="54" t="s">
        <v>5334</v>
      </c>
      <c r="C2243" s="55" t="s">
        <v>5335</v>
      </c>
      <c r="D2243" s="54" t="s">
        <v>4387</v>
      </c>
      <c r="E2243" s="56">
        <v>0</v>
      </c>
      <c r="F2243" s="57" t="s">
        <v>792</v>
      </c>
      <c r="G2243" s="58">
        <v>5000</v>
      </c>
      <c r="H2243" s="59">
        <v>5000</v>
      </c>
      <c r="I2243" s="59">
        <f t="shared" ref="I2243:I2306" si="70">H2243*E2243</f>
        <v>0</v>
      </c>
    </row>
    <row r="2244" spans="1:9" customFormat="1" x14ac:dyDescent="0.35">
      <c r="A2244" s="63">
        <f t="shared" ref="A2244:A2307" si="71">A2243+1</f>
        <v>2243</v>
      </c>
      <c r="B2244" s="54" t="s">
        <v>5336</v>
      </c>
      <c r="C2244" s="55" t="s">
        <v>5337</v>
      </c>
      <c r="D2244" s="54" t="s">
        <v>4387</v>
      </c>
      <c r="E2244" s="56">
        <v>0</v>
      </c>
      <c r="F2244" s="57" t="s">
        <v>792</v>
      </c>
      <c r="G2244" s="58">
        <v>31003.17</v>
      </c>
      <c r="H2244" s="59">
        <v>31003.16</v>
      </c>
      <c r="I2244" s="59">
        <f t="shared" si="70"/>
        <v>0</v>
      </c>
    </row>
    <row r="2245" spans="1:9" customFormat="1" x14ac:dyDescent="0.35">
      <c r="A2245" s="63">
        <f t="shared" si="71"/>
        <v>2244</v>
      </c>
      <c r="B2245" s="54" t="s">
        <v>5338</v>
      </c>
      <c r="C2245" s="55" t="s">
        <v>5339</v>
      </c>
      <c r="D2245" s="54" t="s">
        <v>4387</v>
      </c>
      <c r="E2245" s="56">
        <v>0</v>
      </c>
      <c r="F2245" s="57" t="s">
        <v>792</v>
      </c>
      <c r="G2245" s="58">
        <v>39500</v>
      </c>
      <c r="H2245" s="59">
        <v>90000</v>
      </c>
      <c r="I2245" s="59">
        <f t="shared" si="70"/>
        <v>0</v>
      </c>
    </row>
    <row r="2246" spans="1:9" customFormat="1" x14ac:dyDescent="0.35">
      <c r="A2246" s="63">
        <f t="shared" si="71"/>
        <v>2245</v>
      </c>
      <c r="B2246" s="54" t="s">
        <v>5340</v>
      </c>
      <c r="C2246" s="55" t="s">
        <v>5341</v>
      </c>
      <c r="D2246" s="54" t="s">
        <v>4387</v>
      </c>
      <c r="E2246" s="56">
        <v>0</v>
      </c>
      <c r="F2246" s="57" t="s">
        <v>792</v>
      </c>
      <c r="G2246" s="58">
        <v>9800</v>
      </c>
      <c r="H2246" s="59">
        <v>14700</v>
      </c>
      <c r="I2246" s="59">
        <f t="shared" si="70"/>
        <v>0</v>
      </c>
    </row>
    <row r="2247" spans="1:9" customFormat="1" x14ac:dyDescent="0.35">
      <c r="A2247" s="63">
        <f t="shared" si="71"/>
        <v>2246</v>
      </c>
      <c r="B2247" s="54" t="s">
        <v>5342</v>
      </c>
      <c r="C2247" s="55" t="s">
        <v>5343</v>
      </c>
      <c r="D2247" s="54" t="s">
        <v>4387</v>
      </c>
      <c r="E2247" s="56">
        <v>0</v>
      </c>
      <c r="F2247" s="57" t="s">
        <v>792</v>
      </c>
      <c r="G2247" s="58">
        <v>100</v>
      </c>
      <c r="H2247" s="59">
        <v>100</v>
      </c>
      <c r="I2247" s="59">
        <f t="shared" si="70"/>
        <v>0</v>
      </c>
    </row>
    <row r="2248" spans="1:9" customFormat="1" x14ac:dyDescent="0.35">
      <c r="A2248" s="63">
        <f t="shared" si="71"/>
        <v>2247</v>
      </c>
      <c r="B2248" s="54" t="s">
        <v>5344</v>
      </c>
      <c r="C2248" s="55" t="s">
        <v>5345</v>
      </c>
      <c r="D2248" s="54" t="s">
        <v>4387</v>
      </c>
      <c r="E2248" s="56">
        <v>0</v>
      </c>
      <c r="F2248" s="57" t="s">
        <v>792</v>
      </c>
      <c r="G2248" s="58">
        <v>150</v>
      </c>
      <c r="H2248" s="59">
        <v>150</v>
      </c>
      <c r="I2248" s="59">
        <f t="shared" si="70"/>
        <v>0</v>
      </c>
    </row>
    <row r="2249" spans="1:9" customFormat="1" x14ac:dyDescent="0.35">
      <c r="A2249" s="63">
        <f t="shared" si="71"/>
        <v>2248</v>
      </c>
      <c r="B2249" s="54" t="s">
        <v>5346</v>
      </c>
      <c r="C2249" s="55" t="s">
        <v>5347</v>
      </c>
      <c r="D2249" s="54" t="s">
        <v>4387</v>
      </c>
      <c r="E2249" s="56">
        <v>0</v>
      </c>
      <c r="F2249" s="57" t="s">
        <v>792</v>
      </c>
      <c r="G2249" s="58">
        <v>200</v>
      </c>
      <c r="H2249" s="59">
        <v>200</v>
      </c>
      <c r="I2249" s="59">
        <f t="shared" si="70"/>
        <v>0</v>
      </c>
    </row>
    <row r="2250" spans="1:9" customFormat="1" x14ac:dyDescent="0.35">
      <c r="A2250" s="63">
        <f t="shared" si="71"/>
        <v>2249</v>
      </c>
      <c r="B2250" s="54" t="s">
        <v>5348</v>
      </c>
      <c r="C2250" s="55" t="s">
        <v>5349</v>
      </c>
      <c r="D2250" s="54" t="s">
        <v>4387</v>
      </c>
      <c r="E2250" s="56">
        <v>0</v>
      </c>
      <c r="F2250" s="57" t="s">
        <v>792</v>
      </c>
      <c r="G2250" s="58">
        <v>300</v>
      </c>
      <c r="H2250" s="59">
        <v>300</v>
      </c>
      <c r="I2250" s="59">
        <f t="shared" si="70"/>
        <v>0</v>
      </c>
    </row>
    <row r="2251" spans="1:9" customFormat="1" x14ac:dyDescent="0.35">
      <c r="A2251" s="63">
        <f t="shared" si="71"/>
        <v>2250</v>
      </c>
      <c r="B2251" s="54" t="s">
        <v>5350</v>
      </c>
      <c r="C2251" s="55" t="s">
        <v>5351</v>
      </c>
      <c r="D2251" s="54" t="s">
        <v>4387</v>
      </c>
      <c r="E2251" s="56">
        <v>0</v>
      </c>
      <c r="F2251" s="57" t="s">
        <v>792</v>
      </c>
      <c r="G2251" s="58">
        <v>0</v>
      </c>
      <c r="H2251" s="59">
        <v>316</v>
      </c>
      <c r="I2251" s="59">
        <f t="shared" si="70"/>
        <v>0</v>
      </c>
    </row>
    <row r="2252" spans="1:9" customFormat="1" x14ac:dyDescent="0.35">
      <c r="A2252" s="63">
        <f t="shared" si="71"/>
        <v>2251</v>
      </c>
      <c r="B2252" s="54" t="s">
        <v>5352</v>
      </c>
      <c r="C2252" s="55" t="s">
        <v>5353</v>
      </c>
      <c r="D2252" s="54" t="s">
        <v>4387</v>
      </c>
      <c r="E2252" s="56">
        <v>0</v>
      </c>
      <c r="F2252" s="57" t="s">
        <v>792</v>
      </c>
      <c r="G2252" s="58">
        <v>100</v>
      </c>
      <c r="H2252" s="59">
        <v>100</v>
      </c>
      <c r="I2252" s="59">
        <f t="shared" si="70"/>
        <v>0</v>
      </c>
    </row>
    <row r="2253" spans="1:9" customFormat="1" x14ac:dyDescent="0.35">
      <c r="A2253" s="63">
        <f t="shared" si="71"/>
        <v>2252</v>
      </c>
      <c r="B2253" s="54" t="s">
        <v>5354</v>
      </c>
      <c r="C2253" s="55" t="s">
        <v>5355</v>
      </c>
      <c r="D2253" s="54" t="s">
        <v>4387</v>
      </c>
      <c r="E2253" s="56">
        <v>0</v>
      </c>
      <c r="F2253" s="57" t="s">
        <v>792</v>
      </c>
      <c r="G2253" s="58">
        <v>100</v>
      </c>
      <c r="H2253" s="59">
        <v>100</v>
      </c>
      <c r="I2253" s="59">
        <f t="shared" si="70"/>
        <v>0</v>
      </c>
    </row>
    <row r="2254" spans="1:9" customFormat="1" x14ac:dyDescent="0.35">
      <c r="A2254" s="63">
        <f t="shared" si="71"/>
        <v>2253</v>
      </c>
      <c r="B2254" s="54" t="s">
        <v>5356</v>
      </c>
      <c r="C2254" s="55" t="s">
        <v>5357</v>
      </c>
      <c r="D2254" s="54" t="s">
        <v>4387</v>
      </c>
      <c r="E2254" s="56">
        <v>0</v>
      </c>
      <c r="F2254" s="57" t="s">
        <v>792</v>
      </c>
      <c r="G2254" s="58">
        <v>150</v>
      </c>
      <c r="H2254" s="59">
        <v>150</v>
      </c>
      <c r="I2254" s="59">
        <f t="shared" si="70"/>
        <v>0</v>
      </c>
    </row>
    <row r="2255" spans="1:9" customFormat="1" x14ac:dyDescent="0.35">
      <c r="A2255" s="63">
        <f t="shared" si="71"/>
        <v>2254</v>
      </c>
      <c r="B2255" s="54" t="s">
        <v>5358</v>
      </c>
      <c r="C2255" s="55" t="s">
        <v>5359</v>
      </c>
      <c r="D2255" s="54" t="s">
        <v>4387</v>
      </c>
      <c r="E2255" s="56">
        <v>0</v>
      </c>
      <c r="F2255" s="57" t="s">
        <v>792</v>
      </c>
      <c r="G2255" s="58">
        <v>120</v>
      </c>
      <c r="H2255" s="59">
        <v>120</v>
      </c>
      <c r="I2255" s="59">
        <f t="shared" si="70"/>
        <v>0</v>
      </c>
    </row>
    <row r="2256" spans="1:9" customFormat="1" x14ac:dyDescent="0.35">
      <c r="A2256" s="63">
        <f t="shared" si="71"/>
        <v>2255</v>
      </c>
      <c r="B2256" s="54" t="s">
        <v>5360</v>
      </c>
      <c r="C2256" s="55" t="s">
        <v>5361</v>
      </c>
      <c r="D2256" s="54" t="s">
        <v>4387</v>
      </c>
      <c r="E2256" s="56">
        <v>0</v>
      </c>
      <c r="F2256" s="57" t="s">
        <v>792</v>
      </c>
      <c r="G2256" s="58">
        <v>200</v>
      </c>
      <c r="H2256" s="59">
        <v>200</v>
      </c>
      <c r="I2256" s="59">
        <f t="shared" si="70"/>
        <v>0</v>
      </c>
    </row>
    <row r="2257" spans="1:9" customFormat="1" x14ac:dyDescent="0.35">
      <c r="A2257" s="63">
        <f t="shared" si="71"/>
        <v>2256</v>
      </c>
      <c r="B2257" s="54" t="s">
        <v>5362</v>
      </c>
      <c r="C2257" s="55" t="s">
        <v>5363</v>
      </c>
      <c r="D2257" s="54" t="s">
        <v>4387</v>
      </c>
      <c r="E2257" s="56">
        <v>0</v>
      </c>
      <c r="F2257" s="57" t="s">
        <v>792</v>
      </c>
      <c r="G2257" s="58">
        <v>150</v>
      </c>
      <c r="H2257" s="59">
        <v>150</v>
      </c>
      <c r="I2257" s="59">
        <f t="shared" si="70"/>
        <v>0</v>
      </c>
    </row>
    <row r="2258" spans="1:9" customFormat="1" x14ac:dyDescent="0.35">
      <c r="A2258" s="63">
        <f t="shared" si="71"/>
        <v>2257</v>
      </c>
      <c r="B2258" s="54" t="s">
        <v>5364</v>
      </c>
      <c r="C2258" s="55" t="s">
        <v>5365</v>
      </c>
      <c r="D2258" s="54" t="s">
        <v>4387</v>
      </c>
      <c r="E2258" s="56">
        <v>0</v>
      </c>
      <c r="F2258" s="57" t="s">
        <v>792</v>
      </c>
      <c r="G2258" s="58">
        <v>100</v>
      </c>
      <c r="H2258" s="59">
        <v>100</v>
      </c>
      <c r="I2258" s="59">
        <f t="shared" si="70"/>
        <v>0</v>
      </c>
    </row>
    <row r="2259" spans="1:9" customFormat="1" x14ac:dyDescent="0.35">
      <c r="A2259" s="63">
        <f t="shared" si="71"/>
        <v>2258</v>
      </c>
      <c r="B2259" s="54" t="s">
        <v>5366</v>
      </c>
      <c r="C2259" s="55" t="s">
        <v>5367</v>
      </c>
      <c r="D2259" s="54" t="s">
        <v>4387</v>
      </c>
      <c r="E2259" s="56">
        <v>0</v>
      </c>
      <c r="F2259" s="57" t="s">
        <v>792</v>
      </c>
      <c r="G2259" s="58">
        <v>0</v>
      </c>
      <c r="H2259" s="59">
        <v>0</v>
      </c>
      <c r="I2259" s="59">
        <f t="shared" si="70"/>
        <v>0</v>
      </c>
    </row>
    <row r="2260" spans="1:9" customFormat="1" x14ac:dyDescent="0.35">
      <c r="A2260" s="63">
        <f t="shared" si="71"/>
        <v>2259</v>
      </c>
      <c r="B2260" s="54" t="s">
        <v>5368</v>
      </c>
      <c r="C2260" s="55" t="s">
        <v>5369</v>
      </c>
      <c r="D2260" s="54" t="s">
        <v>4387</v>
      </c>
      <c r="E2260" s="56">
        <v>0</v>
      </c>
      <c r="F2260" s="57" t="s">
        <v>792</v>
      </c>
      <c r="G2260" s="58">
        <v>600</v>
      </c>
      <c r="H2260" s="59">
        <v>600</v>
      </c>
      <c r="I2260" s="59">
        <f t="shared" si="70"/>
        <v>0</v>
      </c>
    </row>
    <row r="2261" spans="1:9" customFormat="1" x14ac:dyDescent="0.35">
      <c r="A2261" s="63">
        <f t="shared" si="71"/>
        <v>2260</v>
      </c>
      <c r="B2261" s="54" t="s">
        <v>5370</v>
      </c>
      <c r="C2261" s="55" t="s">
        <v>5371</v>
      </c>
      <c r="D2261" s="54" t="s">
        <v>4387</v>
      </c>
      <c r="E2261" s="56">
        <v>0</v>
      </c>
      <c r="F2261" s="57" t="s">
        <v>792</v>
      </c>
      <c r="G2261" s="58">
        <v>100</v>
      </c>
      <c r="H2261" s="59">
        <v>100</v>
      </c>
      <c r="I2261" s="59">
        <f t="shared" si="70"/>
        <v>0</v>
      </c>
    </row>
    <row r="2262" spans="1:9" customFormat="1" x14ac:dyDescent="0.35">
      <c r="A2262" s="63">
        <f t="shared" si="71"/>
        <v>2261</v>
      </c>
      <c r="B2262" s="54" t="s">
        <v>5372</v>
      </c>
      <c r="C2262" s="55" t="s">
        <v>5373</v>
      </c>
      <c r="D2262" s="54" t="s">
        <v>4387</v>
      </c>
      <c r="E2262" s="56">
        <v>0</v>
      </c>
      <c r="F2262" s="57" t="s">
        <v>792</v>
      </c>
      <c r="G2262" s="58">
        <v>0</v>
      </c>
      <c r="H2262" s="59">
        <v>0</v>
      </c>
      <c r="I2262" s="59">
        <f t="shared" si="70"/>
        <v>0</v>
      </c>
    </row>
    <row r="2263" spans="1:9" customFormat="1" x14ac:dyDescent="0.35">
      <c r="A2263" s="63">
        <f t="shared" si="71"/>
        <v>2262</v>
      </c>
      <c r="B2263" s="54" t="s">
        <v>5374</v>
      </c>
      <c r="C2263" s="55" t="s">
        <v>5375</v>
      </c>
      <c r="D2263" s="54" t="s">
        <v>4387</v>
      </c>
      <c r="E2263" s="56">
        <v>0</v>
      </c>
      <c r="F2263" s="57" t="s">
        <v>792</v>
      </c>
      <c r="G2263" s="58">
        <v>0</v>
      </c>
      <c r="H2263" s="59">
        <v>104</v>
      </c>
      <c r="I2263" s="59">
        <f t="shared" si="70"/>
        <v>0</v>
      </c>
    </row>
    <row r="2264" spans="1:9" customFormat="1" x14ac:dyDescent="0.35">
      <c r="A2264" s="63">
        <f t="shared" si="71"/>
        <v>2263</v>
      </c>
      <c r="B2264" s="54" t="s">
        <v>5376</v>
      </c>
      <c r="C2264" s="55" t="s">
        <v>5377</v>
      </c>
      <c r="D2264" s="54" t="s">
        <v>4387</v>
      </c>
      <c r="E2264" s="56">
        <v>0</v>
      </c>
      <c r="F2264" s="57" t="s">
        <v>792</v>
      </c>
      <c r="G2264" s="58">
        <v>80</v>
      </c>
      <c r="H2264" s="59">
        <v>80</v>
      </c>
      <c r="I2264" s="59">
        <f t="shared" si="70"/>
        <v>0</v>
      </c>
    </row>
    <row r="2265" spans="1:9" customFormat="1" x14ac:dyDescent="0.35">
      <c r="A2265" s="63">
        <f t="shared" si="71"/>
        <v>2264</v>
      </c>
      <c r="B2265" s="54" t="s">
        <v>5378</v>
      </c>
      <c r="C2265" s="55" t="s">
        <v>5379</v>
      </c>
      <c r="D2265" s="54" t="s">
        <v>4387</v>
      </c>
      <c r="E2265" s="56">
        <v>0</v>
      </c>
      <c r="F2265" s="57" t="s">
        <v>792</v>
      </c>
      <c r="G2265" s="58">
        <v>0</v>
      </c>
      <c r="H2265" s="59">
        <v>0</v>
      </c>
      <c r="I2265" s="59">
        <f t="shared" si="70"/>
        <v>0</v>
      </c>
    </row>
    <row r="2266" spans="1:9" customFormat="1" x14ac:dyDescent="0.35">
      <c r="A2266" s="63">
        <f t="shared" si="71"/>
        <v>2265</v>
      </c>
      <c r="B2266" s="54" t="s">
        <v>5380</v>
      </c>
      <c r="C2266" s="55" t="s">
        <v>5381</v>
      </c>
      <c r="D2266" s="54" t="s">
        <v>4387</v>
      </c>
      <c r="E2266" s="56">
        <v>0</v>
      </c>
      <c r="F2266" s="57" t="s">
        <v>792</v>
      </c>
      <c r="G2266" s="58">
        <v>28000</v>
      </c>
      <c r="H2266" s="59">
        <v>28000</v>
      </c>
      <c r="I2266" s="59">
        <f t="shared" si="70"/>
        <v>0</v>
      </c>
    </row>
    <row r="2267" spans="1:9" customFormat="1" x14ac:dyDescent="0.35">
      <c r="A2267" s="63">
        <f t="shared" si="71"/>
        <v>2266</v>
      </c>
      <c r="B2267" s="54" t="s">
        <v>5382</v>
      </c>
      <c r="C2267" s="55" t="s">
        <v>5383</v>
      </c>
      <c r="D2267" s="54" t="s">
        <v>4387</v>
      </c>
      <c r="E2267" s="56">
        <v>0</v>
      </c>
      <c r="F2267" s="57" t="s">
        <v>792</v>
      </c>
      <c r="G2267" s="58">
        <v>163000</v>
      </c>
      <c r="H2267" s="59">
        <v>244500</v>
      </c>
      <c r="I2267" s="59">
        <f t="shared" si="70"/>
        <v>0</v>
      </c>
    </row>
    <row r="2268" spans="1:9" customFormat="1" x14ac:dyDescent="0.35">
      <c r="A2268" s="63">
        <f t="shared" si="71"/>
        <v>2267</v>
      </c>
      <c r="B2268" s="54" t="s">
        <v>5384</v>
      </c>
      <c r="C2268" s="55" t="s">
        <v>5385</v>
      </c>
      <c r="D2268" s="54" t="s">
        <v>4387</v>
      </c>
      <c r="E2268" s="56">
        <v>0</v>
      </c>
      <c r="F2268" s="57" t="s">
        <v>792</v>
      </c>
      <c r="G2268" s="58">
        <v>130150</v>
      </c>
      <c r="H2268" s="59">
        <v>140000</v>
      </c>
      <c r="I2268" s="59">
        <f t="shared" si="70"/>
        <v>0</v>
      </c>
    </row>
    <row r="2269" spans="1:9" customFormat="1" x14ac:dyDescent="0.35">
      <c r="A2269" s="63">
        <f t="shared" si="71"/>
        <v>2268</v>
      </c>
      <c r="B2269" s="54" t="s">
        <v>5386</v>
      </c>
      <c r="C2269" s="55" t="s">
        <v>5387</v>
      </c>
      <c r="D2269" s="54" t="s">
        <v>4387</v>
      </c>
      <c r="E2269" s="56">
        <v>0</v>
      </c>
      <c r="F2269" s="57" t="s">
        <v>792</v>
      </c>
      <c r="G2269" s="58">
        <v>75200</v>
      </c>
      <c r="H2269" s="59">
        <v>107916.667</v>
      </c>
      <c r="I2269" s="59">
        <f t="shared" si="70"/>
        <v>0</v>
      </c>
    </row>
    <row r="2270" spans="1:9" customFormat="1" x14ac:dyDescent="0.35">
      <c r="A2270" s="63">
        <f t="shared" si="71"/>
        <v>2269</v>
      </c>
      <c r="B2270" s="54" t="s">
        <v>5388</v>
      </c>
      <c r="C2270" s="55" t="s">
        <v>5389</v>
      </c>
      <c r="D2270" s="54" t="s">
        <v>4387</v>
      </c>
      <c r="E2270" s="56">
        <v>0</v>
      </c>
      <c r="F2270" s="57" t="s">
        <v>792</v>
      </c>
      <c r="G2270" s="58">
        <v>72500</v>
      </c>
      <c r="H2270" s="59">
        <v>72500</v>
      </c>
      <c r="I2270" s="59">
        <f t="shared" si="70"/>
        <v>0</v>
      </c>
    </row>
    <row r="2271" spans="1:9" customFormat="1" x14ac:dyDescent="0.35">
      <c r="A2271" s="63">
        <f t="shared" si="71"/>
        <v>2270</v>
      </c>
      <c r="B2271" s="54" t="s">
        <v>5390</v>
      </c>
      <c r="C2271" s="55" t="s">
        <v>5391</v>
      </c>
      <c r="D2271" s="54" t="s">
        <v>4387</v>
      </c>
      <c r="E2271" s="56">
        <v>0</v>
      </c>
      <c r="F2271" s="57" t="s">
        <v>792</v>
      </c>
      <c r="G2271" s="58">
        <v>30000</v>
      </c>
      <c r="H2271" s="59">
        <v>40000</v>
      </c>
      <c r="I2271" s="59">
        <f t="shared" si="70"/>
        <v>0</v>
      </c>
    </row>
    <row r="2272" spans="1:9" customFormat="1" x14ac:dyDescent="0.35">
      <c r="A2272" s="63">
        <f t="shared" si="71"/>
        <v>2271</v>
      </c>
      <c r="B2272" s="54" t="s">
        <v>5392</v>
      </c>
      <c r="C2272" s="55" t="s">
        <v>5393</v>
      </c>
      <c r="D2272" s="54" t="s">
        <v>4387</v>
      </c>
      <c r="E2272" s="56">
        <v>0</v>
      </c>
      <c r="F2272" s="57" t="s">
        <v>792</v>
      </c>
      <c r="G2272" s="58">
        <v>15000</v>
      </c>
      <c r="H2272" s="59">
        <v>24000</v>
      </c>
      <c r="I2272" s="59">
        <f t="shared" si="70"/>
        <v>0</v>
      </c>
    </row>
    <row r="2273" spans="1:9" customFormat="1" x14ac:dyDescent="0.35">
      <c r="A2273" s="63">
        <f t="shared" si="71"/>
        <v>2272</v>
      </c>
      <c r="B2273" s="54" t="s">
        <v>5394</v>
      </c>
      <c r="C2273" s="55" t="s">
        <v>5395</v>
      </c>
      <c r="D2273" s="54" t="s">
        <v>4387</v>
      </c>
      <c r="E2273" s="56">
        <v>0</v>
      </c>
      <c r="F2273" s="57" t="s">
        <v>792</v>
      </c>
      <c r="G2273" s="58">
        <v>24000</v>
      </c>
      <c r="H2273" s="59">
        <v>36000</v>
      </c>
      <c r="I2273" s="59">
        <f t="shared" si="70"/>
        <v>0</v>
      </c>
    </row>
    <row r="2274" spans="1:9" customFormat="1" x14ac:dyDescent="0.35">
      <c r="A2274" s="63">
        <f t="shared" si="71"/>
        <v>2273</v>
      </c>
      <c r="B2274" s="54" t="s">
        <v>5396</v>
      </c>
      <c r="C2274" s="55" t="s">
        <v>5397</v>
      </c>
      <c r="D2274" s="54" t="s">
        <v>4387</v>
      </c>
      <c r="E2274" s="56">
        <v>0</v>
      </c>
      <c r="F2274" s="57" t="s">
        <v>792</v>
      </c>
      <c r="G2274" s="58">
        <v>28000</v>
      </c>
      <c r="H2274" s="59">
        <v>28000</v>
      </c>
      <c r="I2274" s="59">
        <f t="shared" si="70"/>
        <v>0</v>
      </c>
    </row>
    <row r="2275" spans="1:9" customFormat="1" x14ac:dyDescent="0.35">
      <c r="A2275" s="63">
        <f t="shared" si="71"/>
        <v>2274</v>
      </c>
      <c r="B2275" s="54" t="s">
        <v>5398</v>
      </c>
      <c r="C2275" s="55" t="s">
        <v>5399</v>
      </c>
      <c r="D2275" s="54" t="s">
        <v>4387</v>
      </c>
      <c r="E2275" s="56">
        <v>0</v>
      </c>
      <c r="F2275" s="57" t="s">
        <v>792</v>
      </c>
      <c r="G2275" s="58">
        <v>68000</v>
      </c>
      <c r="H2275" s="59">
        <v>108000</v>
      </c>
      <c r="I2275" s="59">
        <f t="shared" si="70"/>
        <v>0</v>
      </c>
    </row>
    <row r="2276" spans="1:9" customFormat="1" x14ac:dyDescent="0.35">
      <c r="A2276" s="63">
        <f t="shared" si="71"/>
        <v>2275</v>
      </c>
      <c r="B2276" s="54" t="s">
        <v>5400</v>
      </c>
      <c r="C2276" s="55" t="s">
        <v>5401</v>
      </c>
      <c r="D2276" s="54" t="s">
        <v>4387</v>
      </c>
      <c r="E2276" s="56">
        <v>0</v>
      </c>
      <c r="F2276" s="57" t="s">
        <v>792</v>
      </c>
      <c r="G2276" s="58">
        <v>17500</v>
      </c>
      <c r="H2276" s="59">
        <v>31500</v>
      </c>
      <c r="I2276" s="59">
        <f t="shared" si="70"/>
        <v>0</v>
      </c>
    </row>
    <row r="2277" spans="1:9" customFormat="1" ht="23" x14ac:dyDescent="0.35">
      <c r="A2277" s="63">
        <f t="shared" si="71"/>
        <v>2276</v>
      </c>
      <c r="B2277" s="54" t="s">
        <v>5402</v>
      </c>
      <c r="C2277" s="55" t="s">
        <v>5403</v>
      </c>
      <c r="D2277" s="54" t="s">
        <v>4387</v>
      </c>
      <c r="E2277" s="56">
        <v>0</v>
      </c>
      <c r="F2277" s="57" t="s">
        <v>792</v>
      </c>
      <c r="G2277" s="58">
        <v>55086</v>
      </c>
      <c r="H2277" s="59">
        <v>55086</v>
      </c>
      <c r="I2277" s="59">
        <f t="shared" si="70"/>
        <v>0</v>
      </c>
    </row>
    <row r="2278" spans="1:9" customFormat="1" x14ac:dyDescent="0.35">
      <c r="A2278" s="63">
        <f t="shared" si="71"/>
        <v>2277</v>
      </c>
      <c r="B2278" s="54" t="s">
        <v>5404</v>
      </c>
      <c r="C2278" s="55" t="s">
        <v>5405</v>
      </c>
      <c r="D2278" s="54" t="s">
        <v>4387</v>
      </c>
      <c r="E2278" s="56">
        <v>0</v>
      </c>
      <c r="F2278" s="57" t="s">
        <v>1638</v>
      </c>
      <c r="G2278" s="58">
        <v>23500</v>
      </c>
      <c r="H2278" s="59">
        <v>23500</v>
      </c>
      <c r="I2278" s="59">
        <f t="shared" si="70"/>
        <v>0</v>
      </c>
    </row>
    <row r="2279" spans="1:9" customFormat="1" ht="23" x14ac:dyDescent="0.35">
      <c r="A2279" s="63">
        <f t="shared" si="71"/>
        <v>2278</v>
      </c>
      <c r="B2279" s="54" t="s">
        <v>5406</v>
      </c>
      <c r="C2279" s="55" t="s">
        <v>5407</v>
      </c>
      <c r="D2279" s="54" t="s">
        <v>4387</v>
      </c>
      <c r="E2279" s="56">
        <v>0</v>
      </c>
      <c r="F2279" s="57" t="s">
        <v>815</v>
      </c>
      <c r="G2279" s="58">
        <v>1800000</v>
      </c>
      <c r="H2279" s="59">
        <v>2646000</v>
      </c>
      <c r="I2279" s="59">
        <f t="shared" si="70"/>
        <v>0</v>
      </c>
    </row>
    <row r="2280" spans="1:9" customFormat="1" x14ac:dyDescent="0.35">
      <c r="A2280" s="63">
        <f t="shared" si="71"/>
        <v>2279</v>
      </c>
      <c r="B2280" s="54" t="s">
        <v>5408</v>
      </c>
      <c r="C2280" s="55" t="s">
        <v>5409</v>
      </c>
      <c r="D2280" s="54" t="s">
        <v>4387</v>
      </c>
      <c r="E2280" s="56">
        <v>0</v>
      </c>
      <c r="F2280" s="57" t="s">
        <v>792</v>
      </c>
      <c r="G2280" s="58">
        <v>68000</v>
      </c>
      <c r="H2280" s="59">
        <v>109500</v>
      </c>
      <c r="I2280" s="59">
        <f t="shared" si="70"/>
        <v>0</v>
      </c>
    </row>
    <row r="2281" spans="1:9" customFormat="1" ht="23" x14ac:dyDescent="0.35">
      <c r="A2281" s="63">
        <f t="shared" si="71"/>
        <v>2280</v>
      </c>
      <c r="B2281" s="54" t="s">
        <v>5410</v>
      </c>
      <c r="C2281" s="55" t="s">
        <v>5411</v>
      </c>
      <c r="D2281" s="54" t="s">
        <v>4387</v>
      </c>
      <c r="E2281" s="56">
        <v>0</v>
      </c>
      <c r="F2281" s="57" t="s">
        <v>792</v>
      </c>
      <c r="G2281" s="58">
        <v>228200</v>
      </c>
      <c r="H2281" s="59">
        <v>225000</v>
      </c>
      <c r="I2281" s="59">
        <f t="shared" si="70"/>
        <v>0</v>
      </c>
    </row>
    <row r="2282" spans="1:9" customFormat="1" ht="23" x14ac:dyDescent="0.35">
      <c r="A2282" s="63">
        <f t="shared" si="71"/>
        <v>2281</v>
      </c>
      <c r="B2282" s="54" t="s">
        <v>5412</v>
      </c>
      <c r="C2282" s="55" t="s">
        <v>5413</v>
      </c>
      <c r="D2282" s="54" t="s">
        <v>4387</v>
      </c>
      <c r="E2282" s="56">
        <v>0</v>
      </c>
      <c r="F2282" s="57" t="s">
        <v>792</v>
      </c>
      <c r="G2282" s="58">
        <v>68000</v>
      </c>
      <c r="H2282" s="59">
        <v>60000</v>
      </c>
      <c r="I2282" s="59">
        <f t="shared" si="70"/>
        <v>0</v>
      </c>
    </row>
    <row r="2283" spans="1:9" customFormat="1" ht="23" x14ac:dyDescent="0.35">
      <c r="A2283" s="63">
        <f t="shared" si="71"/>
        <v>2282</v>
      </c>
      <c r="B2283" s="54" t="s">
        <v>5414</v>
      </c>
      <c r="C2283" s="55" t="s">
        <v>5415</v>
      </c>
      <c r="D2283" s="54" t="s">
        <v>4387</v>
      </c>
      <c r="E2283" s="56">
        <v>0</v>
      </c>
      <c r="F2283" s="57" t="s">
        <v>792</v>
      </c>
      <c r="G2283" s="58">
        <v>1046170</v>
      </c>
      <c r="H2283" s="59">
        <v>1046170</v>
      </c>
      <c r="I2283" s="59">
        <f t="shared" si="70"/>
        <v>0</v>
      </c>
    </row>
    <row r="2284" spans="1:9" customFormat="1" x14ac:dyDescent="0.35">
      <c r="A2284" s="63">
        <f t="shared" si="71"/>
        <v>2283</v>
      </c>
      <c r="B2284" s="54" t="s">
        <v>5416</v>
      </c>
      <c r="C2284" s="55" t="s">
        <v>5417</v>
      </c>
      <c r="D2284" s="54" t="s">
        <v>4387</v>
      </c>
      <c r="E2284" s="56">
        <v>0</v>
      </c>
      <c r="F2284" s="57" t="s">
        <v>870</v>
      </c>
      <c r="G2284" s="58">
        <v>21000</v>
      </c>
      <c r="H2284" s="59">
        <v>21000</v>
      </c>
      <c r="I2284" s="59">
        <f t="shared" si="70"/>
        <v>0</v>
      </c>
    </row>
    <row r="2285" spans="1:9" customFormat="1" x14ac:dyDescent="0.35">
      <c r="A2285" s="63">
        <f t="shared" si="71"/>
        <v>2284</v>
      </c>
      <c r="B2285" s="54" t="s">
        <v>5418</v>
      </c>
      <c r="C2285" s="55" t="s">
        <v>5419</v>
      </c>
      <c r="D2285" s="54" t="s">
        <v>4387</v>
      </c>
      <c r="E2285" s="56">
        <v>0</v>
      </c>
      <c r="F2285" s="57" t="s">
        <v>870</v>
      </c>
      <c r="G2285" s="58">
        <v>46000</v>
      </c>
      <c r="H2285" s="59">
        <v>69000</v>
      </c>
      <c r="I2285" s="59">
        <f t="shared" si="70"/>
        <v>0</v>
      </c>
    </row>
    <row r="2286" spans="1:9" customFormat="1" x14ac:dyDescent="0.35">
      <c r="A2286" s="63">
        <f t="shared" si="71"/>
        <v>2285</v>
      </c>
      <c r="B2286" s="54" t="s">
        <v>5420</v>
      </c>
      <c r="C2286" s="55" t="s">
        <v>5421</v>
      </c>
      <c r="D2286" s="54" t="s">
        <v>4387</v>
      </c>
      <c r="E2286" s="56">
        <v>0</v>
      </c>
      <c r="F2286" s="57" t="s">
        <v>870</v>
      </c>
      <c r="G2286" s="58">
        <v>46000</v>
      </c>
      <c r="H2286" s="59">
        <v>69000</v>
      </c>
      <c r="I2286" s="59">
        <f t="shared" si="70"/>
        <v>0</v>
      </c>
    </row>
    <row r="2287" spans="1:9" customFormat="1" ht="23" x14ac:dyDescent="0.35">
      <c r="A2287" s="63">
        <f t="shared" si="71"/>
        <v>2286</v>
      </c>
      <c r="B2287" s="54" t="s">
        <v>5422</v>
      </c>
      <c r="C2287" s="55" t="s">
        <v>5423</v>
      </c>
      <c r="D2287" s="54" t="s">
        <v>4387</v>
      </c>
      <c r="E2287" s="56">
        <v>0</v>
      </c>
      <c r="F2287" s="57" t="s">
        <v>792</v>
      </c>
      <c r="G2287" s="58">
        <v>46000</v>
      </c>
      <c r="H2287" s="59">
        <v>69000</v>
      </c>
      <c r="I2287" s="59">
        <f t="shared" si="70"/>
        <v>0</v>
      </c>
    </row>
    <row r="2288" spans="1:9" customFormat="1" x14ac:dyDescent="0.35">
      <c r="A2288" s="63">
        <f t="shared" si="71"/>
        <v>2287</v>
      </c>
      <c r="B2288" s="54" t="s">
        <v>5424</v>
      </c>
      <c r="C2288" s="55" t="s">
        <v>5425</v>
      </c>
      <c r="D2288" s="54" t="s">
        <v>4387</v>
      </c>
      <c r="E2288" s="56">
        <v>0</v>
      </c>
      <c r="F2288" s="57" t="s">
        <v>870</v>
      </c>
      <c r="G2288" s="58">
        <v>21000</v>
      </c>
      <c r="H2288" s="59">
        <v>31500</v>
      </c>
      <c r="I2288" s="59">
        <f t="shared" si="70"/>
        <v>0</v>
      </c>
    </row>
    <row r="2289" spans="1:9" customFormat="1" x14ac:dyDescent="0.35">
      <c r="A2289" s="63">
        <f t="shared" si="71"/>
        <v>2288</v>
      </c>
      <c r="B2289" s="54" t="s">
        <v>5426</v>
      </c>
      <c r="C2289" s="55" t="s">
        <v>5427</v>
      </c>
      <c r="D2289" s="54" t="s">
        <v>4387</v>
      </c>
      <c r="E2289" s="56">
        <v>0</v>
      </c>
      <c r="F2289" s="57" t="s">
        <v>870</v>
      </c>
      <c r="G2289" s="58">
        <v>85000</v>
      </c>
      <c r="H2289" s="59">
        <v>85000</v>
      </c>
      <c r="I2289" s="59">
        <f t="shared" si="70"/>
        <v>0</v>
      </c>
    </row>
    <row r="2290" spans="1:9" customFormat="1" x14ac:dyDescent="0.35">
      <c r="A2290" s="63">
        <f t="shared" si="71"/>
        <v>2289</v>
      </c>
      <c r="B2290" s="54" t="s">
        <v>5428</v>
      </c>
      <c r="C2290" s="55" t="s">
        <v>5429</v>
      </c>
      <c r="D2290" s="54" t="s">
        <v>4387</v>
      </c>
      <c r="E2290" s="56">
        <v>0</v>
      </c>
      <c r="F2290" s="57" t="s">
        <v>870</v>
      </c>
      <c r="G2290" s="58">
        <v>65000</v>
      </c>
      <c r="H2290" s="59">
        <v>102000</v>
      </c>
      <c r="I2290" s="59">
        <f t="shared" si="70"/>
        <v>0</v>
      </c>
    </row>
    <row r="2291" spans="1:9" customFormat="1" x14ac:dyDescent="0.35">
      <c r="A2291" s="63">
        <f t="shared" si="71"/>
        <v>2290</v>
      </c>
      <c r="B2291" s="54" t="s">
        <v>5430</v>
      </c>
      <c r="C2291" s="55" t="s">
        <v>5431</v>
      </c>
      <c r="D2291" s="54" t="s">
        <v>4387</v>
      </c>
      <c r="E2291" s="56">
        <v>0</v>
      </c>
      <c r="F2291" s="57" t="s">
        <v>870</v>
      </c>
      <c r="G2291" s="58">
        <v>100000</v>
      </c>
      <c r="H2291" s="59">
        <v>165000</v>
      </c>
      <c r="I2291" s="59">
        <f t="shared" si="70"/>
        <v>0</v>
      </c>
    </row>
    <row r="2292" spans="1:9" customFormat="1" ht="23" x14ac:dyDescent="0.35">
      <c r="A2292" s="63">
        <f t="shared" si="71"/>
        <v>2291</v>
      </c>
      <c r="B2292" s="54" t="s">
        <v>5432</v>
      </c>
      <c r="C2292" s="55" t="s">
        <v>5433</v>
      </c>
      <c r="D2292" s="54" t="s">
        <v>4387</v>
      </c>
      <c r="E2292" s="56">
        <v>0</v>
      </c>
      <c r="F2292" s="57" t="s">
        <v>792</v>
      </c>
      <c r="G2292" s="58">
        <v>75000</v>
      </c>
      <c r="H2292" s="59">
        <v>112500</v>
      </c>
      <c r="I2292" s="59">
        <f t="shared" si="70"/>
        <v>0</v>
      </c>
    </row>
    <row r="2293" spans="1:9" customFormat="1" ht="23" x14ac:dyDescent="0.35">
      <c r="A2293" s="63">
        <f t="shared" si="71"/>
        <v>2292</v>
      </c>
      <c r="B2293" s="54" t="s">
        <v>5434</v>
      </c>
      <c r="C2293" s="55" t="s">
        <v>5435</v>
      </c>
      <c r="D2293" s="54" t="s">
        <v>4387</v>
      </c>
      <c r="E2293" s="56">
        <v>0</v>
      </c>
      <c r="F2293" s="57" t="s">
        <v>878</v>
      </c>
      <c r="G2293" s="58">
        <v>125298</v>
      </c>
      <c r="H2293" s="59">
        <v>125298</v>
      </c>
      <c r="I2293" s="59">
        <f t="shared" si="70"/>
        <v>0</v>
      </c>
    </row>
    <row r="2294" spans="1:9" customFormat="1" ht="23" x14ac:dyDescent="0.35">
      <c r="A2294" s="63">
        <f t="shared" si="71"/>
        <v>2293</v>
      </c>
      <c r="B2294" s="54" t="s">
        <v>5436</v>
      </c>
      <c r="C2294" s="55" t="s">
        <v>5437</v>
      </c>
      <c r="D2294" s="54" t="s">
        <v>4387</v>
      </c>
      <c r="E2294" s="56">
        <v>0</v>
      </c>
      <c r="F2294" s="57" t="s">
        <v>792</v>
      </c>
      <c r="G2294" s="58">
        <v>205000</v>
      </c>
      <c r="H2294" s="59">
        <v>205000</v>
      </c>
      <c r="I2294" s="59">
        <f t="shared" si="70"/>
        <v>0</v>
      </c>
    </row>
    <row r="2295" spans="1:9" customFormat="1" x14ac:dyDescent="0.35">
      <c r="A2295" s="63">
        <f t="shared" si="71"/>
        <v>2294</v>
      </c>
      <c r="B2295" s="54" t="s">
        <v>5438</v>
      </c>
      <c r="C2295" s="55" t="s">
        <v>5439</v>
      </c>
      <c r="D2295" s="54" t="s">
        <v>4387</v>
      </c>
      <c r="E2295" s="56">
        <v>0</v>
      </c>
      <c r="F2295" s="57" t="s">
        <v>815</v>
      </c>
      <c r="G2295" s="58">
        <v>45000</v>
      </c>
      <c r="H2295" s="59">
        <v>67500</v>
      </c>
      <c r="I2295" s="59">
        <f t="shared" si="70"/>
        <v>0</v>
      </c>
    </row>
    <row r="2296" spans="1:9" customFormat="1" x14ac:dyDescent="0.35">
      <c r="A2296" s="63">
        <f t="shared" si="71"/>
        <v>2295</v>
      </c>
      <c r="B2296" s="54" t="s">
        <v>5440</v>
      </c>
      <c r="C2296" s="55" t="s">
        <v>5441</v>
      </c>
      <c r="D2296" s="54" t="s">
        <v>4387</v>
      </c>
      <c r="E2296" s="56">
        <v>0</v>
      </c>
      <c r="F2296" s="57" t="s">
        <v>792</v>
      </c>
      <c r="G2296" s="58">
        <v>0</v>
      </c>
      <c r="H2296" s="59">
        <v>26250</v>
      </c>
      <c r="I2296" s="59">
        <f t="shared" si="70"/>
        <v>0</v>
      </c>
    </row>
    <row r="2297" spans="1:9" customFormat="1" x14ac:dyDescent="0.35">
      <c r="A2297" s="63">
        <f t="shared" si="71"/>
        <v>2296</v>
      </c>
      <c r="B2297" s="54" t="s">
        <v>5442</v>
      </c>
      <c r="C2297" s="55" t="s">
        <v>5443</v>
      </c>
      <c r="D2297" s="54" t="s">
        <v>4387</v>
      </c>
      <c r="E2297" s="56">
        <v>0</v>
      </c>
      <c r="F2297" s="57" t="s">
        <v>792</v>
      </c>
      <c r="G2297" s="58">
        <v>48000</v>
      </c>
      <c r="H2297" s="59">
        <v>72000</v>
      </c>
      <c r="I2297" s="59">
        <f t="shared" si="70"/>
        <v>0</v>
      </c>
    </row>
    <row r="2298" spans="1:9" customFormat="1" ht="34.5" x14ac:dyDescent="0.35">
      <c r="A2298" s="63">
        <f t="shared" si="71"/>
        <v>2297</v>
      </c>
      <c r="B2298" s="54" t="s">
        <v>5444</v>
      </c>
      <c r="C2298" s="55" t="s">
        <v>5445</v>
      </c>
      <c r="D2298" s="54" t="s">
        <v>4387</v>
      </c>
      <c r="E2298" s="56">
        <v>0</v>
      </c>
      <c r="F2298" s="57" t="s">
        <v>792</v>
      </c>
      <c r="G2298" s="58">
        <v>980000</v>
      </c>
      <c r="H2298" s="59">
        <v>980000</v>
      </c>
      <c r="I2298" s="59">
        <f t="shared" si="70"/>
        <v>0</v>
      </c>
    </row>
    <row r="2299" spans="1:9" customFormat="1" x14ac:dyDescent="0.35">
      <c r="A2299" s="63">
        <f t="shared" si="71"/>
        <v>2298</v>
      </c>
      <c r="B2299" s="54" t="s">
        <v>5446</v>
      </c>
      <c r="C2299" s="55" t="s">
        <v>5447</v>
      </c>
      <c r="D2299" s="54" t="s">
        <v>4387</v>
      </c>
      <c r="E2299" s="56">
        <v>0</v>
      </c>
      <c r="F2299" s="57" t="s">
        <v>792</v>
      </c>
      <c r="G2299" s="58">
        <v>30000</v>
      </c>
      <c r="H2299" s="59">
        <v>45570</v>
      </c>
      <c r="I2299" s="59">
        <f t="shared" si="70"/>
        <v>0</v>
      </c>
    </row>
    <row r="2300" spans="1:9" customFormat="1" x14ac:dyDescent="0.35">
      <c r="A2300" s="63">
        <f t="shared" si="71"/>
        <v>2299</v>
      </c>
      <c r="B2300" s="54" t="s">
        <v>5448</v>
      </c>
      <c r="C2300" s="55" t="s">
        <v>5449</v>
      </c>
      <c r="D2300" s="54" t="s">
        <v>4387</v>
      </c>
      <c r="E2300" s="56">
        <v>0</v>
      </c>
      <c r="F2300" s="57" t="s">
        <v>792</v>
      </c>
      <c r="G2300" s="58">
        <v>30000</v>
      </c>
      <c r="H2300" s="59">
        <v>30000</v>
      </c>
      <c r="I2300" s="59">
        <f t="shared" si="70"/>
        <v>0</v>
      </c>
    </row>
    <row r="2301" spans="1:9" customFormat="1" x14ac:dyDescent="0.35">
      <c r="A2301" s="63">
        <f t="shared" si="71"/>
        <v>2300</v>
      </c>
      <c r="B2301" s="54" t="s">
        <v>5450</v>
      </c>
      <c r="C2301" s="55" t="s">
        <v>5451</v>
      </c>
      <c r="D2301" s="54" t="s">
        <v>4387</v>
      </c>
      <c r="E2301" s="56">
        <v>0</v>
      </c>
      <c r="F2301" s="57" t="s">
        <v>792</v>
      </c>
      <c r="G2301" s="58">
        <v>30000</v>
      </c>
      <c r="H2301" s="59">
        <v>41200</v>
      </c>
      <c r="I2301" s="59">
        <f t="shared" si="70"/>
        <v>0</v>
      </c>
    </row>
    <row r="2302" spans="1:9" customFormat="1" x14ac:dyDescent="0.35">
      <c r="A2302" s="63">
        <f t="shared" si="71"/>
        <v>2301</v>
      </c>
      <c r="B2302" s="54" t="s">
        <v>5452</v>
      </c>
      <c r="C2302" s="55" t="s">
        <v>5453</v>
      </c>
      <c r="D2302" s="54" t="s">
        <v>4387</v>
      </c>
      <c r="E2302" s="56">
        <v>0</v>
      </c>
      <c r="F2302" s="57" t="s">
        <v>792</v>
      </c>
      <c r="G2302" s="58">
        <v>30000</v>
      </c>
      <c r="H2302" s="59">
        <v>48000</v>
      </c>
      <c r="I2302" s="59">
        <f t="shared" si="70"/>
        <v>0</v>
      </c>
    </row>
    <row r="2303" spans="1:9" customFormat="1" x14ac:dyDescent="0.35">
      <c r="A2303" s="63">
        <f t="shared" si="71"/>
        <v>2302</v>
      </c>
      <c r="B2303" s="54" t="s">
        <v>5454</v>
      </c>
      <c r="C2303" s="55" t="s">
        <v>5455</v>
      </c>
      <c r="D2303" s="54" t="s">
        <v>4387</v>
      </c>
      <c r="E2303" s="56">
        <v>0</v>
      </c>
      <c r="F2303" s="57" t="s">
        <v>792</v>
      </c>
      <c r="G2303" s="58">
        <v>34000</v>
      </c>
      <c r="H2303" s="59">
        <v>48000</v>
      </c>
      <c r="I2303" s="59">
        <f t="shared" si="70"/>
        <v>0</v>
      </c>
    </row>
    <row r="2304" spans="1:9" customFormat="1" x14ac:dyDescent="0.35">
      <c r="A2304" s="63">
        <f t="shared" si="71"/>
        <v>2303</v>
      </c>
      <c r="B2304" s="54" t="s">
        <v>5456</v>
      </c>
      <c r="C2304" s="55" t="s">
        <v>5457</v>
      </c>
      <c r="D2304" s="54" t="s">
        <v>4387</v>
      </c>
      <c r="E2304" s="56">
        <v>0</v>
      </c>
      <c r="F2304" s="57" t="s">
        <v>792</v>
      </c>
      <c r="G2304" s="58">
        <v>115000</v>
      </c>
      <c r="H2304" s="59">
        <v>115000</v>
      </c>
      <c r="I2304" s="59">
        <f t="shared" si="70"/>
        <v>0</v>
      </c>
    </row>
    <row r="2305" spans="1:9" customFormat="1" x14ac:dyDescent="0.35">
      <c r="A2305" s="63">
        <f t="shared" si="71"/>
        <v>2304</v>
      </c>
      <c r="B2305" s="54" t="s">
        <v>5458</v>
      </c>
      <c r="C2305" s="55" t="s">
        <v>5459</v>
      </c>
      <c r="D2305" s="54" t="s">
        <v>4387</v>
      </c>
      <c r="E2305" s="56">
        <v>0</v>
      </c>
      <c r="F2305" s="57" t="s">
        <v>792</v>
      </c>
      <c r="G2305" s="58">
        <v>240000</v>
      </c>
      <c r="H2305" s="59">
        <v>240000</v>
      </c>
      <c r="I2305" s="59">
        <f t="shared" si="70"/>
        <v>0</v>
      </c>
    </row>
    <row r="2306" spans="1:9" customFormat="1" x14ac:dyDescent="0.35">
      <c r="A2306" s="63">
        <f t="shared" si="71"/>
        <v>2305</v>
      </c>
      <c r="B2306" s="54" t="s">
        <v>5460</v>
      </c>
      <c r="C2306" s="55" t="s">
        <v>5461</v>
      </c>
      <c r="D2306" s="54" t="s">
        <v>4387</v>
      </c>
      <c r="E2306" s="56">
        <v>0</v>
      </c>
      <c r="F2306" s="57" t="s">
        <v>792</v>
      </c>
      <c r="G2306" s="58">
        <v>15000</v>
      </c>
      <c r="H2306" s="59">
        <v>22500</v>
      </c>
      <c r="I2306" s="59">
        <f t="shared" si="70"/>
        <v>0</v>
      </c>
    </row>
    <row r="2307" spans="1:9" customFormat="1" x14ac:dyDescent="0.35">
      <c r="A2307" s="63">
        <f t="shared" si="71"/>
        <v>2306</v>
      </c>
      <c r="B2307" s="54" t="s">
        <v>5462</v>
      </c>
      <c r="C2307" s="55" t="s">
        <v>5463</v>
      </c>
      <c r="D2307" s="54" t="s">
        <v>4387</v>
      </c>
      <c r="E2307" s="56">
        <v>0</v>
      </c>
      <c r="F2307" s="57" t="s">
        <v>792</v>
      </c>
      <c r="G2307" s="58">
        <v>56700</v>
      </c>
      <c r="H2307" s="59">
        <v>2250</v>
      </c>
      <c r="I2307" s="59">
        <f t="shared" ref="I2307:I2370" si="72">H2307*E2307</f>
        <v>0</v>
      </c>
    </row>
    <row r="2308" spans="1:9" customFormat="1" x14ac:dyDescent="0.35">
      <c r="A2308" s="63">
        <f t="shared" ref="A2308:A2371" si="73">A2307+1</f>
        <v>2307</v>
      </c>
      <c r="B2308" s="54" t="s">
        <v>5464</v>
      </c>
      <c r="C2308" s="55" t="s">
        <v>5465</v>
      </c>
      <c r="D2308" s="54" t="s">
        <v>4387</v>
      </c>
      <c r="E2308" s="56">
        <v>0</v>
      </c>
      <c r="F2308" s="57" t="s">
        <v>994</v>
      </c>
      <c r="G2308" s="58">
        <v>15600</v>
      </c>
      <c r="H2308" s="59">
        <v>25500</v>
      </c>
      <c r="I2308" s="59">
        <f t="shared" si="72"/>
        <v>0</v>
      </c>
    </row>
    <row r="2309" spans="1:9" customFormat="1" x14ac:dyDescent="0.35">
      <c r="A2309" s="63">
        <f t="shared" si="73"/>
        <v>2308</v>
      </c>
      <c r="B2309" s="54" t="s">
        <v>5466</v>
      </c>
      <c r="C2309" s="55" t="s">
        <v>5467</v>
      </c>
      <c r="D2309" s="54" t="s">
        <v>4387</v>
      </c>
      <c r="E2309" s="56">
        <v>0</v>
      </c>
      <c r="F2309" s="57" t="s">
        <v>792</v>
      </c>
      <c r="G2309" s="58">
        <v>4000</v>
      </c>
      <c r="H2309" s="59">
        <v>4000</v>
      </c>
      <c r="I2309" s="59">
        <f t="shared" si="72"/>
        <v>0</v>
      </c>
    </row>
    <row r="2310" spans="1:9" customFormat="1" ht="23" x14ac:dyDescent="0.35">
      <c r="A2310" s="63">
        <f t="shared" si="73"/>
        <v>2309</v>
      </c>
      <c r="B2310" s="54" t="s">
        <v>5468</v>
      </c>
      <c r="C2310" s="55" t="s">
        <v>5469</v>
      </c>
      <c r="D2310" s="54" t="s">
        <v>4387</v>
      </c>
      <c r="E2310" s="56">
        <v>0</v>
      </c>
      <c r="F2310" s="57" t="s">
        <v>792</v>
      </c>
      <c r="G2310" s="58">
        <v>11000</v>
      </c>
      <c r="H2310" s="59">
        <v>11000</v>
      </c>
      <c r="I2310" s="59">
        <f t="shared" si="72"/>
        <v>0</v>
      </c>
    </row>
    <row r="2311" spans="1:9" customFormat="1" ht="23" x14ac:dyDescent="0.35">
      <c r="A2311" s="63">
        <f t="shared" si="73"/>
        <v>2310</v>
      </c>
      <c r="B2311" s="54" t="s">
        <v>5470</v>
      </c>
      <c r="C2311" s="55" t="s">
        <v>5471</v>
      </c>
      <c r="D2311" s="54" t="s">
        <v>4387</v>
      </c>
      <c r="E2311" s="56">
        <v>0</v>
      </c>
      <c r="F2311" s="57" t="s">
        <v>792</v>
      </c>
      <c r="G2311" s="58">
        <v>1360000</v>
      </c>
      <c r="H2311" s="59">
        <v>1999200</v>
      </c>
      <c r="I2311" s="59">
        <f t="shared" si="72"/>
        <v>0</v>
      </c>
    </row>
    <row r="2312" spans="1:9" customFormat="1" x14ac:dyDescent="0.35">
      <c r="A2312" s="63">
        <f t="shared" si="73"/>
        <v>2311</v>
      </c>
      <c r="B2312" s="54" t="s">
        <v>5472</v>
      </c>
      <c r="C2312" s="55" t="s">
        <v>5473</v>
      </c>
      <c r="D2312" s="54" t="s">
        <v>4387</v>
      </c>
      <c r="E2312" s="56">
        <v>0</v>
      </c>
      <c r="F2312" s="57" t="s">
        <v>792</v>
      </c>
      <c r="G2312" s="58">
        <v>1000000</v>
      </c>
      <c r="H2312" s="59">
        <v>1532000</v>
      </c>
      <c r="I2312" s="59">
        <f t="shared" si="72"/>
        <v>0</v>
      </c>
    </row>
    <row r="2313" spans="1:9" customFormat="1" x14ac:dyDescent="0.35">
      <c r="A2313" s="63">
        <f t="shared" si="73"/>
        <v>2312</v>
      </c>
      <c r="B2313" s="54" t="s">
        <v>5474</v>
      </c>
      <c r="C2313" s="55" t="s">
        <v>5475</v>
      </c>
      <c r="D2313" s="54" t="s">
        <v>4387</v>
      </c>
      <c r="E2313" s="56">
        <v>0</v>
      </c>
      <c r="F2313" s="57" t="s">
        <v>1217</v>
      </c>
      <c r="G2313" s="58">
        <v>414500</v>
      </c>
      <c r="H2313" s="59">
        <v>622500</v>
      </c>
      <c r="I2313" s="59">
        <f t="shared" si="72"/>
        <v>0</v>
      </c>
    </row>
    <row r="2314" spans="1:9" customFormat="1" x14ac:dyDescent="0.35">
      <c r="A2314" s="63">
        <f t="shared" si="73"/>
        <v>2313</v>
      </c>
      <c r="B2314" s="54" t="s">
        <v>5476</v>
      </c>
      <c r="C2314" s="55" t="s">
        <v>5477</v>
      </c>
      <c r="D2314" s="54" t="s">
        <v>4387</v>
      </c>
      <c r="E2314" s="56">
        <v>0</v>
      </c>
      <c r="F2314" s="57" t="s">
        <v>792</v>
      </c>
      <c r="G2314" s="58">
        <v>0</v>
      </c>
      <c r="H2314" s="59">
        <v>15000</v>
      </c>
      <c r="I2314" s="59">
        <f t="shared" si="72"/>
        <v>0</v>
      </c>
    </row>
    <row r="2315" spans="1:9" customFormat="1" x14ac:dyDescent="0.35">
      <c r="A2315" s="63">
        <f t="shared" si="73"/>
        <v>2314</v>
      </c>
      <c r="B2315" s="54" t="s">
        <v>5478</v>
      </c>
      <c r="C2315" s="55" t="s">
        <v>5479</v>
      </c>
      <c r="D2315" s="54" t="s">
        <v>4387</v>
      </c>
      <c r="E2315" s="56">
        <v>0</v>
      </c>
      <c r="F2315" s="57" t="s">
        <v>792</v>
      </c>
      <c r="G2315" s="58">
        <v>0</v>
      </c>
      <c r="H2315" s="59">
        <v>11250</v>
      </c>
      <c r="I2315" s="59">
        <f t="shared" si="72"/>
        <v>0</v>
      </c>
    </row>
    <row r="2316" spans="1:9" customFormat="1" x14ac:dyDescent="0.35">
      <c r="A2316" s="63">
        <f t="shared" si="73"/>
        <v>2315</v>
      </c>
      <c r="B2316" s="54" t="s">
        <v>5480</v>
      </c>
      <c r="C2316" s="55" t="s">
        <v>5481</v>
      </c>
      <c r="D2316" s="54" t="s">
        <v>4387</v>
      </c>
      <c r="E2316" s="56">
        <v>0</v>
      </c>
      <c r="F2316" s="57" t="s">
        <v>792</v>
      </c>
      <c r="G2316" s="58">
        <v>5000</v>
      </c>
      <c r="H2316" s="59">
        <v>5000</v>
      </c>
      <c r="I2316" s="59">
        <f t="shared" si="72"/>
        <v>0</v>
      </c>
    </row>
    <row r="2317" spans="1:9" customFormat="1" x14ac:dyDescent="0.35">
      <c r="A2317" s="63">
        <f t="shared" si="73"/>
        <v>2316</v>
      </c>
      <c r="B2317" s="54" t="s">
        <v>5482</v>
      </c>
      <c r="C2317" s="55" t="s">
        <v>5483</v>
      </c>
      <c r="D2317" s="54" t="s">
        <v>4387</v>
      </c>
      <c r="E2317" s="56">
        <v>0</v>
      </c>
      <c r="F2317" s="57" t="s">
        <v>815</v>
      </c>
      <c r="G2317" s="58">
        <v>7500</v>
      </c>
      <c r="H2317" s="59">
        <v>11250</v>
      </c>
      <c r="I2317" s="59">
        <f t="shared" si="72"/>
        <v>0</v>
      </c>
    </row>
    <row r="2318" spans="1:9" customFormat="1" x14ac:dyDescent="0.35">
      <c r="A2318" s="63">
        <f t="shared" si="73"/>
        <v>2317</v>
      </c>
      <c r="B2318" s="54" t="s">
        <v>5484</v>
      </c>
      <c r="C2318" s="55" t="s">
        <v>5485</v>
      </c>
      <c r="D2318" s="54" t="s">
        <v>4387</v>
      </c>
      <c r="E2318" s="56">
        <v>0</v>
      </c>
      <c r="F2318" s="57" t="s">
        <v>792</v>
      </c>
      <c r="G2318" s="58">
        <v>15000</v>
      </c>
      <c r="H2318" s="59">
        <v>30000</v>
      </c>
      <c r="I2318" s="59">
        <f t="shared" si="72"/>
        <v>0</v>
      </c>
    </row>
    <row r="2319" spans="1:9" customFormat="1" x14ac:dyDescent="0.35">
      <c r="A2319" s="63">
        <f t="shared" si="73"/>
        <v>2318</v>
      </c>
      <c r="B2319" s="54" t="s">
        <v>5486</v>
      </c>
      <c r="C2319" s="55" t="s">
        <v>5487</v>
      </c>
      <c r="D2319" s="54" t="s">
        <v>4387</v>
      </c>
      <c r="E2319" s="56">
        <v>0</v>
      </c>
      <c r="F2319" s="57" t="s">
        <v>1087</v>
      </c>
      <c r="G2319" s="58">
        <v>115500</v>
      </c>
      <c r="H2319" s="59">
        <v>115000</v>
      </c>
      <c r="I2319" s="59">
        <f t="shared" si="72"/>
        <v>0</v>
      </c>
    </row>
    <row r="2320" spans="1:9" customFormat="1" x14ac:dyDescent="0.35">
      <c r="A2320" s="63">
        <f t="shared" si="73"/>
        <v>2319</v>
      </c>
      <c r="B2320" s="54" t="s">
        <v>5488</v>
      </c>
      <c r="C2320" s="55" t="s">
        <v>5489</v>
      </c>
      <c r="D2320" s="54" t="s">
        <v>4387</v>
      </c>
      <c r="E2320" s="56">
        <v>0</v>
      </c>
      <c r="F2320" s="57" t="s">
        <v>994</v>
      </c>
      <c r="G2320" s="58">
        <v>70500</v>
      </c>
      <c r="H2320" s="59">
        <v>0</v>
      </c>
      <c r="I2320" s="59">
        <f t="shared" si="72"/>
        <v>0</v>
      </c>
    </row>
    <row r="2321" spans="1:9" customFormat="1" x14ac:dyDescent="0.35">
      <c r="A2321" s="63">
        <f t="shared" si="73"/>
        <v>2320</v>
      </c>
      <c r="B2321" s="54" t="s">
        <v>5490</v>
      </c>
      <c r="C2321" s="55" t="s">
        <v>5491</v>
      </c>
      <c r="D2321" s="54" t="s">
        <v>4387</v>
      </c>
      <c r="E2321" s="56">
        <v>0</v>
      </c>
      <c r="F2321" s="57" t="s">
        <v>994</v>
      </c>
      <c r="G2321" s="58">
        <v>123000</v>
      </c>
      <c r="H2321" s="59">
        <v>135000</v>
      </c>
      <c r="I2321" s="59">
        <f t="shared" si="72"/>
        <v>0</v>
      </c>
    </row>
    <row r="2322" spans="1:9" customFormat="1" x14ac:dyDescent="0.35">
      <c r="A2322" s="63">
        <f t="shared" si="73"/>
        <v>2321</v>
      </c>
      <c r="B2322" s="54" t="s">
        <v>5492</v>
      </c>
      <c r="C2322" s="55" t="s">
        <v>5493</v>
      </c>
      <c r="D2322" s="54" t="s">
        <v>4387</v>
      </c>
      <c r="E2322" s="56">
        <v>0</v>
      </c>
      <c r="F2322" s="57" t="s">
        <v>994</v>
      </c>
      <c r="G2322" s="58">
        <v>65000</v>
      </c>
      <c r="H2322" s="59">
        <v>65000</v>
      </c>
      <c r="I2322" s="59">
        <f t="shared" si="72"/>
        <v>0</v>
      </c>
    </row>
    <row r="2323" spans="1:9" customFormat="1" x14ac:dyDescent="0.35">
      <c r="A2323" s="63">
        <f t="shared" si="73"/>
        <v>2322</v>
      </c>
      <c r="B2323" s="54" t="s">
        <v>5494</v>
      </c>
      <c r="C2323" s="55" t="s">
        <v>5495</v>
      </c>
      <c r="D2323" s="54" t="s">
        <v>4387</v>
      </c>
      <c r="E2323" s="56">
        <v>0</v>
      </c>
      <c r="F2323" s="57" t="s">
        <v>994</v>
      </c>
      <c r="G2323" s="58">
        <v>86000</v>
      </c>
      <c r="H2323" s="59">
        <v>0</v>
      </c>
      <c r="I2323" s="59">
        <f t="shared" si="72"/>
        <v>0</v>
      </c>
    </row>
    <row r="2324" spans="1:9" customFormat="1" x14ac:dyDescent="0.35">
      <c r="A2324" s="63">
        <f t="shared" si="73"/>
        <v>2323</v>
      </c>
      <c r="B2324" s="54" t="s">
        <v>5496</v>
      </c>
      <c r="C2324" s="55" t="s">
        <v>5497</v>
      </c>
      <c r="D2324" s="54" t="s">
        <v>4387</v>
      </c>
      <c r="E2324" s="56">
        <v>0</v>
      </c>
      <c r="F2324" s="57" t="s">
        <v>844</v>
      </c>
      <c r="G2324" s="58">
        <v>0</v>
      </c>
      <c r="H2324" s="59">
        <v>362481</v>
      </c>
      <c r="I2324" s="59">
        <f t="shared" si="72"/>
        <v>0</v>
      </c>
    </row>
    <row r="2325" spans="1:9" customFormat="1" x14ac:dyDescent="0.35">
      <c r="A2325" s="63">
        <f t="shared" si="73"/>
        <v>2324</v>
      </c>
      <c r="B2325" s="54" t="s">
        <v>5498</v>
      </c>
      <c r="C2325" s="55" t="s">
        <v>5499</v>
      </c>
      <c r="D2325" s="54" t="s">
        <v>4387</v>
      </c>
      <c r="E2325" s="56">
        <v>0</v>
      </c>
      <c r="F2325" s="57" t="s">
        <v>792</v>
      </c>
      <c r="G2325" s="58">
        <v>9500</v>
      </c>
      <c r="H2325" s="59">
        <v>15000</v>
      </c>
      <c r="I2325" s="59">
        <f t="shared" si="72"/>
        <v>0</v>
      </c>
    </row>
    <row r="2326" spans="1:9" customFormat="1" x14ac:dyDescent="0.35">
      <c r="A2326" s="63">
        <f t="shared" si="73"/>
        <v>2325</v>
      </c>
      <c r="B2326" s="54" t="s">
        <v>5500</v>
      </c>
      <c r="C2326" s="55" t="s">
        <v>5501</v>
      </c>
      <c r="D2326" s="54" t="s">
        <v>4387</v>
      </c>
      <c r="E2326" s="56">
        <v>0</v>
      </c>
      <c r="F2326" s="57" t="s">
        <v>792</v>
      </c>
      <c r="G2326" s="58">
        <v>8500</v>
      </c>
      <c r="H2326" s="59">
        <v>15000</v>
      </c>
      <c r="I2326" s="59">
        <f t="shared" si="72"/>
        <v>0</v>
      </c>
    </row>
    <row r="2327" spans="1:9" customFormat="1" x14ac:dyDescent="0.35">
      <c r="A2327" s="63">
        <f t="shared" si="73"/>
        <v>2326</v>
      </c>
      <c r="B2327" s="54" t="s">
        <v>5502</v>
      </c>
      <c r="C2327" s="55" t="s">
        <v>5503</v>
      </c>
      <c r="D2327" s="54" t="s">
        <v>4387</v>
      </c>
      <c r="E2327" s="56">
        <v>0</v>
      </c>
      <c r="F2327" s="57" t="s">
        <v>994</v>
      </c>
      <c r="G2327" s="58">
        <v>26000</v>
      </c>
      <c r="H2327" s="59">
        <v>37000</v>
      </c>
      <c r="I2327" s="59">
        <f t="shared" si="72"/>
        <v>0</v>
      </c>
    </row>
    <row r="2328" spans="1:9" customFormat="1" x14ac:dyDescent="0.35">
      <c r="A2328" s="63">
        <f t="shared" si="73"/>
        <v>2327</v>
      </c>
      <c r="B2328" s="54" t="s">
        <v>5504</v>
      </c>
      <c r="C2328" s="55" t="s">
        <v>5505</v>
      </c>
      <c r="D2328" s="54" t="s">
        <v>4387</v>
      </c>
      <c r="E2328" s="56">
        <v>0</v>
      </c>
      <c r="F2328" s="57" t="s">
        <v>792</v>
      </c>
      <c r="G2328" s="58">
        <v>31000</v>
      </c>
      <c r="H2328" s="59">
        <v>31000</v>
      </c>
      <c r="I2328" s="59">
        <f t="shared" si="72"/>
        <v>0</v>
      </c>
    </row>
    <row r="2329" spans="1:9" customFormat="1" x14ac:dyDescent="0.35">
      <c r="A2329" s="63">
        <f t="shared" si="73"/>
        <v>2328</v>
      </c>
      <c r="B2329" s="54" t="s">
        <v>5506</v>
      </c>
      <c r="C2329" s="55" t="s">
        <v>5507</v>
      </c>
      <c r="D2329" s="54" t="s">
        <v>4387</v>
      </c>
      <c r="E2329" s="56">
        <v>0</v>
      </c>
      <c r="F2329" s="57" t="s">
        <v>792</v>
      </c>
      <c r="G2329" s="58">
        <v>28000</v>
      </c>
      <c r="H2329" s="59">
        <v>28000</v>
      </c>
      <c r="I2329" s="59">
        <f t="shared" si="72"/>
        <v>0</v>
      </c>
    </row>
    <row r="2330" spans="1:9" customFormat="1" x14ac:dyDescent="0.35">
      <c r="A2330" s="63">
        <f t="shared" si="73"/>
        <v>2329</v>
      </c>
      <c r="B2330" s="54" t="s">
        <v>5508</v>
      </c>
      <c r="C2330" s="55" t="s">
        <v>5509</v>
      </c>
      <c r="D2330" s="54" t="s">
        <v>4387</v>
      </c>
      <c r="E2330" s="56">
        <v>0</v>
      </c>
      <c r="F2330" s="57" t="s">
        <v>792</v>
      </c>
      <c r="G2330" s="58">
        <v>2000</v>
      </c>
      <c r="H2330" s="59">
        <v>2000</v>
      </c>
      <c r="I2330" s="59">
        <f t="shared" si="72"/>
        <v>0</v>
      </c>
    </row>
    <row r="2331" spans="1:9" customFormat="1" x14ac:dyDescent="0.35">
      <c r="A2331" s="63">
        <f t="shared" si="73"/>
        <v>2330</v>
      </c>
      <c r="B2331" s="54" t="s">
        <v>5510</v>
      </c>
      <c r="C2331" s="55" t="s">
        <v>5511</v>
      </c>
      <c r="D2331" s="54" t="s">
        <v>4387</v>
      </c>
      <c r="E2331" s="56">
        <v>0</v>
      </c>
      <c r="F2331" s="57" t="s">
        <v>792</v>
      </c>
      <c r="G2331" s="58">
        <v>0</v>
      </c>
      <c r="H2331" s="59">
        <v>70200</v>
      </c>
      <c r="I2331" s="59">
        <f t="shared" si="72"/>
        <v>0</v>
      </c>
    </row>
    <row r="2332" spans="1:9" customFormat="1" x14ac:dyDescent="0.35">
      <c r="A2332" s="63">
        <f t="shared" si="73"/>
        <v>2331</v>
      </c>
      <c r="B2332" s="54" t="s">
        <v>5512</v>
      </c>
      <c r="C2332" s="55" t="s">
        <v>5513</v>
      </c>
      <c r="D2332" s="54" t="s">
        <v>4387</v>
      </c>
      <c r="E2332" s="56">
        <v>0</v>
      </c>
      <c r="F2332" s="57" t="s">
        <v>792</v>
      </c>
      <c r="G2332" s="58">
        <v>150000</v>
      </c>
      <c r="H2332" s="59">
        <v>150000</v>
      </c>
      <c r="I2332" s="59">
        <f t="shared" si="72"/>
        <v>0</v>
      </c>
    </row>
    <row r="2333" spans="1:9" customFormat="1" x14ac:dyDescent="0.35">
      <c r="A2333" s="63">
        <f t="shared" si="73"/>
        <v>2332</v>
      </c>
      <c r="B2333" s="54" t="s">
        <v>5514</v>
      </c>
      <c r="C2333" s="55" t="s">
        <v>5515</v>
      </c>
      <c r="D2333" s="54" t="s">
        <v>4387</v>
      </c>
      <c r="E2333" s="56">
        <v>0</v>
      </c>
      <c r="F2333" s="57" t="s">
        <v>792</v>
      </c>
      <c r="G2333" s="58">
        <v>95000</v>
      </c>
      <c r="H2333" s="59">
        <v>95000</v>
      </c>
      <c r="I2333" s="59">
        <f t="shared" si="72"/>
        <v>0</v>
      </c>
    </row>
    <row r="2334" spans="1:9" customFormat="1" x14ac:dyDescent="0.35">
      <c r="A2334" s="63">
        <f t="shared" si="73"/>
        <v>2333</v>
      </c>
      <c r="B2334" s="54" t="s">
        <v>5516</v>
      </c>
      <c r="C2334" s="55" t="s">
        <v>5517</v>
      </c>
      <c r="D2334" s="54" t="s">
        <v>4387</v>
      </c>
      <c r="E2334" s="56">
        <v>0</v>
      </c>
      <c r="F2334" s="57" t="s">
        <v>994</v>
      </c>
      <c r="G2334" s="58">
        <v>25000</v>
      </c>
      <c r="H2334" s="59">
        <v>34500</v>
      </c>
      <c r="I2334" s="59">
        <f t="shared" si="72"/>
        <v>0</v>
      </c>
    </row>
    <row r="2335" spans="1:9" customFormat="1" x14ac:dyDescent="0.35">
      <c r="A2335" s="63">
        <f t="shared" si="73"/>
        <v>2334</v>
      </c>
      <c r="B2335" s="54" t="s">
        <v>5518</v>
      </c>
      <c r="C2335" s="55" t="s">
        <v>5519</v>
      </c>
      <c r="D2335" s="54" t="s">
        <v>4387</v>
      </c>
      <c r="E2335" s="56">
        <v>0</v>
      </c>
      <c r="F2335" s="57" t="s">
        <v>792</v>
      </c>
      <c r="G2335" s="58">
        <v>84500</v>
      </c>
      <c r="H2335" s="59">
        <v>84500</v>
      </c>
      <c r="I2335" s="59">
        <f t="shared" si="72"/>
        <v>0</v>
      </c>
    </row>
    <row r="2336" spans="1:9" customFormat="1" x14ac:dyDescent="0.35">
      <c r="A2336" s="63">
        <f t="shared" si="73"/>
        <v>2335</v>
      </c>
      <c r="B2336" s="54" t="s">
        <v>5520</v>
      </c>
      <c r="C2336" s="55" t="s">
        <v>5521</v>
      </c>
      <c r="D2336" s="54" t="s">
        <v>4387</v>
      </c>
      <c r="E2336" s="56">
        <v>0</v>
      </c>
      <c r="F2336" s="57" t="s">
        <v>792</v>
      </c>
      <c r="G2336" s="58">
        <v>370000</v>
      </c>
      <c r="H2336" s="59">
        <v>545000</v>
      </c>
      <c r="I2336" s="59">
        <f t="shared" si="72"/>
        <v>0</v>
      </c>
    </row>
    <row r="2337" spans="1:9" customFormat="1" x14ac:dyDescent="0.35">
      <c r="A2337" s="63">
        <f t="shared" si="73"/>
        <v>2336</v>
      </c>
      <c r="B2337" s="54" t="s">
        <v>5522</v>
      </c>
      <c r="C2337" s="55" t="s">
        <v>5523</v>
      </c>
      <c r="D2337" s="54" t="s">
        <v>4387</v>
      </c>
      <c r="E2337" s="56">
        <v>0</v>
      </c>
      <c r="F2337" s="57" t="s">
        <v>792</v>
      </c>
      <c r="G2337" s="58">
        <v>187200</v>
      </c>
      <c r="H2337" s="59">
        <v>276000</v>
      </c>
      <c r="I2337" s="59">
        <f t="shared" si="72"/>
        <v>0</v>
      </c>
    </row>
    <row r="2338" spans="1:9" customFormat="1" x14ac:dyDescent="0.35">
      <c r="A2338" s="63">
        <f t="shared" si="73"/>
        <v>2337</v>
      </c>
      <c r="B2338" s="54" t="s">
        <v>5524</v>
      </c>
      <c r="C2338" s="55" t="s">
        <v>5525</v>
      </c>
      <c r="D2338" s="54" t="s">
        <v>4387</v>
      </c>
      <c r="E2338" s="56">
        <v>0</v>
      </c>
      <c r="F2338" s="57" t="s">
        <v>792</v>
      </c>
      <c r="G2338" s="58">
        <v>94718</v>
      </c>
      <c r="H2338" s="59">
        <v>219000</v>
      </c>
      <c r="I2338" s="59">
        <f t="shared" si="72"/>
        <v>0</v>
      </c>
    </row>
    <row r="2339" spans="1:9" customFormat="1" x14ac:dyDescent="0.35">
      <c r="A2339" s="63">
        <f t="shared" si="73"/>
        <v>2338</v>
      </c>
      <c r="B2339" s="54" t="s">
        <v>5526</v>
      </c>
      <c r="C2339" s="55" t="s">
        <v>5527</v>
      </c>
      <c r="D2339" s="54" t="s">
        <v>4387</v>
      </c>
      <c r="E2339" s="56">
        <v>0</v>
      </c>
      <c r="F2339" s="57" t="s">
        <v>792</v>
      </c>
      <c r="G2339" s="58">
        <v>98098</v>
      </c>
      <c r="H2339" s="59">
        <v>227000</v>
      </c>
      <c r="I2339" s="59">
        <f t="shared" si="72"/>
        <v>0</v>
      </c>
    </row>
    <row r="2340" spans="1:9" customFormat="1" x14ac:dyDescent="0.35">
      <c r="A2340" s="63">
        <f t="shared" si="73"/>
        <v>2339</v>
      </c>
      <c r="B2340" s="54" t="s">
        <v>5528</v>
      </c>
      <c r="C2340" s="55" t="s">
        <v>5529</v>
      </c>
      <c r="D2340" s="54" t="s">
        <v>4387</v>
      </c>
      <c r="E2340" s="56">
        <v>0</v>
      </c>
      <c r="F2340" s="57" t="s">
        <v>878</v>
      </c>
      <c r="G2340" s="58">
        <v>192000</v>
      </c>
      <c r="H2340" s="59">
        <v>174604</v>
      </c>
      <c r="I2340" s="59">
        <f t="shared" si="72"/>
        <v>0</v>
      </c>
    </row>
    <row r="2341" spans="1:9" customFormat="1" x14ac:dyDescent="0.35">
      <c r="A2341" s="63">
        <f t="shared" si="73"/>
        <v>2340</v>
      </c>
      <c r="B2341" s="54" t="s">
        <v>5530</v>
      </c>
      <c r="C2341" s="55" t="s">
        <v>5531</v>
      </c>
      <c r="D2341" s="54" t="s">
        <v>4387</v>
      </c>
      <c r="E2341" s="56">
        <v>0</v>
      </c>
      <c r="F2341" s="57" t="s">
        <v>792</v>
      </c>
      <c r="G2341" s="58">
        <v>98098</v>
      </c>
      <c r="H2341" s="59">
        <v>147500</v>
      </c>
      <c r="I2341" s="59">
        <f t="shared" si="72"/>
        <v>0</v>
      </c>
    </row>
    <row r="2342" spans="1:9" customFormat="1" x14ac:dyDescent="0.35">
      <c r="A2342" s="63">
        <f t="shared" si="73"/>
        <v>2341</v>
      </c>
      <c r="B2342" s="54" t="s">
        <v>5532</v>
      </c>
      <c r="C2342" s="55" t="s">
        <v>5533</v>
      </c>
      <c r="D2342" s="54" t="s">
        <v>4387</v>
      </c>
      <c r="E2342" s="56">
        <v>0</v>
      </c>
      <c r="F2342" s="57" t="s">
        <v>870</v>
      </c>
      <c r="G2342" s="58">
        <v>282180</v>
      </c>
      <c r="H2342" s="59">
        <v>282180</v>
      </c>
      <c r="I2342" s="59">
        <f t="shared" si="72"/>
        <v>0</v>
      </c>
    </row>
    <row r="2343" spans="1:9" customFormat="1" x14ac:dyDescent="0.35">
      <c r="A2343" s="63">
        <f t="shared" si="73"/>
        <v>2342</v>
      </c>
      <c r="B2343" s="54" t="s">
        <v>5534</v>
      </c>
      <c r="C2343" s="55" t="s">
        <v>5535</v>
      </c>
      <c r="D2343" s="54" t="s">
        <v>4387</v>
      </c>
      <c r="E2343" s="56">
        <v>0</v>
      </c>
      <c r="F2343" s="57" t="s">
        <v>792</v>
      </c>
      <c r="G2343" s="58">
        <v>272760</v>
      </c>
      <c r="H2343" s="59">
        <v>272760</v>
      </c>
      <c r="I2343" s="59">
        <f t="shared" si="72"/>
        <v>0</v>
      </c>
    </row>
    <row r="2344" spans="1:9" customFormat="1" x14ac:dyDescent="0.35">
      <c r="A2344" s="63">
        <f t="shared" si="73"/>
        <v>2343</v>
      </c>
      <c r="B2344" s="54" t="s">
        <v>5536</v>
      </c>
      <c r="C2344" s="55" t="s">
        <v>5537</v>
      </c>
      <c r="D2344" s="54" t="s">
        <v>4387</v>
      </c>
      <c r="E2344" s="56">
        <v>0</v>
      </c>
      <c r="F2344" s="57" t="s">
        <v>792</v>
      </c>
      <c r="G2344" s="58">
        <v>272760</v>
      </c>
      <c r="H2344" s="59">
        <v>272760</v>
      </c>
      <c r="I2344" s="59">
        <f t="shared" si="72"/>
        <v>0</v>
      </c>
    </row>
    <row r="2345" spans="1:9" customFormat="1" x14ac:dyDescent="0.35">
      <c r="A2345" s="63">
        <f t="shared" si="73"/>
        <v>2344</v>
      </c>
      <c r="B2345" s="54" t="s">
        <v>5538</v>
      </c>
      <c r="C2345" s="55" t="s">
        <v>5539</v>
      </c>
      <c r="D2345" s="54" t="s">
        <v>4387</v>
      </c>
      <c r="E2345" s="56">
        <v>0</v>
      </c>
      <c r="F2345" s="57" t="s">
        <v>792</v>
      </c>
      <c r="G2345" s="58">
        <v>136380</v>
      </c>
      <c r="H2345" s="59">
        <v>136380</v>
      </c>
      <c r="I2345" s="59">
        <f t="shared" si="72"/>
        <v>0</v>
      </c>
    </row>
    <row r="2346" spans="1:9" customFormat="1" x14ac:dyDescent="0.35">
      <c r="A2346" s="63">
        <f t="shared" si="73"/>
        <v>2345</v>
      </c>
      <c r="B2346" s="54" t="s">
        <v>5540</v>
      </c>
      <c r="C2346" s="55" t="s">
        <v>5541</v>
      </c>
      <c r="D2346" s="54" t="s">
        <v>4387</v>
      </c>
      <c r="E2346" s="56">
        <v>0</v>
      </c>
      <c r="F2346" s="57" t="s">
        <v>792</v>
      </c>
      <c r="G2346" s="58">
        <v>137280</v>
      </c>
      <c r="H2346" s="59">
        <v>137280</v>
      </c>
      <c r="I2346" s="59">
        <f t="shared" si="72"/>
        <v>0</v>
      </c>
    </row>
    <row r="2347" spans="1:9" customFormat="1" x14ac:dyDescent="0.35">
      <c r="A2347" s="63">
        <f t="shared" si="73"/>
        <v>2346</v>
      </c>
      <c r="B2347" s="54" t="s">
        <v>5542</v>
      </c>
      <c r="C2347" s="55" t="s">
        <v>5543</v>
      </c>
      <c r="D2347" s="54" t="s">
        <v>4387</v>
      </c>
      <c r="E2347" s="56">
        <v>0</v>
      </c>
      <c r="F2347" s="57" t="s">
        <v>792</v>
      </c>
      <c r="G2347" s="58">
        <v>150920</v>
      </c>
      <c r="H2347" s="59">
        <v>150920</v>
      </c>
      <c r="I2347" s="59">
        <f t="shared" si="72"/>
        <v>0</v>
      </c>
    </row>
    <row r="2348" spans="1:9" customFormat="1" x14ac:dyDescent="0.35">
      <c r="A2348" s="63">
        <f t="shared" si="73"/>
        <v>2347</v>
      </c>
      <c r="B2348" s="54" t="s">
        <v>5544</v>
      </c>
      <c r="C2348" s="55" t="s">
        <v>5545</v>
      </c>
      <c r="D2348" s="54" t="s">
        <v>4387</v>
      </c>
      <c r="E2348" s="56">
        <v>0</v>
      </c>
      <c r="F2348" s="57" t="s">
        <v>792</v>
      </c>
      <c r="G2348" s="58">
        <v>207900</v>
      </c>
      <c r="H2348" s="59">
        <v>207900</v>
      </c>
      <c r="I2348" s="59">
        <f t="shared" si="72"/>
        <v>0</v>
      </c>
    </row>
    <row r="2349" spans="1:9" customFormat="1" x14ac:dyDescent="0.35">
      <c r="A2349" s="63">
        <f t="shared" si="73"/>
        <v>2348</v>
      </c>
      <c r="B2349" s="54" t="s">
        <v>5546</v>
      </c>
      <c r="C2349" s="55" t="s">
        <v>5547</v>
      </c>
      <c r="D2349" s="54" t="s">
        <v>4387</v>
      </c>
      <c r="E2349" s="56">
        <v>0</v>
      </c>
      <c r="F2349" s="57" t="s">
        <v>792</v>
      </c>
      <c r="G2349" s="58">
        <v>0</v>
      </c>
      <c r="H2349" s="59">
        <v>176500</v>
      </c>
      <c r="I2349" s="59">
        <f t="shared" si="72"/>
        <v>0</v>
      </c>
    </row>
    <row r="2350" spans="1:9" customFormat="1" x14ac:dyDescent="0.35">
      <c r="A2350" s="63">
        <f t="shared" si="73"/>
        <v>2349</v>
      </c>
      <c r="B2350" s="54" t="s">
        <v>5548</v>
      </c>
      <c r="C2350" s="55" t="s">
        <v>5549</v>
      </c>
      <c r="D2350" s="54" t="s">
        <v>4387</v>
      </c>
      <c r="E2350" s="56">
        <v>0</v>
      </c>
      <c r="F2350" s="57" t="s">
        <v>792</v>
      </c>
      <c r="G2350" s="58">
        <v>6500</v>
      </c>
      <c r="H2350" s="59">
        <v>10300</v>
      </c>
      <c r="I2350" s="59">
        <f t="shared" si="72"/>
        <v>0</v>
      </c>
    </row>
    <row r="2351" spans="1:9" customFormat="1" x14ac:dyDescent="0.35">
      <c r="A2351" s="63">
        <f t="shared" si="73"/>
        <v>2350</v>
      </c>
      <c r="B2351" s="54" t="s">
        <v>5550</v>
      </c>
      <c r="C2351" s="55" t="s">
        <v>5551</v>
      </c>
      <c r="D2351" s="54" t="s">
        <v>4387</v>
      </c>
      <c r="E2351" s="56">
        <v>0</v>
      </c>
      <c r="F2351" s="57" t="s">
        <v>792</v>
      </c>
      <c r="G2351" s="58">
        <v>2474</v>
      </c>
      <c r="H2351" s="59">
        <v>5200</v>
      </c>
      <c r="I2351" s="59">
        <f t="shared" si="72"/>
        <v>0</v>
      </c>
    </row>
    <row r="2352" spans="1:9" customFormat="1" x14ac:dyDescent="0.35">
      <c r="A2352" s="63">
        <f t="shared" si="73"/>
        <v>2351</v>
      </c>
      <c r="B2352" s="54" t="s">
        <v>5552</v>
      </c>
      <c r="C2352" s="55" t="s">
        <v>5553</v>
      </c>
      <c r="D2352" s="54" t="s">
        <v>4387</v>
      </c>
      <c r="E2352" s="56">
        <v>0</v>
      </c>
      <c r="F2352" s="57" t="s">
        <v>792</v>
      </c>
      <c r="G2352" s="58">
        <v>7150</v>
      </c>
      <c r="H2352" s="59">
        <v>7150</v>
      </c>
      <c r="I2352" s="59">
        <f t="shared" si="72"/>
        <v>0</v>
      </c>
    </row>
    <row r="2353" spans="1:9" customFormat="1" x14ac:dyDescent="0.35">
      <c r="A2353" s="63">
        <f t="shared" si="73"/>
        <v>2352</v>
      </c>
      <c r="B2353" s="54" t="s">
        <v>5554</v>
      </c>
      <c r="C2353" s="55" t="s">
        <v>5555</v>
      </c>
      <c r="D2353" s="54" t="s">
        <v>4387</v>
      </c>
      <c r="E2353" s="56">
        <v>0</v>
      </c>
      <c r="F2353" s="57" t="s">
        <v>792</v>
      </c>
      <c r="G2353" s="58">
        <v>3880</v>
      </c>
      <c r="H2353" s="59">
        <v>3880</v>
      </c>
      <c r="I2353" s="59">
        <f t="shared" si="72"/>
        <v>0</v>
      </c>
    </row>
    <row r="2354" spans="1:9" customFormat="1" x14ac:dyDescent="0.35">
      <c r="A2354" s="63">
        <f t="shared" si="73"/>
        <v>2353</v>
      </c>
      <c r="B2354" s="54" t="s">
        <v>5556</v>
      </c>
      <c r="C2354" s="55" t="s">
        <v>5557</v>
      </c>
      <c r="D2354" s="54" t="s">
        <v>4387</v>
      </c>
      <c r="E2354" s="56">
        <v>0</v>
      </c>
      <c r="F2354" s="57" t="s">
        <v>792</v>
      </c>
      <c r="G2354" s="58">
        <v>69300</v>
      </c>
      <c r="H2354" s="59">
        <v>102000</v>
      </c>
      <c r="I2354" s="59">
        <f t="shared" si="72"/>
        <v>0</v>
      </c>
    </row>
    <row r="2355" spans="1:9" customFormat="1" x14ac:dyDescent="0.35">
      <c r="A2355" s="63">
        <f t="shared" si="73"/>
        <v>2354</v>
      </c>
      <c r="B2355" s="54" t="s">
        <v>5558</v>
      </c>
      <c r="C2355" s="55" t="s">
        <v>5559</v>
      </c>
      <c r="D2355" s="54" t="s">
        <v>4387</v>
      </c>
      <c r="E2355" s="56">
        <v>0</v>
      </c>
      <c r="F2355" s="57" t="s">
        <v>1180</v>
      </c>
      <c r="G2355" s="58">
        <v>38000</v>
      </c>
      <c r="H2355" s="59">
        <v>0</v>
      </c>
      <c r="I2355" s="59">
        <f t="shared" si="72"/>
        <v>0</v>
      </c>
    </row>
    <row r="2356" spans="1:9" customFormat="1" x14ac:dyDescent="0.35">
      <c r="A2356" s="63">
        <f t="shared" si="73"/>
        <v>2355</v>
      </c>
      <c r="B2356" s="54" t="s">
        <v>5560</v>
      </c>
      <c r="C2356" s="55" t="s">
        <v>5561</v>
      </c>
      <c r="D2356" s="54" t="s">
        <v>4387</v>
      </c>
      <c r="E2356" s="56">
        <v>0</v>
      </c>
      <c r="F2356" s="57" t="s">
        <v>994</v>
      </c>
      <c r="G2356" s="58">
        <v>90000</v>
      </c>
      <c r="H2356" s="59">
        <v>90000</v>
      </c>
      <c r="I2356" s="59">
        <f t="shared" si="72"/>
        <v>0</v>
      </c>
    </row>
    <row r="2357" spans="1:9" customFormat="1" x14ac:dyDescent="0.35">
      <c r="A2357" s="63">
        <f t="shared" si="73"/>
        <v>2356</v>
      </c>
      <c r="B2357" s="54" t="s">
        <v>5562</v>
      </c>
      <c r="C2357" s="55" t="s">
        <v>5563</v>
      </c>
      <c r="D2357" s="54" t="s">
        <v>4387</v>
      </c>
      <c r="E2357" s="56">
        <v>0</v>
      </c>
      <c r="F2357" s="57" t="s">
        <v>994</v>
      </c>
      <c r="G2357" s="58">
        <v>140000</v>
      </c>
      <c r="H2357" s="59">
        <v>210000</v>
      </c>
      <c r="I2357" s="59">
        <f t="shared" si="72"/>
        <v>0</v>
      </c>
    </row>
    <row r="2358" spans="1:9" customFormat="1" x14ac:dyDescent="0.35">
      <c r="A2358" s="63">
        <f t="shared" si="73"/>
        <v>2357</v>
      </c>
      <c r="B2358" s="54" t="s">
        <v>5564</v>
      </c>
      <c r="C2358" s="55" t="s">
        <v>5565</v>
      </c>
      <c r="D2358" s="54" t="s">
        <v>4387</v>
      </c>
      <c r="E2358" s="56">
        <v>0</v>
      </c>
      <c r="F2358" s="57" t="s">
        <v>994</v>
      </c>
      <c r="G2358" s="58">
        <v>25675</v>
      </c>
      <c r="H2358" s="59">
        <v>48000</v>
      </c>
      <c r="I2358" s="59">
        <f t="shared" si="72"/>
        <v>0</v>
      </c>
    </row>
    <row r="2359" spans="1:9" customFormat="1" ht="23" x14ac:dyDescent="0.35">
      <c r="A2359" s="63">
        <f t="shared" si="73"/>
        <v>2358</v>
      </c>
      <c r="B2359" s="54" t="s">
        <v>5566</v>
      </c>
      <c r="C2359" s="55" t="s">
        <v>5567</v>
      </c>
      <c r="D2359" s="54" t="s">
        <v>4387</v>
      </c>
      <c r="E2359" s="56">
        <v>0</v>
      </c>
      <c r="F2359" s="57" t="s">
        <v>974</v>
      </c>
      <c r="G2359" s="58">
        <v>450000</v>
      </c>
      <c r="H2359" s="59">
        <v>675000</v>
      </c>
      <c r="I2359" s="59">
        <f t="shared" si="72"/>
        <v>0</v>
      </c>
    </row>
    <row r="2360" spans="1:9" customFormat="1" x14ac:dyDescent="0.35">
      <c r="A2360" s="63">
        <f t="shared" si="73"/>
        <v>2359</v>
      </c>
      <c r="B2360" s="54" t="s">
        <v>5568</v>
      </c>
      <c r="C2360" s="55" t="s">
        <v>5569</v>
      </c>
      <c r="D2360" s="54" t="s">
        <v>4387</v>
      </c>
      <c r="E2360" s="56">
        <v>0</v>
      </c>
      <c r="F2360" s="57" t="s">
        <v>792</v>
      </c>
      <c r="G2360" s="58">
        <v>145000</v>
      </c>
      <c r="H2360" s="59">
        <v>213200</v>
      </c>
      <c r="I2360" s="59">
        <f t="shared" si="72"/>
        <v>0</v>
      </c>
    </row>
    <row r="2361" spans="1:9" customFormat="1" x14ac:dyDescent="0.35">
      <c r="A2361" s="63">
        <f t="shared" si="73"/>
        <v>2360</v>
      </c>
      <c r="B2361" s="54" t="s">
        <v>5570</v>
      </c>
      <c r="C2361" s="55" t="s">
        <v>5571</v>
      </c>
      <c r="D2361" s="54" t="s">
        <v>4387</v>
      </c>
      <c r="E2361" s="56">
        <v>0</v>
      </c>
      <c r="F2361" s="57" t="s">
        <v>792</v>
      </c>
      <c r="G2361" s="58">
        <v>50000</v>
      </c>
      <c r="H2361" s="59">
        <v>50000</v>
      </c>
      <c r="I2361" s="59">
        <f t="shared" si="72"/>
        <v>0</v>
      </c>
    </row>
    <row r="2362" spans="1:9" customFormat="1" x14ac:dyDescent="0.35">
      <c r="A2362" s="63">
        <f t="shared" si="73"/>
        <v>2361</v>
      </c>
      <c r="B2362" s="54" t="s">
        <v>5572</v>
      </c>
      <c r="C2362" s="55" t="s">
        <v>5573</v>
      </c>
      <c r="D2362" s="54" t="s">
        <v>4387</v>
      </c>
      <c r="E2362" s="56">
        <v>0</v>
      </c>
      <c r="F2362" s="57" t="s">
        <v>792</v>
      </c>
      <c r="G2362" s="58">
        <v>89700</v>
      </c>
      <c r="H2362" s="59">
        <v>150000</v>
      </c>
      <c r="I2362" s="59">
        <f t="shared" si="72"/>
        <v>0</v>
      </c>
    </row>
    <row r="2363" spans="1:9" customFormat="1" x14ac:dyDescent="0.35">
      <c r="A2363" s="63">
        <f t="shared" si="73"/>
        <v>2362</v>
      </c>
      <c r="B2363" s="54" t="s">
        <v>5574</v>
      </c>
      <c r="C2363" s="55" t="s">
        <v>5575</v>
      </c>
      <c r="D2363" s="54" t="s">
        <v>4387</v>
      </c>
      <c r="E2363" s="56">
        <v>0</v>
      </c>
      <c r="F2363" s="57" t="s">
        <v>792</v>
      </c>
      <c r="G2363" s="58">
        <v>620000</v>
      </c>
      <c r="H2363" s="59">
        <v>578000</v>
      </c>
      <c r="I2363" s="59">
        <f t="shared" si="72"/>
        <v>0</v>
      </c>
    </row>
    <row r="2364" spans="1:9" customFormat="1" x14ac:dyDescent="0.35">
      <c r="A2364" s="63">
        <f t="shared" si="73"/>
        <v>2363</v>
      </c>
      <c r="B2364" s="54" t="s">
        <v>5576</v>
      </c>
      <c r="C2364" s="55" t="s">
        <v>5577</v>
      </c>
      <c r="D2364" s="54" t="s">
        <v>4387</v>
      </c>
      <c r="E2364" s="56">
        <v>0</v>
      </c>
      <c r="F2364" s="57" t="s">
        <v>792</v>
      </c>
      <c r="G2364" s="58">
        <v>4500</v>
      </c>
      <c r="H2364" s="59">
        <v>7000</v>
      </c>
      <c r="I2364" s="59">
        <f t="shared" si="72"/>
        <v>0</v>
      </c>
    </row>
    <row r="2365" spans="1:9" customFormat="1" x14ac:dyDescent="0.35">
      <c r="A2365" s="63">
        <f t="shared" si="73"/>
        <v>2364</v>
      </c>
      <c r="B2365" s="54" t="s">
        <v>5578</v>
      </c>
      <c r="C2365" s="55" t="s">
        <v>5579</v>
      </c>
      <c r="D2365" s="54" t="s">
        <v>4387</v>
      </c>
      <c r="E2365" s="56">
        <v>0</v>
      </c>
      <c r="F2365" s="57" t="s">
        <v>792</v>
      </c>
      <c r="G2365" s="58">
        <v>0</v>
      </c>
      <c r="H2365" s="59">
        <v>19500</v>
      </c>
      <c r="I2365" s="59">
        <f t="shared" si="72"/>
        <v>0</v>
      </c>
    </row>
    <row r="2366" spans="1:9" customFormat="1" x14ac:dyDescent="0.35">
      <c r="A2366" s="63">
        <f t="shared" si="73"/>
        <v>2365</v>
      </c>
      <c r="B2366" s="54" t="s">
        <v>5580</v>
      </c>
      <c r="C2366" s="55" t="s">
        <v>5581</v>
      </c>
      <c r="D2366" s="54" t="s">
        <v>4387</v>
      </c>
      <c r="E2366" s="56">
        <v>0</v>
      </c>
      <c r="F2366" s="57" t="s">
        <v>792</v>
      </c>
      <c r="G2366" s="58">
        <v>3500</v>
      </c>
      <c r="H2366" s="59">
        <v>7000</v>
      </c>
      <c r="I2366" s="59">
        <f t="shared" si="72"/>
        <v>0</v>
      </c>
    </row>
    <row r="2367" spans="1:9" customFormat="1" x14ac:dyDescent="0.35">
      <c r="A2367" s="63">
        <f t="shared" si="73"/>
        <v>2366</v>
      </c>
      <c r="B2367" s="54" t="s">
        <v>5582</v>
      </c>
      <c r="C2367" s="55" t="s">
        <v>5583</v>
      </c>
      <c r="D2367" s="54" t="s">
        <v>4387</v>
      </c>
      <c r="E2367" s="56">
        <v>0</v>
      </c>
      <c r="F2367" s="57" t="s">
        <v>792</v>
      </c>
      <c r="G2367" s="58">
        <v>3500</v>
      </c>
      <c r="H2367" s="59">
        <v>5950</v>
      </c>
      <c r="I2367" s="59">
        <f t="shared" si="72"/>
        <v>0</v>
      </c>
    </row>
    <row r="2368" spans="1:9" customFormat="1" x14ac:dyDescent="0.35">
      <c r="A2368" s="63">
        <f t="shared" si="73"/>
        <v>2367</v>
      </c>
      <c r="B2368" s="54" t="s">
        <v>5584</v>
      </c>
      <c r="C2368" s="55" t="s">
        <v>5585</v>
      </c>
      <c r="D2368" s="54" t="s">
        <v>4387</v>
      </c>
      <c r="E2368" s="56">
        <v>0</v>
      </c>
      <c r="F2368" s="57" t="s">
        <v>792</v>
      </c>
      <c r="G2368" s="58">
        <v>148500</v>
      </c>
      <c r="H2368" s="59">
        <v>148000</v>
      </c>
      <c r="I2368" s="59">
        <f t="shared" si="72"/>
        <v>0</v>
      </c>
    </row>
    <row r="2369" spans="1:9" customFormat="1" x14ac:dyDescent="0.35">
      <c r="A2369" s="63">
        <f t="shared" si="73"/>
        <v>2368</v>
      </c>
      <c r="B2369" s="54" t="s">
        <v>5586</v>
      </c>
      <c r="C2369" s="55" t="s">
        <v>5587</v>
      </c>
      <c r="D2369" s="54" t="s">
        <v>4387</v>
      </c>
      <c r="E2369" s="56">
        <v>0</v>
      </c>
      <c r="F2369" s="57" t="s">
        <v>792</v>
      </c>
      <c r="G2369" s="58">
        <v>66000</v>
      </c>
      <c r="H2369" s="59">
        <v>66000</v>
      </c>
      <c r="I2369" s="59">
        <f t="shared" si="72"/>
        <v>0</v>
      </c>
    </row>
    <row r="2370" spans="1:9" customFormat="1" x14ac:dyDescent="0.35">
      <c r="A2370" s="63">
        <f t="shared" si="73"/>
        <v>2369</v>
      </c>
      <c r="B2370" s="54" t="s">
        <v>5588</v>
      </c>
      <c r="C2370" s="55" t="s">
        <v>5589</v>
      </c>
      <c r="D2370" s="54" t="s">
        <v>4387</v>
      </c>
      <c r="E2370" s="56">
        <v>0</v>
      </c>
      <c r="F2370" s="57" t="s">
        <v>792</v>
      </c>
      <c r="G2370" s="58">
        <v>57500</v>
      </c>
      <c r="H2370" s="59">
        <v>57500</v>
      </c>
      <c r="I2370" s="59">
        <f t="shared" si="72"/>
        <v>0</v>
      </c>
    </row>
    <row r="2371" spans="1:9" customFormat="1" x14ac:dyDescent="0.35">
      <c r="A2371" s="63">
        <f t="shared" si="73"/>
        <v>2370</v>
      </c>
      <c r="B2371" s="54" t="s">
        <v>5590</v>
      </c>
      <c r="C2371" s="55" t="s">
        <v>5591</v>
      </c>
      <c r="D2371" s="54" t="s">
        <v>4387</v>
      </c>
      <c r="E2371" s="56">
        <v>0</v>
      </c>
      <c r="F2371" s="57" t="s">
        <v>792</v>
      </c>
      <c r="G2371" s="58">
        <v>159251</v>
      </c>
      <c r="H2371" s="59">
        <v>175751</v>
      </c>
      <c r="I2371" s="59">
        <f t="shared" ref="I2371:I2434" si="74">H2371*E2371</f>
        <v>0</v>
      </c>
    </row>
    <row r="2372" spans="1:9" customFormat="1" x14ac:dyDescent="0.35">
      <c r="A2372" s="63">
        <f t="shared" ref="A2372:A2435" si="75">A2371+1</f>
        <v>2371</v>
      </c>
      <c r="B2372" s="54" t="s">
        <v>5592</v>
      </c>
      <c r="C2372" s="55" t="s">
        <v>5593</v>
      </c>
      <c r="D2372" s="54" t="s">
        <v>4387</v>
      </c>
      <c r="E2372" s="56">
        <v>0</v>
      </c>
      <c r="F2372" s="57" t="s">
        <v>792</v>
      </c>
      <c r="G2372" s="58">
        <v>64000</v>
      </c>
      <c r="H2372" s="59">
        <v>0</v>
      </c>
      <c r="I2372" s="59">
        <f t="shared" si="74"/>
        <v>0</v>
      </c>
    </row>
    <row r="2373" spans="1:9" customFormat="1" x14ac:dyDescent="0.35">
      <c r="A2373" s="63">
        <f t="shared" si="75"/>
        <v>2372</v>
      </c>
      <c r="B2373" s="54" t="s">
        <v>5594</v>
      </c>
      <c r="C2373" s="55" t="s">
        <v>5595</v>
      </c>
      <c r="D2373" s="54" t="s">
        <v>4387</v>
      </c>
      <c r="E2373" s="56">
        <v>0</v>
      </c>
      <c r="F2373" s="57" t="s">
        <v>792</v>
      </c>
      <c r="G2373" s="58">
        <v>105000</v>
      </c>
      <c r="H2373" s="59">
        <v>105000</v>
      </c>
      <c r="I2373" s="59">
        <f t="shared" si="74"/>
        <v>0</v>
      </c>
    </row>
    <row r="2374" spans="1:9" customFormat="1" x14ac:dyDescent="0.35">
      <c r="A2374" s="63">
        <f t="shared" si="75"/>
        <v>2373</v>
      </c>
      <c r="B2374" s="54" t="s">
        <v>5596</v>
      </c>
      <c r="C2374" s="55" t="s">
        <v>5597</v>
      </c>
      <c r="D2374" s="54" t="s">
        <v>4387</v>
      </c>
      <c r="E2374" s="56">
        <v>0</v>
      </c>
      <c r="F2374" s="57" t="s">
        <v>792</v>
      </c>
      <c r="G2374" s="58">
        <v>265000</v>
      </c>
      <c r="H2374" s="59">
        <v>265000</v>
      </c>
      <c r="I2374" s="59">
        <f t="shared" si="74"/>
        <v>0</v>
      </c>
    </row>
    <row r="2375" spans="1:9" customFormat="1" ht="23" x14ac:dyDescent="0.35">
      <c r="A2375" s="63">
        <f t="shared" si="75"/>
        <v>2374</v>
      </c>
      <c r="B2375" s="54" t="s">
        <v>5598</v>
      </c>
      <c r="C2375" s="55" t="s">
        <v>5599</v>
      </c>
      <c r="D2375" s="54" t="s">
        <v>4387</v>
      </c>
      <c r="E2375" s="56">
        <v>0</v>
      </c>
      <c r="F2375" s="57" t="s">
        <v>792</v>
      </c>
      <c r="G2375" s="58">
        <v>40000</v>
      </c>
      <c r="H2375" s="59">
        <v>40000</v>
      </c>
      <c r="I2375" s="59">
        <f t="shared" si="74"/>
        <v>0</v>
      </c>
    </row>
    <row r="2376" spans="1:9" customFormat="1" x14ac:dyDescent="0.35">
      <c r="A2376" s="63">
        <f t="shared" si="75"/>
        <v>2375</v>
      </c>
      <c r="B2376" s="54" t="s">
        <v>5600</v>
      </c>
      <c r="C2376" s="55" t="s">
        <v>5601</v>
      </c>
      <c r="D2376" s="54" t="s">
        <v>4387</v>
      </c>
      <c r="E2376" s="56">
        <v>0</v>
      </c>
      <c r="F2376" s="57" t="s">
        <v>792</v>
      </c>
      <c r="G2376" s="58">
        <v>36500</v>
      </c>
      <c r="H2376" s="59">
        <v>36500</v>
      </c>
      <c r="I2376" s="59">
        <f t="shared" si="74"/>
        <v>0</v>
      </c>
    </row>
    <row r="2377" spans="1:9" customFormat="1" x14ac:dyDescent="0.35">
      <c r="A2377" s="63">
        <f t="shared" si="75"/>
        <v>2376</v>
      </c>
      <c r="B2377" s="54" t="s">
        <v>5602</v>
      </c>
      <c r="C2377" s="55" t="s">
        <v>5603</v>
      </c>
      <c r="D2377" s="54" t="s">
        <v>4387</v>
      </c>
      <c r="E2377" s="56">
        <v>0</v>
      </c>
      <c r="F2377" s="57" t="s">
        <v>792</v>
      </c>
      <c r="G2377" s="58">
        <v>163000</v>
      </c>
      <c r="H2377" s="59">
        <v>244500</v>
      </c>
      <c r="I2377" s="59">
        <f t="shared" si="74"/>
        <v>0</v>
      </c>
    </row>
    <row r="2378" spans="1:9" customFormat="1" x14ac:dyDescent="0.35">
      <c r="A2378" s="63">
        <f t="shared" si="75"/>
        <v>2377</v>
      </c>
      <c r="B2378" s="54" t="s">
        <v>5604</v>
      </c>
      <c r="C2378" s="55" t="s">
        <v>5605</v>
      </c>
      <c r="D2378" s="54" t="s">
        <v>4387</v>
      </c>
      <c r="E2378" s="92">
        <v>758</v>
      </c>
      <c r="F2378" s="57" t="s">
        <v>815</v>
      </c>
      <c r="G2378" s="58">
        <v>19000</v>
      </c>
      <c r="H2378" s="59">
        <v>33400</v>
      </c>
      <c r="I2378" s="59">
        <f t="shared" si="74"/>
        <v>25317200</v>
      </c>
    </row>
    <row r="2379" spans="1:9" customFormat="1" ht="23" x14ac:dyDescent="0.35">
      <c r="A2379" s="63">
        <f t="shared" si="75"/>
        <v>2378</v>
      </c>
      <c r="B2379" s="54" t="s">
        <v>5606</v>
      </c>
      <c r="C2379" s="55" t="s">
        <v>5607</v>
      </c>
      <c r="D2379" s="54" t="s">
        <v>5608</v>
      </c>
      <c r="E2379" s="56">
        <v>0</v>
      </c>
      <c r="F2379" s="57" t="s">
        <v>792</v>
      </c>
      <c r="G2379" s="58">
        <v>0</v>
      </c>
      <c r="H2379" s="59">
        <v>1255000</v>
      </c>
      <c r="I2379" s="59">
        <f t="shared" si="74"/>
        <v>0</v>
      </c>
    </row>
    <row r="2380" spans="1:9" customFormat="1" x14ac:dyDescent="0.35">
      <c r="A2380" s="63">
        <f t="shared" si="75"/>
        <v>2379</v>
      </c>
      <c r="B2380" s="54" t="s">
        <v>5609</v>
      </c>
      <c r="C2380" s="55" t="s">
        <v>5610</v>
      </c>
      <c r="D2380" s="54" t="s">
        <v>5608</v>
      </c>
      <c r="E2380" s="56">
        <v>0</v>
      </c>
      <c r="F2380" s="57" t="s">
        <v>878</v>
      </c>
      <c r="G2380" s="58">
        <v>275000</v>
      </c>
      <c r="H2380" s="59">
        <v>390000</v>
      </c>
      <c r="I2380" s="59">
        <f t="shared" si="74"/>
        <v>0</v>
      </c>
    </row>
    <row r="2381" spans="1:9" customFormat="1" x14ac:dyDescent="0.35">
      <c r="A2381" s="63">
        <f t="shared" si="75"/>
        <v>2380</v>
      </c>
      <c r="B2381" s="54" t="s">
        <v>5611</v>
      </c>
      <c r="C2381" s="55" t="s">
        <v>5612</v>
      </c>
      <c r="D2381" s="54" t="s">
        <v>5608</v>
      </c>
      <c r="E2381" s="56">
        <v>0</v>
      </c>
      <c r="F2381" s="57" t="s">
        <v>792</v>
      </c>
      <c r="G2381" s="58">
        <v>12000</v>
      </c>
      <c r="H2381" s="59">
        <v>20000</v>
      </c>
      <c r="I2381" s="59">
        <f t="shared" si="74"/>
        <v>0</v>
      </c>
    </row>
    <row r="2382" spans="1:9" customFormat="1" x14ac:dyDescent="0.35">
      <c r="A2382" s="63">
        <f t="shared" si="75"/>
        <v>2381</v>
      </c>
      <c r="B2382" s="54" t="s">
        <v>5613</v>
      </c>
      <c r="C2382" s="55" t="s">
        <v>5614</v>
      </c>
      <c r="D2382" s="54" t="s">
        <v>5608</v>
      </c>
      <c r="E2382" s="56">
        <v>0</v>
      </c>
      <c r="F2382" s="57" t="s">
        <v>792</v>
      </c>
      <c r="G2382" s="58">
        <v>21500</v>
      </c>
      <c r="H2382" s="59">
        <v>32465</v>
      </c>
      <c r="I2382" s="59">
        <f t="shared" si="74"/>
        <v>0</v>
      </c>
    </row>
    <row r="2383" spans="1:9" customFormat="1" ht="23" x14ac:dyDescent="0.35">
      <c r="A2383" s="63">
        <f t="shared" si="75"/>
        <v>2382</v>
      </c>
      <c r="B2383" s="54" t="s">
        <v>5615</v>
      </c>
      <c r="C2383" s="55" t="s">
        <v>5616</v>
      </c>
      <c r="D2383" s="54" t="s">
        <v>5608</v>
      </c>
      <c r="E2383" s="56">
        <v>0</v>
      </c>
      <c r="F2383" s="57" t="s">
        <v>792</v>
      </c>
      <c r="G2383" s="58">
        <v>31250</v>
      </c>
      <c r="H2383" s="59">
        <v>62500</v>
      </c>
      <c r="I2383" s="59">
        <f t="shared" si="74"/>
        <v>0</v>
      </c>
    </row>
    <row r="2384" spans="1:9" customFormat="1" x14ac:dyDescent="0.35">
      <c r="A2384" s="63">
        <f t="shared" si="75"/>
        <v>2383</v>
      </c>
      <c r="B2384" s="54" t="s">
        <v>5617</v>
      </c>
      <c r="C2384" s="55" t="s">
        <v>5618</v>
      </c>
      <c r="D2384" s="54" t="s">
        <v>5608</v>
      </c>
      <c r="E2384" s="56">
        <v>0</v>
      </c>
      <c r="F2384" s="57" t="s">
        <v>792</v>
      </c>
      <c r="G2384" s="58">
        <v>2000</v>
      </c>
      <c r="H2384" s="59">
        <v>4000</v>
      </c>
      <c r="I2384" s="59">
        <f t="shared" si="74"/>
        <v>0</v>
      </c>
    </row>
    <row r="2385" spans="1:9" customFormat="1" x14ac:dyDescent="0.35">
      <c r="A2385" s="63">
        <f t="shared" si="75"/>
        <v>2384</v>
      </c>
      <c r="B2385" s="54" t="s">
        <v>5619</v>
      </c>
      <c r="C2385" s="55" t="s">
        <v>5620</v>
      </c>
      <c r="D2385" s="54" t="s">
        <v>5608</v>
      </c>
      <c r="E2385" s="56">
        <v>0</v>
      </c>
      <c r="F2385" s="57" t="s">
        <v>792</v>
      </c>
      <c r="G2385" s="58">
        <v>2000</v>
      </c>
      <c r="H2385" s="59">
        <v>4000</v>
      </c>
      <c r="I2385" s="59">
        <f t="shared" si="74"/>
        <v>0</v>
      </c>
    </row>
    <row r="2386" spans="1:9" customFormat="1" x14ac:dyDescent="0.35">
      <c r="A2386" s="63">
        <f t="shared" si="75"/>
        <v>2385</v>
      </c>
      <c r="B2386" s="54" t="s">
        <v>5621</v>
      </c>
      <c r="C2386" s="55" t="s">
        <v>5622</v>
      </c>
      <c r="D2386" s="54" t="s">
        <v>5608</v>
      </c>
      <c r="E2386" s="56">
        <v>0</v>
      </c>
      <c r="F2386" s="57" t="s">
        <v>792</v>
      </c>
      <c r="G2386" s="58">
        <v>4750</v>
      </c>
      <c r="H2386" s="59">
        <v>9500</v>
      </c>
      <c r="I2386" s="59">
        <f t="shared" si="74"/>
        <v>0</v>
      </c>
    </row>
    <row r="2387" spans="1:9" customFormat="1" x14ac:dyDescent="0.35">
      <c r="A2387" s="63">
        <f t="shared" si="75"/>
        <v>2386</v>
      </c>
      <c r="B2387" s="54" t="s">
        <v>5623</v>
      </c>
      <c r="C2387" s="55" t="s">
        <v>5624</v>
      </c>
      <c r="D2387" s="54" t="s">
        <v>5608</v>
      </c>
      <c r="E2387" s="56">
        <v>0</v>
      </c>
      <c r="F2387" s="57" t="s">
        <v>792</v>
      </c>
      <c r="G2387" s="58">
        <v>5000</v>
      </c>
      <c r="H2387" s="59">
        <v>10000</v>
      </c>
      <c r="I2387" s="59">
        <f t="shared" si="74"/>
        <v>0</v>
      </c>
    </row>
    <row r="2388" spans="1:9" customFormat="1" ht="23" x14ac:dyDescent="0.35">
      <c r="A2388" s="63">
        <f t="shared" si="75"/>
        <v>2387</v>
      </c>
      <c r="B2388" s="54" t="s">
        <v>5625</v>
      </c>
      <c r="C2388" s="55" t="s">
        <v>5626</v>
      </c>
      <c r="D2388" s="54" t="s">
        <v>5608</v>
      </c>
      <c r="E2388" s="56">
        <v>0</v>
      </c>
      <c r="F2388" s="57" t="s">
        <v>792</v>
      </c>
      <c r="G2388" s="58">
        <v>2000</v>
      </c>
      <c r="H2388" s="59">
        <v>4000</v>
      </c>
      <c r="I2388" s="59">
        <f t="shared" si="74"/>
        <v>0</v>
      </c>
    </row>
    <row r="2389" spans="1:9" customFormat="1" x14ac:dyDescent="0.35">
      <c r="A2389" s="63">
        <f t="shared" si="75"/>
        <v>2388</v>
      </c>
      <c r="B2389" s="54" t="s">
        <v>5627</v>
      </c>
      <c r="C2389" s="55" t="s">
        <v>5628</v>
      </c>
      <c r="D2389" s="54" t="s">
        <v>5608</v>
      </c>
      <c r="E2389" s="56">
        <v>0</v>
      </c>
      <c r="F2389" s="57" t="s">
        <v>792</v>
      </c>
      <c r="G2389" s="58">
        <v>5700</v>
      </c>
      <c r="H2389" s="59">
        <v>9500</v>
      </c>
      <c r="I2389" s="59">
        <f t="shared" si="74"/>
        <v>0</v>
      </c>
    </row>
    <row r="2390" spans="1:9" customFormat="1" x14ac:dyDescent="0.35">
      <c r="A2390" s="63">
        <f t="shared" si="75"/>
        <v>2389</v>
      </c>
      <c r="B2390" s="54" t="s">
        <v>5629</v>
      </c>
      <c r="C2390" s="55" t="s">
        <v>5630</v>
      </c>
      <c r="D2390" s="54" t="s">
        <v>5608</v>
      </c>
      <c r="E2390" s="56">
        <v>0</v>
      </c>
      <c r="F2390" s="57" t="s">
        <v>792</v>
      </c>
      <c r="G2390" s="58">
        <v>5000</v>
      </c>
      <c r="H2390" s="59">
        <v>10000</v>
      </c>
      <c r="I2390" s="59">
        <f t="shared" si="74"/>
        <v>0</v>
      </c>
    </row>
    <row r="2391" spans="1:9" customFormat="1" x14ac:dyDescent="0.35">
      <c r="A2391" s="63">
        <f t="shared" si="75"/>
        <v>2390</v>
      </c>
      <c r="B2391" s="54" t="s">
        <v>5631</v>
      </c>
      <c r="C2391" s="55" t="s">
        <v>5632</v>
      </c>
      <c r="D2391" s="54" t="s">
        <v>5608</v>
      </c>
      <c r="E2391" s="56">
        <v>0</v>
      </c>
      <c r="F2391" s="57" t="s">
        <v>792</v>
      </c>
      <c r="G2391" s="58">
        <v>5000</v>
      </c>
      <c r="H2391" s="59">
        <v>10000</v>
      </c>
      <c r="I2391" s="59">
        <f t="shared" si="74"/>
        <v>0</v>
      </c>
    </row>
    <row r="2392" spans="1:9" customFormat="1" x14ac:dyDescent="0.35">
      <c r="A2392" s="63">
        <f t="shared" si="75"/>
        <v>2391</v>
      </c>
      <c r="B2392" s="54" t="s">
        <v>5633</v>
      </c>
      <c r="C2392" s="55" t="s">
        <v>5634</v>
      </c>
      <c r="D2392" s="54" t="s">
        <v>5608</v>
      </c>
      <c r="E2392" s="56">
        <v>0</v>
      </c>
      <c r="F2392" s="57" t="s">
        <v>792</v>
      </c>
      <c r="G2392" s="58">
        <v>4750</v>
      </c>
      <c r="H2392" s="59">
        <v>9500</v>
      </c>
      <c r="I2392" s="59">
        <f t="shared" si="74"/>
        <v>0</v>
      </c>
    </row>
    <row r="2393" spans="1:9" customFormat="1" x14ac:dyDescent="0.35">
      <c r="A2393" s="63">
        <f t="shared" si="75"/>
        <v>2392</v>
      </c>
      <c r="B2393" s="54" t="s">
        <v>5635</v>
      </c>
      <c r="C2393" s="55" t="s">
        <v>5636</v>
      </c>
      <c r="D2393" s="54" t="s">
        <v>5608</v>
      </c>
      <c r="E2393" s="56">
        <v>0</v>
      </c>
      <c r="F2393" s="57" t="s">
        <v>792</v>
      </c>
      <c r="G2393" s="58">
        <v>4500</v>
      </c>
      <c r="H2393" s="59">
        <v>9000</v>
      </c>
      <c r="I2393" s="59">
        <f t="shared" si="74"/>
        <v>0</v>
      </c>
    </row>
    <row r="2394" spans="1:9" customFormat="1" x14ac:dyDescent="0.35">
      <c r="A2394" s="63">
        <f t="shared" si="75"/>
        <v>2393</v>
      </c>
      <c r="B2394" s="54" t="s">
        <v>5637</v>
      </c>
      <c r="C2394" s="55" t="s">
        <v>5638</v>
      </c>
      <c r="D2394" s="54" t="s">
        <v>5608</v>
      </c>
      <c r="E2394" s="56">
        <v>0</v>
      </c>
      <c r="F2394" s="57" t="s">
        <v>792</v>
      </c>
      <c r="G2394" s="58">
        <v>5000</v>
      </c>
      <c r="H2394" s="59">
        <v>10000</v>
      </c>
      <c r="I2394" s="59">
        <f t="shared" si="74"/>
        <v>0</v>
      </c>
    </row>
    <row r="2395" spans="1:9" customFormat="1" x14ac:dyDescent="0.35">
      <c r="A2395" s="63">
        <f t="shared" si="75"/>
        <v>2394</v>
      </c>
      <c r="B2395" s="54" t="s">
        <v>5639</v>
      </c>
      <c r="C2395" s="55" t="s">
        <v>5640</v>
      </c>
      <c r="D2395" s="54" t="s">
        <v>5608</v>
      </c>
      <c r="E2395" s="56">
        <v>0</v>
      </c>
      <c r="F2395" s="57" t="s">
        <v>792</v>
      </c>
      <c r="G2395" s="58">
        <v>5000</v>
      </c>
      <c r="H2395" s="59">
        <v>10000</v>
      </c>
      <c r="I2395" s="59">
        <f t="shared" si="74"/>
        <v>0</v>
      </c>
    </row>
    <row r="2396" spans="1:9" customFormat="1" x14ac:dyDescent="0.35">
      <c r="A2396" s="63">
        <f t="shared" si="75"/>
        <v>2395</v>
      </c>
      <c r="B2396" s="54" t="s">
        <v>5641</v>
      </c>
      <c r="C2396" s="55" t="s">
        <v>5642</v>
      </c>
      <c r="D2396" s="54" t="s">
        <v>5608</v>
      </c>
      <c r="E2396" s="56">
        <v>0</v>
      </c>
      <c r="F2396" s="57" t="s">
        <v>792</v>
      </c>
      <c r="G2396" s="58">
        <v>4500</v>
      </c>
      <c r="H2396" s="59">
        <v>9000</v>
      </c>
      <c r="I2396" s="59">
        <f t="shared" si="74"/>
        <v>0</v>
      </c>
    </row>
    <row r="2397" spans="1:9" customFormat="1" ht="23" x14ac:dyDescent="0.35">
      <c r="A2397" s="63">
        <f t="shared" si="75"/>
        <v>2396</v>
      </c>
      <c r="B2397" s="54" t="s">
        <v>5643</v>
      </c>
      <c r="C2397" s="55" t="s">
        <v>5644</v>
      </c>
      <c r="D2397" s="54" t="s">
        <v>5608</v>
      </c>
      <c r="E2397" s="56">
        <v>0</v>
      </c>
      <c r="F2397" s="57" t="s">
        <v>792</v>
      </c>
      <c r="G2397" s="58">
        <v>10000</v>
      </c>
      <c r="H2397" s="59">
        <v>10000</v>
      </c>
      <c r="I2397" s="59">
        <f t="shared" si="74"/>
        <v>0</v>
      </c>
    </row>
    <row r="2398" spans="1:9" customFormat="1" x14ac:dyDescent="0.35">
      <c r="A2398" s="63">
        <f t="shared" si="75"/>
        <v>2397</v>
      </c>
      <c r="B2398" s="54" t="s">
        <v>5645</v>
      </c>
      <c r="C2398" s="55" t="s">
        <v>5646</v>
      </c>
      <c r="D2398" s="54" t="s">
        <v>5608</v>
      </c>
      <c r="E2398" s="56">
        <v>0</v>
      </c>
      <c r="F2398" s="57" t="s">
        <v>792</v>
      </c>
      <c r="G2398" s="58">
        <v>5000</v>
      </c>
      <c r="H2398" s="59">
        <v>10000</v>
      </c>
      <c r="I2398" s="59">
        <f t="shared" si="74"/>
        <v>0</v>
      </c>
    </row>
    <row r="2399" spans="1:9" customFormat="1" x14ac:dyDescent="0.35">
      <c r="A2399" s="63">
        <f t="shared" si="75"/>
        <v>2398</v>
      </c>
      <c r="B2399" s="54" t="s">
        <v>5647</v>
      </c>
      <c r="C2399" s="55" t="s">
        <v>5648</v>
      </c>
      <c r="D2399" s="54" t="s">
        <v>5608</v>
      </c>
      <c r="E2399" s="56">
        <v>0</v>
      </c>
      <c r="F2399" s="57" t="s">
        <v>792</v>
      </c>
      <c r="G2399" s="58">
        <v>4750</v>
      </c>
      <c r="H2399" s="59">
        <v>9500</v>
      </c>
      <c r="I2399" s="59">
        <f t="shared" si="74"/>
        <v>0</v>
      </c>
    </row>
    <row r="2400" spans="1:9" customFormat="1" x14ac:dyDescent="0.35">
      <c r="A2400" s="63">
        <f t="shared" si="75"/>
        <v>2399</v>
      </c>
      <c r="B2400" s="54" t="s">
        <v>5649</v>
      </c>
      <c r="C2400" s="55" t="s">
        <v>5650</v>
      </c>
      <c r="D2400" s="54" t="s">
        <v>5608</v>
      </c>
      <c r="E2400" s="56">
        <v>0</v>
      </c>
      <c r="F2400" s="57" t="s">
        <v>792</v>
      </c>
      <c r="G2400" s="58">
        <v>4250</v>
      </c>
      <c r="H2400" s="59">
        <v>8500</v>
      </c>
      <c r="I2400" s="59">
        <f t="shared" si="74"/>
        <v>0</v>
      </c>
    </row>
    <row r="2401" spans="1:9" customFormat="1" x14ac:dyDescent="0.35">
      <c r="A2401" s="63">
        <f t="shared" si="75"/>
        <v>2400</v>
      </c>
      <c r="B2401" s="54" t="s">
        <v>5651</v>
      </c>
      <c r="C2401" s="55" t="s">
        <v>5652</v>
      </c>
      <c r="D2401" s="54" t="s">
        <v>5608</v>
      </c>
      <c r="E2401" s="56">
        <v>0</v>
      </c>
      <c r="F2401" s="57" t="s">
        <v>792</v>
      </c>
      <c r="G2401" s="58">
        <v>2700</v>
      </c>
      <c r="H2401" s="59">
        <v>4500</v>
      </c>
      <c r="I2401" s="59">
        <f t="shared" si="74"/>
        <v>0</v>
      </c>
    </row>
    <row r="2402" spans="1:9" customFormat="1" x14ac:dyDescent="0.35">
      <c r="A2402" s="63">
        <f t="shared" si="75"/>
        <v>2401</v>
      </c>
      <c r="B2402" s="54" t="s">
        <v>5653</v>
      </c>
      <c r="C2402" s="55" t="s">
        <v>5654</v>
      </c>
      <c r="D2402" s="54" t="s">
        <v>5608</v>
      </c>
      <c r="E2402" s="56">
        <v>0</v>
      </c>
      <c r="F2402" s="57" t="s">
        <v>792</v>
      </c>
      <c r="G2402" s="58">
        <v>120000</v>
      </c>
      <c r="H2402" s="59">
        <v>200000</v>
      </c>
      <c r="I2402" s="59">
        <f t="shared" si="74"/>
        <v>0</v>
      </c>
    </row>
    <row r="2403" spans="1:9" customFormat="1" x14ac:dyDescent="0.35">
      <c r="A2403" s="63">
        <f t="shared" si="75"/>
        <v>2402</v>
      </c>
      <c r="B2403" s="54" t="s">
        <v>5655</v>
      </c>
      <c r="C2403" s="55" t="s">
        <v>5656</v>
      </c>
      <c r="D2403" s="54" t="s">
        <v>5608</v>
      </c>
      <c r="E2403" s="56">
        <v>0</v>
      </c>
      <c r="F2403" s="57" t="s">
        <v>792</v>
      </c>
      <c r="G2403" s="58">
        <v>1377500</v>
      </c>
      <c r="H2403" s="59">
        <v>2375000</v>
      </c>
      <c r="I2403" s="59">
        <f t="shared" si="74"/>
        <v>0</v>
      </c>
    </row>
    <row r="2404" spans="1:9" customFormat="1" x14ac:dyDescent="0.35">
      <c r="A2404" s="63">
        <f t="shared" si="75"/>
        <v>2403</v>
      </c>
      <c r="B2404" s="54" t="s">
        <v>5657</v>
      </c>
      <c r="C2404" s="55" t="s">
        <v>5658</v>
      </c>
      <c r="D2404" s="54" t="s">
        <v>5608</v>
      </c>
      <c r="E2404" s="56">
        <v>0</v>
      </c>
      <c r="F2404" s="57" t="s">
        <v>792</v>
      </c>
      <c r="G2404" s="58">
        <v>37500</v>
      </c>
      <c r="H2404" s="59">
        <v>62500</v>
      </c>
      <c r="I2404" s="59">
        <f t="shared" si="74"/>
        <v>0</v>
      </c>
    </row>
    <row r="2405" spans="1:9" customFormat="1" x14ac:dyDescent="0.35">
      <c r="A2405" s="63">
        <f t="shared" si="75"/>
        <v>2404</v>
      </c>
      <c r="B2405" s="54" t="s">
        <v>5659</v>
      </c>
      <c r="C2405" s="55" t="s">
        <v>5660</v>
      </c>
      <c r="D2405" s="54" t="s">
        <v>5608</v>
      </c>
      <c r="E2405" s="56">
        <v>0</v>
      </c>
      <c r="F2405" s="57" t="s">
        <v>969</v>
      </c>
      <c r="G2405" s="58">
        <v>185000</v>
      </c>
      <c r="H2405" s="59">
        <v>185000</v>
      </c>
      <c r="I2405" s="59">
        <f t="shared" si="74"/>
        <v>0</v>
      </c>
    </row>
    <row r="2406" spans="1:9" customFormat="1" x14ac:dyDescent="0.35">
      <c r="A2406" s="63">
        <f t="shared" si="75"/>
        <v>2405</v>
      </c>
      <c r="B2406" s="54" t="s">
        <v>5661</v>
      </c>
      <c r="C2406" s="55" t="s">
        <v>5662</v>
      </c>
      <c r="D2406" s="54" t="s">
        <v>5608</v>
      </c>
      <c r="E2406" s="56">
        <v>0</v>
      </c>
      <c r="F2406" s="57" t="s">
        <v>792</v>
      </c>
      <c r="G2406" s="58">
        <v>5500</v>
      </c>
      <c r="H2406" s="59">
        <v>3500</v>
      </c>
      <c r="I2406" s="59">
        <f t="shared" si="74"/>
        <v>0</v>
      </c>
    </row>
    <row r="2407" spans="1:9" customFormat="1" x14ac:dyDescent="0.35">
      <c r="A2407" s="63">
        <f t="shared" si="75"/>
        <v>2406</v>
      </c>
      <c r="B2407" s="54" t="s">
        <v>5663</v>
      </c>
      <c r="C2407" s="55" t="s">
        <v>5664</v>
      </c>
      <c r="D2407" s="54" t="s">
        <v>5608</v>
      </c>
      <c r="E2407" s="56">
        <v>0</v>
      </c>
      <c r="F2407" s="57" t="s">
        <v>792</v>
      </c>
      <c r="G2407" s="58">
        <v>5500</v>
      </c>
      <c r="H2407" s="59">
        <v>3500</v>
      </c>
      <c r="I2407" s="59">
        <f t="shared" si="74"/>
        <v>0</v>
      </c>
    </row>
    <row r="2408" spans="1:9" customFormat="1" x14ac:dyDescent="0.35">
      <c r="A2408" s="63">
        <f t="shared" si="75"/>
        <v>2407</v>
      </c>
      <c r="B2408" s="54" t="s">
        <v>5665</v>
      </c>
      <c r="C2408" s="55" t="s">
        <v>5666</v>
      </c>
      <c r="D2408" s="54" t="s">
        <v>5608</v>
      </c>
      <c r="E2408" s="56">
        <v>0</v>
      </c>
      <c r="F2408" s="57" t="s">
        <v>792</v>
      </c>
      <c r="G2408" s="58">
        <v>5500</v>
      </c>
      <c r="H2408" s="59">
        <v>3500</v>
      </c>
      <c r="I2408" s="59">
        <f t="shared" si="74"/>
        <v>0</v>
      </c>
    </row>
    <row r="2409" spans="1:9" customFormat="1" x14ac:dyDescent="0.35">
      <c r="A2409" s="63">
        <f t="shared" si="75"/>
        <v>2408</v>
      </c>
      <c r="B2409" s="54" t="s">
        <v>5667</v>
      </c>
      <c r="C2409" s="55" t="s">
        <v>5668</v>
      </c>
      <c r="D2409" s="54" t="s">
        <v>5608</v>
      </c>
      <c r="E2409" s="56">
        <v>0</v>
      </c>
      <c r="F2409" s="57" t="s">
        <v>792</v>
      </c>
      <c r="G2409" s="58">
        <v>5500</v>
      </c>
      <c r="H2409" s="59">
        <v>3500</v>
      </c>
      <c r="I2409" s="59">
        <f t="shared" si="74"/>
        <v>0</v>
      </c>
    </row>
    <row r="2410" spans="1:9" customFormat="1" x14ac:dyDescent="0.35">
      <c r="A2410" s="63">
        <f t="shared" si="75"/>
        <v>2409</v>
      </c>
      <c r="B2410" s="54" t="s">
        <v>5669</v>
      </c>
      <c r="C2410" s="55" t="s">
        <v>5670</v>
      </c>
      <c r="D2410" s="54" t="s">
        <v>5608</v>
      </c>
      <c r="E2410" s="56">
        <v>0</v>
      </c>
      <c r="F2410" s="57" t="s">
        <v>792</v>
      </c>
      <c r="G2410" s="58">
        <v>4250</v>
      </c>
      <c r="H2410" s="59">
        <v>8500</v>
      </c>
      <c r="I2410" s="59">
        <f t="shared" si="74"/>
        <v>0</v>
      </c>
    </row>
    <row r="2411" spans="1:9" customFormat="1" x14ac:dyDescent="0.35">
      <c r="A2411" s="63">
        <f t="shared" si="75"/>
        <v>2410</v>
      </c>
      <c r="B2411" s="54" t="s">
        <v>5671</v>
      </c>
      <c r="C2411" s="55" t="s">
        <v>5672</v>
      </c>
      <c r="D2411" s="54" t="s">
        <v>5608</v>
      </c>
      <c r="E2411" s="56">
        <v>0</v>
      </c>
      <c r="F2411" s="57" t="s">
        <v>792</v>
      </c>
      <c r="G2411" s="58">
        <v>0</v>
      </c>
      <c r="H2411" s="59">
        <v>0</v>
      </c>
      <c r="I2411" s="59">
        <f t="shared" si="74"/>
        <v>0</v>
      </c>
    </row>
    <row r="2412" spans="1:9" customFormat="1" x14ac:dyDescent="0.35">
      <c r="A2412" s="63">
        <f t="shared" si="75"/>
        <v>2411</v>
      </c>
      <c r="B2412" s="54" t="s">
        <v>5673</v>
      </c>
      <c r="C2412" s="55" t="s">
        <v>5674</v>
      </c>
      <c r="D2412" s="54" t="s">
        <v>5608</v>
      </c>
      <c r="E2412" s="56">
        <v>0</v>
      </c>
      <c r="F2412" s="57" t="s">
        <v>792</v>
      </c>
      <c r="G2412" s="58">
        <v>180000</v>
      </c>
      <c r="H2412" s="59">
        <v>275000</v>
      </c>
      <c r="I2412" s="59">
        <f t="shared" si="74"/>
        <v>0</v>
      </c>
    </row>
    <row r="2413" spans="1:9" customFormat="1" x14ac:dyDescent="0.35">
      <c r="A2413" s="63">
        <f t="shared" si="75"/>
        <v>2412</v>
      </c>
      <c r="B2413" s="54" t="s">
        <v>5675</v>
      </c>
      <c r="C2413" s="55" t="s">
        <v>5676</v>
      </c>
      <c r="D2413" s="54" t="s">
        <v>5608</v>
      </c>
      <c r="E2413" s="56">
        <v>0</v>
      </c>
      <c r="F2413" s="57" t="s">
        <v>792</v>
      </c>
      <c r="G2413" s="58">
        <v>60500</v>
      </c>
      <c r="H2413" s="59">
        <v>85000</v>
      </c>
      <c r="I2413" s="59">
        <f t="shared" si="74"/>
        <v>0</v>
      </c>
    </row>
    <row r="2414" spans="1:9" customFormat="1" ht="23" x14ac:dyDescent="0.35">
      <c r="A2414" s="63">
        <f t="shared" si="75"/>
        <v>2413</v>
      </c>
      <c r="B2414" s="54" t="s">
        <v>5677</v>
      </c>
      <c r="C2414" s="55" t="s">
        <v>5678</v>
      </c>
      <c r="D2414" s="54" t="s">
        <v>5608</v>
      </c>
      <c r="E2414" s="56">
        <v>0</v>
      </c>
      <c r="F2414" s="57" t="s">
        <v>792</v>
      </c>
      <c r="G2414" s="58">
        <v>53500</v>
      </c>
      <c r="H2414" s="59">
        <v>85000</v>
      </c>
      <c r="I2414" s="59">
        <f t="shared" si="74"/>
        <v>0</v>
      </c>
    </row>
    <row r="2415" spans="1:9" customFormat="1" x14ac:dyDescent="0.35">
      <c r="A2415" s="63">
        <f t="shared" si="75"/>
        <v>2414</v>
      </c>
      <c r="B2415" s="54" t="s">
        <v>5679</v>
      </c>
      <c r="C2415" s="55" t="s">
        <v>5680</v>
      </c>
      <c r="D2415" s="54" t="s">
        <v>5608</v>
      </c>
      <c r="E2415" s="56">
        <v>0</v>
      </c>
      <c r="F2415" s="57" t="s">
        <v>792</v>
      </c>
      <c r="G2415" s="58">
        <v>60500</v>
      </c>
      <c r="H2415" s="59">
        <v>90000</v>
      </c>
      <c r="I2415" s="59">
        <f t="shared" si="74"/>
        <v>0</v>
      </c>
    </row>
    <row r="2416" spans="1:9" customFormat="1" x14ac:dyDescent="0.35">
      <c r="A2416" s="63">
        <f t="shared" si="75"/>
        <v>2415</v>
      </c>
      <c r="B2416" s="54" t="s">
        <v>5681</v>
      </c>
      <c r="C2416" s="55" t="s">
        <v>5682</v>
      </c>
      <c r="D2416" s="54" t="s">
        <v>5608</v>
      </c>
      <c r="E2416" s="56">
        <v>0</v>
      </c>
      <c r="F2416" s="57" t="s">
        <v>792</v>
      </c>
      <c r="G2416" s="58">
        <v>60500</v>
      </c>
      <c r="H2416" s="59">
        <v>85000</v>
      </c>
      <c r="I2416" s="59">
        <f t="shared" si="74"/>
        <v>0</v>
      </c>
    </row>
    <row r="2417" spans="1:9" customFormat="1" x14ac:dyDescent="0.35">
      <c r="A2417" s="63">
        <f t="shared" si="75"/>
        <v>2416</v>
      </c>
      <c r="B2417" s="54" t="s">
        <v>5683</v>
      </c>
      <c r="C2417" s="55" t="s">
        <v>5684</v>
      </c>
      <c r="D2417" s="54" t="s">
        <v>5608</v>
      </c>
      <c r="E2417" s="56">
        <v>0</v>
      </c>
      <c r="F2417" s="57" t="s">
        <v>792</v>
      </c>
      <c r="G2417" s="58">
        <v>60500</v>
      </c>
      <c r="H2417" s="59">
        <v>85000</v>
      </c>
      <c r="I2417" s="59">
        <f t="shared" si="74"/>
        <v>0</v>
      </c>
    </row>
    <row r="2418" spans="1:9" customFormat="1" x14ac:dyDescent="0.35">
      <c r="A2418" s="63">
        <f t="shared" si="75"/>
        <v>2417</v>
      </c>
      <c r="B2418" s="54" t="s">
        <v>5685</v>
      </c>
      <c r="C2418" s="55" t="s">
        <v>5686</v>
      </c>
      <c r="D2418" s="54" t="s">
        <v>5608</v>
      </c>
      <c r="E2418" s="56">
        <v>0</v>
      </c>
      <c r="F2418" s="57" t="s">
        <v>792</v>
      </c>
      <c r="G2418" s="58">
        <v>180000</v>
      </c>
      <c r="H2418" s="59">
        <v>300000</v>
      </c>
      <c r="I2418" s="59">
        <f t="shared" si="74"/>
        <v>0</v>
      </c>
    </row>
    <row r="2419" spans="1:9" customFormat="1" ht="23" x14ac:dyDescent="0.35">
      <c r="A2419" s="63">
        <f t="shared" si="75"/>
        <v>2418</v>
      </c>
      <c r="B2419" s="54" t="s">
        <v>5687</v>
      </c>
      <c r="C2419" s="55" t="s">
        <v>5688</v>
      </c>
      <c r="D2419" s="54" t="s">
        <v>5608</v>
      </c>
      <c r="E2419" s="56">
        <v>0</v>
      </c>
      <c r="F2419" s="57" t="s">
        <v>792</v>
      </c>
      <c r="G2419" s="58">
        <v>150000</v>
      </c>
      <c r="H2419" s="59">
        <v>250000</v>
      </c>
      <c r="I2419" s="59">
        <f t="shared" si="74"/>
        <v>0</v>
      </c>
    </row>
    <row r="2420" spans="1:9" customFormat="1" x14ac:dyDescent="0.35">
      <c r="A2420" s="63">
        <f t="shared" si="75"/>
        <v>2419</v>
      </c>
      <c r="B2420" s="54" t="s">
        <v>5689</v>
      </c>
      <c r="C2420" s="55" t="s">
        <v>5690</v>
      </c>
      <c r="D2420" s="54" t="s">
        <v>5608</v>
      </c>
      <c r="E2420" s="56">
        <v>0</v>
      </c>
      <c r="F2420" s="57" t="s">
        <v>792</v>
      </c>
      <c r="G2420" s="58">
        <v>5500</v>
      </c>
      <c r="H2420" s="59">
        <v>3500</v>
      </c>
      <c r="I2420" s="59">
        <f t="shared" si="74"/>
        <v>0</v>
      </c>
    </row>
    <row r="2421" spans="1:9" customFormat="1" x14ac:dyDescent="0.35">
      <c r="A2421" s="63">
        <f t="shared" si="75"/>
        <v>2420</v>
      </c>
      <c r="B2421" s="54" t="s">
        <v>5691</v>
      </c>
      <c r="C2421" s="55" t="s">
        <v>5692</v>
      </c>
      <c r="D2421" s="54" t="s">
        <v>5608</v>
      </c>
      <c r="E2421" s="56">
        <v>0</v>
      </c>
      <c r="F2421" s="57" t="s">
        <v>1217</v>
      </c>
      <c r="G2421" s="58">
        <v>0</v>
      </c>
      <c r="H2421" s="59">
        <v>7500</v>
      </c>
      <c r="I2421" s="59">
        <f t="shared" si="74"/>
        <v>0</v>
      </c>
    </row>
    <row r="2422" spans="1:9" customFormat="1" x14ac:dyDescent="0.35">
      <c r="A2422" s="63">
        <f t="shared" si="75"/>
        <v>2421</v>
      </c>
      <c r="B2422" s="54" t="s">
        <v>5693</v>
      </c>
      <c r="C2422" s="55" t="s">
        <v>5694</v>
      </c>
      <c r="D2422" s="54" t="s">
        <v>5608</v>
      </c>
      <c r="E2422" s="56">
        <v>0</v>
      </c>
      <c r="F2422" s="57" t="s">
        <v>792</v>
      </c>
      <c r="G2422" s="58">
        <v>23500</v>
      </c>
      <c r="H2422" s="59">
        <v>35000</v>
      </c>
      <c r="I2422" s="59">
        <f t="shared" si="74"/>
        <v>0</v>
      </c>
    </row>
    <row r="2423" spans="1:9" customFormat="1" x14ac:dyDescent="0.35">
      <c r="A2423" s="63">
        <f t="shared" si="75"/>
        <v>2422</v>
      </c>
      <c r="B2423" s="54" t="s">
        <v>5695</v>
      </c>
      <c r="C2423" s="55" t="s">
        <v>5696</v>
      </c>
      <c r="D2423" s="54" t="s">
        <v>5608</v>
      </c>
      <c r="E2423" s="56">
        <v>0</v>
      </c>
      <c r="F2423" s="57" t="s">
        <v>792</v>
      </c>
      <c r="G2423" s="58">
        <v>310000</v>
      </c>
      <c r="H2423" s="59">
        <v>485000</v>
      </c>
      <c r="I2423" s="59">
        <f t="shared" si="74"/>
        <v>0</v>
      </c>
    </row>
    <row r="2424" spans="1:9" customFormat="1" x14ac:dyDescent="0.35">
      <c r="A2424" s="63">
        <f t="shared" si="75"/>
        <v>2423</v>
      </c>
      <c r="B2424" s="54" t="s">
        <v>5697</v>
      </c>
      <c r="C2424" s="55" t="s">
        <v>5698</v>
      </c>
      <c r="D2424" s="54" t="s">
        <v>5608</v>
      </c>
      <c r="E2424" s="56">
        <v>0</v>
      </c>
      <c r="F2424" s="57" t="s">
        <v>969</v>
      </c>
      <c r="G2424" s="58">
        <v>91200</v>
      </c>
      <c r="H2424" s="59">
        <v>91200</v>
      </c>
      <c r="I2424" s="59">
        <f t="shared" si="74"/>
        <v>0</v>
      </c>
    </row>
    <row r="2425" spans="1:9" customFormat="1" x14ac:dyDescent="0.35">
      <c r="A2425" s="63">
        <f t="shared" si="75"/>
        <v>2424</v>
      </c>
      <c r="B2425" s="54" t="s">
        <v>5699</v>
      </c>
      <c r="C2425" s="55" t="s">
        <v>5700</v>
      </c>
      <c r="D2425" s="54" t="s">
        <v>5608</v>
      </c>
      <c r="E2425" s="56">
        <v>0</v>
      </c>
      <c r="F2425" s="57" t="s">
        <v>969</v>
      </c>
      <c r="G2425" s="58">
        <v>110000</v>
      </c>
      <c r="H2425" s="59">
        <v>110000</v>
      </c>
      <c r="I2425" s="59">
        <f t="shared" si="74"/>
        <v>0</v>
      </c>
    </row>
    <row r="2426" spans="1:9" customFormat="1" x14ac:dyDescent="0.35">
      <c r="A2426" s="63">
        <f t="shared" si="75"/>
        <v>2425</v>
      </c>
      <c r="B2426" s="54" t="s">
        <v>5701</v>
      </c>
      <c r="C2426" s="55" t="s">
        <v>5702</v>
      </c>
      <c r="D2426" s="54" t="s">
        <v>5608</v>
      </c>
      <c r="E2426" s="56">
        <v>0</v>
      </c>
      <c r="F2426" s="57" t="s">
        <v>792</v>
      </c>
      <c r="G2426" s="58">
        <v>3400</v>
      </c>
      <c r="H2426" s="59">
        <v>3400</v>
      </c>
      <c r="I2426" s="59">
        <f t="shared" si="74"/>
        <v>0</v>
      </c>
    </row>
    <row r="2427" spans="1:9" customFormat="1" x14ac:dyDescent="0.35">
      <c r="A2427" s="63">
        <f t="shared" si="75"/>
        <v>2426</v>
      </c>
      <c r="B2427" s="54" t="s">
        <v>5703</v>
      </c>
      <c r="C2427" s="55" t="s">
        <v>5704</v>
      </c>
      <c r="D2427" s="54" t="s">
        <v>5608</v>
      </c>
      <c r="E2427" s="56">
        <v>0</v>
      </c>
      <c r="F2427" s="57" t="s">
        <v>969</v>
      </c>
      <c r="G2427" s="58">
        <v>2200</v>
      </c>
      <c r="H2427" s="59">
        <v>2200</v>
      </c>
      <c r="I2427" s="59">
        <f t="shared" si="74"/>
        <v>0</v>
      </c>
    </row>
    <row r="2428" spans="1:9" customFormat="1" x14ac:dyDescent="0.35">
      <c r="A2428" s="63">
        <f t="shared" si="75"/>
        <v>2427</v>
      </c>
      <c r="B2428" s="54" t="s">
        <v>5705</v>
      </c>
      <c r="C2428" s="55" t="s">
        <v>5706</v>
      </c>
      <c r="D2428" s="54" t="s">
        <v>5608</v>
      </c>
      <c r="E2428" s="56">
        <v>0</v>
      </c>
      <c r="F2428" s="57" t="s">
        <v>792</v>
      </c>
      <c r="G2428" s="58">
        <v>4300</v>
      </c>
      <c r="H2428" s="59">
        <v>4300</v>
      </c>
      <c r="I2428" s="59">
        <f t="shared" si="74"/>
        <v>0</v>
      </c>
    </row>
    <row r="2429" spans="1:9" customFormat="1" x14ac:dyDescent="0.35">
      <c r="A2429" s="63">
        <f t="shared" si="75"/>
        <v>2428</v>
      </c>
      <c r="B2429" s="54" t="s">
        <v>5707</v>
      </c>
      <c r="C2429" s="55" t="s">
        <v>5708</v>
      </c>
      <c r="D2429" s="54" t="s">
        <v>5608</v>
      </c>
      <c r="E2429" s="56">
        <v>0</v>
      </c>
      <c r="F2429" s="57" t="s">
        <v>792</v>
      </c>
      <c r="G2429" s="58">
        <v>5050</v>
      </c>
      <c r="H2429" s="59">
        <v>5050</v>
      </c>
      <c r="I2429" s="59">
        <f t="shared" si="74"/>
        <v>0</v>
      </c>
    </row>
    <row r="2430" spans="1:9" customFormat="1" x14ac:dyDescent="0.35">
      <c r="A2430" s="63">
        <f t="shared" si="75"/>
        <v>2429</v>
      </c>
      <c r="B2430" s="54" t="s">
        <v>5709</v>
      </c>
      <c r="C2430" s="55" t="s">
        <v>5710</v>
      </c>
      <c r="D2430" s="54" t="s">
        <v>5608</v>
      </c>
      <c r="E2430" s="56">
        <v>0</v>
      </c>
      <c r="F2430" s="57" t="s">
        <v>792</v>
      </c>
      <c r="G2430" s="58">
        <v>6800</v>
      </c>
      <c r="H2430" s="59">
        <v>6800</v>
      </c>
      <c r="I2430" s="59">
        <f t="shared" si="74"/>
        <v>0</v>
      </c>
    </row>
    <row r="2431" spans="1:9" customFormat="1" x14ac:dyDescent="0.35">
      <c r="A2431" s="63">
        <f t="shared" si="75"/>
        <v>2430</v>
      </c>
      <c r="B2431" s="54" t="s">
        <v>5711</v>
      </c>
      <c r="C2431" s="55" t="s">
        <v>5712</v>
      </c>
      <c r="D2431" s="54" t="s">
        <v>5608</v>
      </c>
      <c r="E2431" s="56">
        <v>0</v>
      </c>
      <c r="F2431" s="57" t="s">
        <v>792</v>
      </c>
      <c r="G2431" s="58">
        <v>4900</v>
      </c>
      <c r="H2431" s="59">
        <v>4900</v>
      </c>
      <c r="I2431" s="59">
        <f t="shared" si="74"/>
        <v>0</v>
      </c>
    </row>
    <row r="2432" spans="1:9" customFormat="1" x14ac:dyDescent="0.35">
      <c r="A2432" s="63">
        <f t="shared" si="75"/>
        <v>2431</v>
      </c>
      <c r="B2432" s="54" t="s">
        <v>5713</v>
      </c>
      <c r="C2432" s="55" t="s">
        <v>5714</v>
      </c>
      <c r="D2432" s="54" t="s">
        <v>5608</v>
      </c>
      <c r="E2432" s="56">
        <v>0</v>
      </c>
      <c r="F2432" s="57" t="s">
        <v>792</v>
      </c>
      <c r="G2432" s="58">
        <v>2400</v>
      </c>
      <c r="H2432" s="59">
        <v>2400</v>
      </c>
      <c r="I2432" s="59">
        <f t="shared" si="74"/>
        <v>0</v>
      </c>
    </row>
    <row r="2433" spans="1:9" customFormat="1" x14ac:dyDescent="0.35">
      <c r="A2433" s="63">
        <f t="shared" si="75"/>
        <v>2432</v>
      </c>
      <c r="B2433" s="54" t="s">
        <v>5715</v>
      </c>
      <c r="C2433" s="55" t="s">
        <v>5716</v>
      </c>
      <c r="D2433" s="54" t="s">
        <v>5608</v>
      </c>
      <c r="E2433" s="56">
        <v>0</v>
      </c>
      <c r="F2433" s="57" t="s">
        <v>792</v>
      </c>
      <c r="G2433" s="58">
        <v>12200</v>
      </c>
      <c r="H2433" s="59">
        <v>12200</v>
      </c>
      <c r="I2433" s="59">
        <f t="shared" si="74"/>
        <v>0</v>
      </c>
    </row>
    <row r="2434" spans="1:9" customFormat="1" x14ac:dyDescent="0.35">
      <c r="A2434" s="63">
        <f t="shared" si="75"/>
        <v>2433</v>
      </c>
      <c r="B2434" s="54" t="s">
        <v>5717</v>
      </c>
      <c r="C2434" s="55" t="s">
        <v>5718</v>
      </c>
      <c r="D2434" s="54" t="s">
        <v>5608</v>
      </c>
      <c r="E2434" s="56">
        <v>0</v>
      </c>
      <c r="F2434" s="57" t="s">
        <v>792</v>
      </c>
      <c r="G2434" s="58">
        <v>5350</v>
      </c>
      <c r="H2434" s="59">
        <v>5350</v>
      </c>
      <c r="I2434" s="59">
        <f t="shared" si="74"/>
        <v>0</v>
      </c>
    </row>
    <row r="2435" spans="1:9" customFormat="1" x14ac:dyDescent="0.35">
      <c r="A2435" s="63">
        <f t="shared" si="75"/>
        <v>2434</v>
      </c>
      <c r="B2435" s="54" t="s">
        <v>5719</v>
      </c>
      <c r="C2435" s="55" t="s">
        <v>5720</v>
      </c>
      <c r="D2435" s="54" t="s">
        <v>5608</v>
      </c>
      <c r="E2435" s="56">
        <v>0</v>
      </c>
      <c r="F2435" s="57" t="s">
        <v>969</v>
      </c>
      <c r="G2435" s="58">
        <v>3500</v>
      </c>
      <c r="H2435" s="59">
        <v>3500</v>
      </c>
      <c r="I2435" s="59">
        <f t="shared" ref="I2435:I2498" si="76">H2435*E2435</f>
        <v>0</v>
      </c>
    </row>
    <row r="2436" spans="1:9" customFormat="1" x14ac:dyDescent="0.35">
      <c r="A2436" s="63">
        <f t="shared" ref="A2436:A2499" si="77">A2435+1</f>
        <v>2435</v>
      </c>
      <c r="B2436" s="54" t="s">
        <v>5721</v>
      </c>
      <c r="C2436" s="55" t="s">
        <v>5722</v>
      </c>
      <c r="D2436" s="54" t="s">
        <v>5608</v>
      </c>
      <c r="E2436" s="56">
        <v>0</v>
      </c>
      <c r="F2436" s="54" t="s">
        <v>792</v>
      </c>
      <c r="G2436" s="58">
        <v>4400</v>
      </c>
      <c r="H2436" s="59">
        <v>4400</v>
      </c>
      <c r="I2436" s="59">
        <f t="shared" si="76"/>
        <v>0</v>
      </c>
    </row>
    <row r="2437" spans="1:9" customFormat="1" x14ac:dyDescent="0.35">
      <c r="A2437" s="63">
        <f t="shared" si="77"/>
        <v>2436</v>
      </c>
      <c r="B2437" s="54" t="s">
        <v>5723</v>
      </c>
      <c r="C2437" s="55" t="s">
        <v>5724</v>
      </c>
      <c r="D2437" s="54" t="s">
        <v>5608</v>
      </c>
      <c r="E2437" s="56">
        <v>0</v>
      </c>
      <c r="F2437" s="57" t="s">
        <v>969</v>
      </c>
      <c r="G2437" s="58">
        <v>30000</v>
      </c>
      <c r="H2437" s="59">
        <v>30000</v>
      </c>
      <c r="I2437" s="59">
        <f t="shared" si="76"/>
        <v>0</v>
      </c>
    </row>
    <row r="2438" spans="1:9" customFormat="1" ht="23" x14ac:dyDescent="0.35">
      <c r="A2438" s="63">
        <f t="shared" si="77"/>
        <v>2437</v>
      </c>
      <c r="B2438" s="54" t="s">
        <v>5725</v>
      </c>
      <c r="C2438" s="55" t="s">
        <v>5726</v>
      </c>
      <c r="D2438" s="54" t="s">
        <v>5608</v>
      </c>
      <c r="E2438" s="56">
        <v>0</v>
      </c>
      <c r="F2438" s="57" t="s">
        <v>792</v>
      </c>
      <c r="G2438" s="58">
        <v>0</v>
      </c>
      <c r="H2438" s="59">
        <v>0</v>
      </c>
      <c r="I2438" s="59">
        <f t="shared" si="76"/>
        <v>0</v>
      </c>
    </row>
    <row r="2439" spans="1:9" customFormat="1" x14ac:dyDescent="0.35">
      <c r="A2439" s="63">
        <f t="shared" si="77"/>
        <v>2438</v>
      </c>
      <c r="B2439" s="54" t="s">
        <v>5727</v>
      </c>
      <c r="C2439" s="55" t="s">
        <v>5728</v>
      </c>
      <c r="D2439" s="54" t="s">
        <v>5608</v>
      </c>
      <c r="E2439" s="56">
        <v>0</v>
      </c>
      <c r="F2439" s="57" t="s">
        <v>792</v>
      </c>
      <c r="G2439" s="58">
        <v>2800</v>
      </c>
      <c r="H2439" s="59">
        <v>4750</v>
      </c>
      <c r="I2439" s="59">
        <f t="shared" si="76"/>
        <v>0</v>
      </c>
    </row>
    <row r="2440" spans="1:9" customFormat="1" x14ac:dyDescent="0.35">
      <c r="A2440" s="63">
        <f t="shared" si="77"/>
        <v>2439</v>
      </c>
      <c r="B2440" s="54" t="s">
        <v>5729</v>
      </c>
      <c r="C2440" s="55" t="s">
        <v>5730</v>
      </c>
      <c r="D2440" s="54" t="s">
        <v>5608</v>
      </c>
      <c r="E2440" s="56">
        <v>0</v>
      </c>
      <c r="F2440" s="57" t="s">
        <v>792</v>
      </c>
      <c r="G2440" s="58">
        <v>2800</v>
      </c>
      <c r="H2440" s="59">
        <v>4750</v>
      </c>
      <c r="I2440" s="59">
        <f t="shared" si="76"/>
        <v>0</v>
      </c>
    </row>
    <row r="2441" spans="1:9" customFormat="1" x14ac:dyDescent="0.35">
      <c r="A2441" s="63">
        <f t="shared" si="77"/>
        <v>2440</v>
      </c>
      <c r="B2441" s="54" t="s">
        <v>5731</v>
      </c>
      <c r="C2441" s="55" t="s">
        <v>5732</v>
      </c>
      <c r="D2441" s="54" t="s">
        <v>5608</v>
      </c>
      <c r="E2441" s="56">
        <v>0</v>
      </c>
      <c r="F2441" s="57" t="s">
        <v>878</v>
      </c>
      <c r="G2441" s="58">
        <v>5500</v>
      </c>
      <c r="H2441" s="59">
        <v>5500</v>
      </c>
      <c r="I2441" s="59">
        <f t="shared" si="76"/>
        <v>0</v>
      </c>
    </row>
    <row r="2442" spans="1:9" customFormat="1" ht="23" x14ac:dyDescent="0.35">
      <c r="A2442" s="63">
        <f t="shared" si="77"/>
        <v>2441</v>
      </c>
      <c r="B2442" s="54" t="s">
        <v>5733</v>
      </c>
      <c r="C2442" s="55" t="s">
        <v>5734</v>
      </c>
      <c r="D2442" s="54" t="s">
        <v>5608</v>
      </c>
      <c r="E2442" s="56">
        <v>0</v>
      </c>
      <c r="F2442" s="57" t="s">
        <v>792</v>
      </c>
      <c r="G2442" s="58">
        <v>1100</v>
      </c>
      <c r="H2442" s="59">
        <v>1700</v>
      </c>
      <c r="I2442" s="59">
        <f t="shared" si="76"/>
        <v>0</v>
      </c>
    </row>
    <row r="2443" spans="1:9" customFormat="1" x14ac:dyDescent="0.35">
      <c r="A2443" s="63">
        <f t="shared" si="77"/>
        <v>2442</v>
      </c>
      <c r="B2443" s="54" t="s">
        <v>5735</v>
      </c>
      <c r="C2443" s="55" t="s">
        <v>5736</v>
      </c>
      <c r="D2443" s="54" t="s">
        <v>5608</v>
      </c>
      <c r="E2443" s="56">
        <v>0</v>
      </c>
      <c r="F2443" s="57" t="s">
        <v>792</v>
      </c>
      <c r="G2443" s="58">
        <v>1500</v>
      </c>
      <c r="H2443" s="59">
        <v>2500</v>
      </c>
      <c r="I2443" s="59">
        <f t="shared" si="76"/>
        <v>0</v>
      </c>
    </row>
    <row r="2444" spans="1:9" customFormat="1" x14ac:dyDescent="0.35">
      <c r="A2444" s="63">
        <f t="shared" si="77"/>
        <v>2443</v>
      </c>
      <c r="B2444" s="54" t="s">
        <v>5737</v>
      </c>
      <c r="C2444" s="55" t="s">
        <v>5738</v>
      </c>
      <c r="D2444" s="54" t="s">
        <v>5608</v>
      </c>
      <c r="E2444" s="56">
        <v>0</v>
      </c>
      <c r="F2444" s="57" t="s">
        <v>792</v>
      </c>
      <c r="G2444" s="58">
        <v>1500</v>
      </c>
      <c r="H2444" s="59">
        <v>2500</v>
      </c>
      <c r="I2444" s="59">
        <f t="shared" si="76"/>
        <v>0</v>
      </c>
    </row>
    <row r="2445" spans="1:9" customFormat="1" x14ac:dyDescent="0.35">
      <c r="A2445" s="63">
        <f t="shared" si="77"/>
        <v>2444</v>
      </c>
      <c r="B2445" s="54" t="s">
        <v>5739</v>
      </c>
      <c r="C2445" s="55" t="s">
        <v>5740</v>
      </c>
      <c r="D2445" s="54" t="s">
        <v>5608</v>
      </c>
      <c r="E2445" s="56">
        <v>0</v>
      </c>
      <c r="F2445" s="57" t="s">
        <v>792</v>
      </c>
      <c r="G2445" s="58">
        <v>80000</v>
      </c>
      <c r="H2445" s="59">
        <v>125000</v>
      </c>
      <c r="I2445" s="59">
        <f t="shared" si="76"/>
        <v>0</v>
      </c>
    </row>
    <row r="2446" spans="1:9" customFormat="1" ht="34.5" x14ac:dyDescent="0.35">
      <c r="A2446" s="63">
        <f t="shared" si="77"/>
        <v>2445</v>
      </c>
      <c r="B2446" s="54" t="s">
        <v>5741</v>
      </c>
      <c r="C2446" s="55" t="s">
        <v>5742</v>
      </c>
      <c r="D2446" s="54" t="s">
        <v>5608</v>
      </c>
      <c r="E2446" s="56">
        <v>0</v>
      </c>
      <c r="F2446" s="57" t="s">
        <v>792</v>
      </c>
      <c r="G2446" s="58">
        <v>5000</v>
      </c>
      <c r="H2446" s="59">
        <v>8500</v>
      </c>
      <c r="I2446" s="59">
        <f t="shared" si="76"/>
        <v>0</v>
      </c>
    </row>
    <row r="2447" spans="1:9" customFormat="1" x14ac:dyDescent="0.35">
      <c r="A2447" s="63">
        <f t="shared" si="77"/>
        <v>2446</v>
      </c>
      <c r="B2447" s="54" t="s">
        <v>5743</v>
      </c>
      <c r="C2447" s="55" t="s">
        <v>5744</v>
      </c>
      <c r="D2447" s="54" t="s">
        <v>5608</v>
      </c>
      <c r="E2447" s="56">
        <v>0</v>
      </c>
      <c r="F2447" s="57" t="s">
        <v>792</v>
      </c>
      <c r="G2447" s="58">
        <v>22352</v>
      </c>
      <c r="H2447" s="59">
        <v>80000</v>
      </c>
      <c r="I2447" s="59">
        <f t="shared" si="76"/>
        <v>0</v>
      </c>
    </row>
    <row r="2448" spans="1:9" customFormat="1" x14ac:dyDescent="0.35">
      <c r="A2448" s="63">
        <f t="shared" si="77"/>
        <v>2447</v>
      </c>
      <c r="B2448" s="54" t="s">
        <v>5745</v>
      </c>
      <c r="C2448" s="55" t="s">
        <v>5746</v>
      </c>
      <c r="D2448" s="54" t="s">
        <v>5608</v>
      </c>
      <c r="E2448" s="56">
        <v>0</v>
      </c>
      <c r="F2448" s="57" t="s">
        <v>792</v>
      </c>
      <c r="G2448" s="58">
        <v>22352</v>
      </c>
      <c r="H2448" s="59">
        <v>80000</v>
      </c>
      <c r="I2448" s="59">
        <f t="shared" si="76"/>
        <v>0</v>
      </c>
    </row>
    <row r="2449" spans="1:9" customFormat="1" ht="23" x14ac:dyDescent="0.35">
      <c r="A2449" s="63">
        <f t="shared" si="77"/>
        <v>2448</v>
      </c>
      <c r="B2449" s="54" t="s">
        <v>5747</v>
      </c>
      <c r="C2449" s="55" t="s">
        <v>5748</v>
      </c>
      <c r="D2449" s="54" t="s">
        <v>5608</v>
      </c>
      <c r="E2449" s="56">
        <v>0</v>
      </c>
      <c r="F2449" s="57" t="s">
        <v>792</v>
      </c>
      <c r="G2449" s="58">
        <v>365000</v>
      </c>
      <c r="H2449" s="59">
        <v>365000</v>
      </c>
      <c r="I2449" s="59">
        <f t="shared" si="76"/>
        <v>0</v>
      </c>
    </row>
    <row r="2450" spans="1:9" customFormat="1" x14ac:dyDescent="0.35">
      <c r="A2450" s="63">
        <f t="shared" si="77"/>
        <v>2449</v>
      </c>
      <c r="B2450" s="54" t="s">
        <v>5749</v>
      </c>
      <c r="C2450" s="55" t="s">
        <v>5750</v>
      </c>
      <c r="D2450" s="54" t="s">
        <v>5608</v>
      </c>
      <c r="E2450" s="56">
        <v>0</v>
      </c>
      <c r="F2450" s="57" t="s">
        <v>792</v>
      </c>
      <c r="G2450" s="58">
        <v>125000</v>
      </c>
      <c r="H2450" s="59">
        <v>125000</v>
      </c>
      <c r="I2450" s="59">
        <f t="shared" si="76"/>
        <v>0</v>
      </c>
    </row>
    <row r="2451" spans="1:9" customFormat="1" x14ac:dyDescent="0.35">
      <c r="A2451" s="63">
        <f t="shared" si="77"/>
        <v>2450</v>
      </c>
      <c r="B2451" s="54" t="s">
        <v>5751</v>
      </c>
      <c r="C2451" s="55" t="s">
        <v>5752</v>
      </c>
      <c r="D2451" s="54" t="s">
        <v>5608</v>
      </c>
      <c r="E2451" s="56">
        <v>0</v>
      </c>
      <c r="F2451" s="57" t="s">
        <v>792</v>
      </c>
      <c r="G2451" s="58">
        <v>180000</v>
      </c>
      <c r="H2451" s="59">
        <v>308000</v>
      </c>
      <c r="I2451" s="59">
        <f t="shared" si="76"/>
        <v>0</v>
      </c>
    </row>
    <row r="2452" spans="1:9" customFormat="1" x14ac:dyDescent="0.35">
      <c r="A2452" s="63">
        <f t="shared" si="77"/>
        <v>2451</v>
      </c>
      <c r="B2452" s="54" t="s">
        <v>5753</v>
      </c>
      <c r="C2452" s="55" t="s">
        <v>5754</v>
      </c>
      <c r="D2452" s="54" t="s">
        <v>5608</v>
      </c>
      <c r="E2452" s="56">
        <v>0</v>
      </c>
      <c r="F2452" s="57" t="s">
        <v>792</v>
      </c>
      <c r="G2452" s="58">
        <v>53500</v>
      </c>
      <c r="H2452" s="59">
        <v>85000</v>
      </c>
      <c r="I2452" s="59">
        <f t="shared" si="76"/>
        <v>0</v>
      </c>
    </row>
    <row r="2453" spans="1:9" customFormat="1" ht="23" x14ac:dyDescent="0.35">
      <c r="A2453" s="63">
        <f t="shared" si="77"/>
        <v>2452</v>
      </c>
      <c r="B2453" s="54" t="s">
        <v>5755</v>
      </c>
      <c r="C2453" s="55" t="s">
        <v>5756</v>
      </c>
      <c r="D2453" s="54" t="s">
        <v>5608</v>
      </c>
      <c r="E2453" s="56">
        <v>0</v>
      </c>
      <c r="F2453" s="57" t="s">
        <v>1003</v>
      </c>
      <c r="G2453" s="58">
        <v>0</v>
      </c>
      <c r="H2453" s="59">
        <v>4500000</v>
      </c>
      <c r="I2453" s="59">
        <f t="shared" si="76"/>
        <v>0</v>
      </c>
    </row>
    <row r="2454" spans="1:9" customFormat="1" x14ac:dyDescent="0.35">
      <c r="A2454" s="63">
        <f t="shared" si="77"/>
        <v>2453</v>
      </c>
      <c r="B2454" s="54" t="s">
        <v>5757</v>
      </c>
      <c r="C2454" s="55" t="s">
        <v>5758</v>
      </c>
      <c r="D2454" s="54" t="s">
        <v>5608</v>
      </c>
      <c r="E2454" s="56">
        <v>0</v>
      </c>
      <c r="F2454" s="57" t="s">
        <v>792</v>
      </c>
      <c r="G2454" s="58">
        <v>45000</v>
      </c>
      <c r="H2454" s="59">
        <v>45000</v>
      </c>
      <c r="I2454" s="59">
        <f t="shared" si="76"/>
        <v>0</v>
      </c>
    </row>
    <row r="2455" spans="1:9" customFormat="1" x14ac:dyDescent="0.35">
      <c r="A2455" s="63">
        <f t="shared" si="77"/>
        <v>2454</v>
      </c>
      <c r="B2455" s="54" t="s">
        <v>5759</v>
      </c>
      <c r="C2455" s="55" t="s">
        <v>5760</v>
      </c>
      <c r="D2455" s="54" t="s">
        <v>5608</v>
      </c>
      <c r="E2455" s="56">
        <v>0</v>
      </c>
      <c r="F2455" s="57" t="s">
        <v>792</v>
      </c>
      <c r="G2455" s="58">
        <v>60500</v>
      </c>
      <c r="H2455" s="59">
        <v>87000</v>
      </c>
      <c r="I2455" s="59">
        <f t="shared" si="76"/>
        <v>0</v>
      </c>
    </row>
    <row r="2456" spans="1:9" customFormat="1" x14ac:dyDescent="0.35">
      <c r="A2456" s="63">
        <f t="shared" si="77"/>
        <v>2455</v>
      </c>
      <c r="B2456" s="54" t="s">
        <v>5761</v>
      </c>
      <c r="C2456" s="55" t="s">
        <v>5762</v>
      </c>
      <c r="D2456" s="54" t="s">
        <v>5608</v>
      </c>
      <c r="E2456" s="56">
        <v>0</v>
      </c>
      <c r="F2456" s="57" t="s">
        <v>792</v>
      </c>
      <c r="G2456" s="58">
        <v>60500</v>
      </c>
      <c r="H2456" s="59">
        <v>230000</v>
      </c>
      <c r="I2456" s="59">
        <f t="shared" si="76"/>
        <v>0</v>
      </c>
    </row>
    <row r="2457" spans="1:9" customFormat="1" x14ac:dyDescent="0.35">
      <c r="A2457" s="63">
        <f t="shared" si="77"/>
        <v>2456</v>
      </c>
      <c r="B2457" s="54" t="s">
        <v>5763</v>
      </c>
      <c r="C2457" s="55" t="s">
        <v>5764</v>
      </c>
      <c r="D2457" s="54" t="s">
        <v>5608</v>
      </c>
      <c r="E2457" s="56">
        <v>0</v>
      </c>
      <c r="F2457" s="57" t="s">
        <v>792</v>
      </c>
      <c r="G2457" s="58">
        <v>45000</v>
      </c>
      <c r="H2457" s="59">
        <v>45000</v>
      </c>
      <c r="I2457" s="59">
        <f t="shared" si="76"/>
        <v>0</v>
      </c>
    </row>
    <row r="2458" spans="1:9" customFormat="1" x14ac:dyDescent="0.35">
      <c r="A2458" s="63">
        <f t="shared" si="77"/>
        <v>2457</v>
      </c>
      <c r="B2458" s="54" t="s">
        <v>5765</v>
      </c>
      <c r="C2458" s="55" t="s">
        <v>5766</v>
      </c>
      <c r="D2458" s="54" t="s">
        <v>5608</v>
      </c>
      <c r="E2458" s="56">
        <v>0</v>
      </c>
      <c r="F2458" s="57" t="s">
        <v>792</v>
      </c>
      <c r="G2458" s="58">
        <v>60500</v>
      </c>
      <c r="H2458" s="59">
        <v>85000</v>
      </c>
      <c r="I2458" s="59">
        <f t="shared" si="76"/>
        <v>0</v>
      </c>
    </row>
    <row r="2459" spans="1:9" customFormat="1" x14ac:dyDescent="0.35">
      <c r="A2459" s="63">
        <f t="shared" si="77"/>
        <v>2458</v>
      </c>
      <c r="B2459" s="54" t="s">
        <v>5767</v>
      </c>
      <c r="C2459" s="55" t="s">
        <v>5768</v>
      </c>
      <c r="D2459" s="54" t="s">
        <v>5608</v>
      </c>
      <c r="E2459" s="56">
        <v>0</v>
      </c>
      <c r="F2459" s="57" t="s">
        <v>792</v>
      </c>
      <c r="G2459" s="58">
        <v>0</v>
      </c>
      <c r="H2459" s="59">
        <v>90000</v>
      </c>
      <c r="I2459" s="59">
        <f t="shared" si="76"/>
        <v>0</v>
      </c>
    </row>
    <row r="2460" spans="1:9" customFormat="1" x14ac:dyDescent="0.35">
      <c r="A2460" s="63">
        <f t="shared" si="77"/>
        <v>2459</v>
      </c>
      <c r="B2460" s="54" t="s">
        <v>5769</v>
      </c>
      <c r="C2460" s="55" t="s">
        <v>5770</v>
      </c>
      <c r="D2460" s="54" t="s">
        <v>5608</v>
      </c>
      <c r="E2460" s="56">
        <v>0</v>
      </c>
      <c r="F2460" s="57" t="s">
        <v>792</v>
      </c>
      <c r="G2460" s="58">
        <v>60500</v>
      </c>
      <c r="H2460" s="59">
        <v>85000</v>
      </c>
      <c r="I2460" s="59">
        <f t="shared" si="76"/>
        <v>0</v>
      </c>
    </row>
    <row r="2461" spans="1:9" customFormat="1" x14ac:dyDescent="0.35">
      <c r="A2461" s="63">
        <f t="shared" si="77"/>
        <v>2460</v>
      </c>
      <c r="B2461" s="54" t="s">
        <v>5771</v>
      </c>
      <c r="C2461" s="55" t="s">
        <v>5772</v>
      </c>
      <c r="D2461" s="54" t="s">
        <v>5608</v>
      </c>
      <c r="E2461" s="56">
        <v>0</v>
      </c>
      <c r="F2461" s="57" t="s">
        <v>792</v>
      </c>
      <c r="G2461" s="58">
        <v>60500</v>
      </c>
      <c r="H2461" s="59">
        <v>60500</v>
      </c>
      <c r="I2461" s="59">
        <f t="shared" si="76"/>
        <v>0</v>
      </c>
    </row>
    <row r="2462" spans="1:9" customFormat="1" x14ac:dyDescent="0.35">
      <c r="A2462" s="63">
        <f t="shared" si="77"/>
        <v>2461</v>
      </c>
      <c r="B2462" s="54" t="s">
        <v>5773</v>
      </c>
      <c r="C2462" s="55" t="s">
        <v>5774</v>
      </c>
      <c r="D2462" s="54" t="s">
        <v>5608</v>
      </c>
      <c r="E2462" s="56">
        <v>0</v>
      </c>
      <c r="F2462" s="57" t="s">
        <v>792</v>
      </c>
      <c r="G2462" s="58">
        <v>60500</v>
      </c>
      <c r="H2462" s="59">
        <v>60500</v>
      </c>
      <c r="I2462" s="59">
        <f t="shared" si="76"/>
        <v>0</v>
      </c>
    </row>
    <row r="2463" spans="1:9" customFormat="1" x14ac:dyDescent="0.35">
      <c r="A2463" s="63">
        <f t="shared" si="77"/>
        <v>2462</v>
      </c>
      <c r="B2463" s="54" t="s">
        <v>5775</v>
      </c>
      <c r="C2463" s="55" t="s">
        <v>5776</v>
      </c>
      <c r="D2463" s="54" t="s">
        <v>5608</v>
      </c>
      <c r="E2463" s="56">
        <v>0</v>
      </c>
      <c r="F2463" s="57" t="s">
        <v>792</v>
      </c>
      <c r="G2463" s="58">
        <v>411500</v>
      </c>
      <c r="H2463" s="59">
        <v>650000</v>
      </c>
      <c r="I2463" s="59">
        <f t="shared" si="76"/>
        <v>0</v>
      </c>
    </row>
    <row r="2464" spans="1:9" customFormat="1" x14ac:dyDescent="0.35">
      <c r="A2464" s="63">
        <f t="shared" si="77"/>
        <v>2463</v>
      </c>
      <c r="B2464" s="54" t="s">
        <v>5777</v>
      </c>
      <c r="C2464" s="55" t="s">
        <v>5778</v>
      </c>
      <c r="D2464" s="54" t="s">
        <v>5608</v>
      </c>
      <c r="E2464" s="56">
        <v>0</v>
      </c>
      <c r="F2464" s="57" t="s">
        <v>792</v>
      </c>
      <c r="G2464" s="58">
        <v>2000</v>
      </c>
      <c r="H2464" s="59">
        <v>3500</v>
      </c>
      <c r="I2464" s="59">
        <f t="shared" si="76"/>
        <v>0</v>
      </c>
    </row>
    <row r="2465" spans="1:9" customFormat="1" x14ac:dyDescent="0.35">
      <c r="A2465" s="63">
        <f t="shared" si="77"/>
        <v>2464</v>
      </c>
      <c r="B2465" s="54" t="s">
        <v>5779</v>
      </c>
      <c r="C2465" s="55" t="s">
        <v>5780</v>
      </c>
      <c r="D2465" s="54" t="s">
        <v>5608</v>
      </c>
      <c r="E2465" s="56">
        <v>0</v>
      </c>
      <c r="F2465" s="57" t="s">
        <v>792</v>
      </c>
      <c r="G2465" s="58">
        <v>870000</v>
      </c>
      <c r="H2465" s="59">
        <v>870000</v>
      </c>
      <c r="I2465" s="59">
        <f t="shared" si="76"/>
        <v>0</v>
      </c>
    </row>
    <row r="2466" spans="1:9" customFormat="1" x14ac:dyDescent="0.35">
      <c r="A2466" s="63">
        <f t="shared" si="77"/>
        <v>2465</v>
      </c>
      <c r="B2466" s="54" t="s">
        <v>5781</v>
      </c>
      <c r="C2466" s="55" t="s">
        <v>5782</v>
      </c>
      <c r="D2466" s="54" t="s">
        <v>5608</v>
      </c>
      <c r="E2466" s="56">
        <v>0</v>
      </c>
      <c r="F2466" s="57" t="s">
        <v>792</v>
      </c>
      <c r="G2466" s="58">
        <v>97665</v>
      </c>
      <c r="H2466" s="59">
        <v>97665</v>
      </c>
      <c r="I2466" s="59">
        <f t="shared" si="76"/>
        <v>0</v>
      </c>
    </row>
    <row r="2467" spans="1:9" customFormat="1" x14ac:dyDescent="0.35">
      <c r="A2467" s="63">
        <f t="shared" si="77"/>
        <v>2466</v>
      </c>
      <c r="B2467" s="54" t="s">
        <v>5783</v>
      </c>
      <c r="C2467" s="55" t="s">
        <v>5784</v>
      </c>
      <c r="D2467" s="54" t="s">
        <v>5608</v>
      </c>
      <c r="E2467" s="56">
        <v>0</v>
      </c>
      <c r="F2467" s="57" t="s">
        <v>1003</v>
      </c>
      <c r="G2467" s="58">
        <v>2050</v>
      </c>
      <c r="H2467" s="59">
        <v>0</v>
      </c>
      <c r="I2467" s="59">
        <f t="shared" si="76"/>
        <v>0</v>
      </c>
    </row>
    <row r="2468" spans="1:9" customFormat="1" ht="23" x14ac:dyDescent="0.35">
      <c r="A2468" s="63">
        <f t="shared" si="77"/>
        <v>2467</v>
      </c>
      <c r="B2468" s="54" t="s">
        <v>5785</v>
      </c>
      <c r="C2468" s="55" t="s">
        <v>5786</v>
      </c>
      <c r="D2468" s="54" t="s">
        <v>5608</v>
      </c>
      <c r="E2468" s="56">
        <v>0</v>
      </c>
      <c r="F2468" s="57" t="s">
        <v>792</v>
      </c>
      <c r="G2468" s="58">
        <v>36950</v>
      </c>
      <c r="H2468" s="59">
        <v>140000</v>
      </c>
      <c r="I2468" s="59">
        <f t="shared" si="76"/>
        <v>0</v>
      </c>
    </row>
    <row r="2469" spans="1:9" customFormat="1" x14ac:dyDescent="0.35">
      <c r="A2469" s="63">
        <f t="shared" si="77"/>
        <v>2468</v>
      </c>
      <c r="B2469" s="54" t="s">
        <v>5787</v>
      </c>
      <c r="C2469" s="55" t="s">
        <v>5788</v>
      </c>
      <c r="D2469" s="54" t="s">
        <v>5608</v>
      </c>
      <c r="E2469" s="56">
        <v>0</v>
      </c>
      <c r="F2469" s="57" t="s">
        <v>792</v>
      </c>
      <c r="G2469" s="58">
        <v>3000</v>
      </c>
      <c r="H2469" s="59">
        <v>6000</v>
      </c>
      <c r="I2469" s="59">
        <f t="shared" si="76"/>
        <v>0</v>
      </c>
    </row>
    <row r="2470" spans="1:9" customFormat="1" x14ac:dyDescent="0.35">
      <c r="A2470" s="63">
        <f t="shared" si="77"/>
        <v>2469</v>
      </c>
      <c r="B2470" s="54" t="s">
        <v>5789</v>
      </c>
      <c r="C2470" s="55" t="s">
        <v>5790</v>
      </c>
      <c r="D2470" s="54" t="s">
        <v>5608</v>
      </c>
      <c r="E2470" s="56">
        <v>0</v>
      </c>
      <c r="F2470" s="57" t="s">
        <v>792</v>
      </c>
      <c r="G2470" s="58">
        <v>5100</v>
      </c>
      <c r="H2470" s="59">
        <v>8500</v>
      </c>
      <c r="I2470" s="59">
        <f t="shared" si="76"/>
        <v>0</v>
      </c>
    </row>
    <row r="2471" spans="1:9" customFormat="1" x14ac:dyDescent="0.35">
      <c r="A2471" s="63">
        <f t="shared" si="77"/>
        <v>2470</v>
      </c>
      <c r="B2471" s="54" t="s">
        <v>5791</v>
      </c>
      <c r="C2471" s="55" t="s">
        <v>5792</v>
      </c>
      <c r="D2471" s="54" t="s">
        <v>5608</v>
      </c>
      <c r="E2471" s="56">
        <v>0</v>
      </c>
      <c r="F2471" s="57" t="s">
        <v>792</v>
      </c>
      <c r="G2471" s="58">
        <v>2100</v>
      </c>
      <c r="H2471" s="59">
        <v>3500</v>
      </c>
      <c r="I2471" s="59">
        <f t="shared" si="76"/>
        <v>0</v>
      </c>
    </row>
    <row r="2472" spans="1:9" customFormat="1" x14ac:dyDescent="0.35">
      <c r="A2472" s="63">
        <f t="shared" si="77"/>
        <v>2471</v>
      </c>
      <c r="B2472" s="54" t="s">
        <v>5793</v>
      </c>
      <c r="C2472" s="55" t="s">
        <v>5794</v>
      </c>
      <c r="D2472" s="54" t="s">
        <v>5608</v>
      </c>
      <c r="E2472" s="56">
        <v>0</v>
      </c>
      <c r="F2472" s="57" t="s">
        <v>792</v>
      </c>
      <c r="G2472" s="58">
        <v>0</v>
      </c>
      <c r="H2472" s="59">
        <v>3500</v>
      </c>
      <c r="I2472" s="59">
        <f t="shared" si="76"/>
        <v>0</v>
      </c>
    </row>
    <row r="2473" spans="1:9" customFormat="1" x14ac:dyDescent="0.35">
      <c r="A2473" s="63">
        <f t="shared" si="77"/>
        <v>2472</v>
      </c>
      <c r="B2473" s="54" t="s">
        <v>5795</v>
      </c>
      <c r="C2473" s="55" t="s">
        <v>5796</v>
      </c>
      <c r="D2473" s="54" t="s">
        <v>5608</v>
      </c>
      <c r="E2473" s="56">
        <v>0</v>
      </c>
      <c r="F2473" s="57" t="s">
        <v>792</v>
      </c>
      <c r="G2473" s="58">
        <v>2100</v>
      </c>
      <c r="H2473" s="59">
        <v>3500</v>
      </c>
      <c r="I2473" s="59">
        <f t="shared" si="76"/>
        <v>0</v>
      </c>
    </row>
    <row r="2474" spans="1:9" customFormat="1" ht="23" x14ac:dyDescent="0.35">
      <c r="A2474" s="63">
        <f t="shared" si="77"/>
        <v>2473</v>
      </c>
      <c r="B2474" s="54" t="s">
        <v>5797</v>
      </c>
      <c r="C2474" s="55" t="s">
        <v>5798</v>
      </c>
      <c r="D2474" s="54" t="s">
        <v>5608</v>
      </c>
      <c r="E2474" s="56">
        <v>0</v>
      </c>
      <c r="F2474" s="57" t="s">
        <v>792</v>
      </c>
      <c r="G2474" s="58">
        <v>17000</v>
      </c>
      <c r="H2474" s="59">
        <v>26000</v>
      </c>
      <c r="I2474" s="59">
        <f t="shared" si="76"/>
        <v>0</v>
      </c>
    </row>
    <row r="2475" spans="1:9" customFormat="1" ht="23" x14ac:dyDescent="0.35">
      <c r="A2475" s="63">
        <f t="shared" si="77"/>
        <v>2474</v>
      </c>
      <c r="B2475" s="54" t="s">
        <v>5799</v>
      </c>
      <c r="C2475" s="55" t="s">
        <v>5800</v>
      </c>
      <c r="D2475" s="54" t="s">
        <v>5608</v>
      </c>
      <c r="E2475" s="56">
        <v>0</v>
      </c>
      <c r="F2475" s="57" t="s">
        <v>792</v>
      </c>
      <c r="G2475" s="58">
        <v>8500</v>
      </c>
      <c r="H2475" s="59">
        <v>13000</v>
      </c>
      <c r="I2475" s="59">
        <f t="shared" si="76"/>
        <v>0</v>
      </c>
    </row>
    <row r="2476" spans="1:9" customFormat="1" x14ac:dyDescent="0.35">
      <c r="A2476" s="63">
        <f t="shared" si="77"/>
        <v>2475</v>
      </c>
      <c r="B2476" s="54" t="s">
        <v>5801</v>
      </c>
      <c r="C2476" s="55" t="s">
        <v>5802</v>
      </c>
      <c r="D2476" s="54" t="s">
        <v>5608</v>
      </c>
      <c r="E2476" s="56">
        <v>0</v>
      </c>
      <c r="F2476" s="57" t="s">
        <v>1217</v>
      </c>
      <c r="G2476" s="58">
        <v>15500</v>
      </c>
      <c r="H2476" s="59">
        <v>26000</v>
      </c>
      <c r="I2476" s="59">
        <f t="shared" si="76"/>
        <v>0</v>
      </c>
    </row>
    <row r="2477" spans="1:9" customFormat="1" x14ac:dyDescent="0.35">
      <c r="A2477" s="63">
        <f t="shared" si="77"/>
        <v>2476</v>
      </c>
      <c r="B2477" s="54" t="s">
        <v>5803</v>
      </c>
      <c r="C2477" s="55" t="s">
        <v>5804</v>
      </c>
      <c r="D2477" s="54" t="s">
        <v>5608</v>
      </c>
      <c r="E2477" s="56">
        <v>0</v>
      </c>
      <c r="F2477" s="57" t="s">
        <v>792</v>
      </c>
      <c r="G2477" s="58">
        <v>2400</v>
      </c>
      <c r="H2477" s="59">
        <v>4000</v>
      </c>
      <c r="I2477" s="59">
        <f t="shared" si="76"/>
        <v>0</v>
      </c>
    </row>
    <row r="2478" spans="1:9" customFormat="1" x14ac:dyDescent="0.35">
      <c r="A2478" s="63">
        <f t="shared" si="77"/>
        <v>2477</v>
      </c>
      <c r="B2478" s="54" t="s">
        <v>5805</v>
      </c>
      <c r="C2478" s="55" t="s">
        <v>5806</v>
      </c>
      <c r="D2478" s="54" t="s">
        <v>5608</v>
      </c>
      <c r="E2478" s="56">
        <v>0</v>
      </c>
      <c r="F2478" s="57" t="s">
        <v>792</v>
      </c>
      <c r="G2478" s="58">
        <v>30000</v>
      </c>
      <c r="H2478" s="59">
        <v>50000</v>
      </c>
      <c r="I2478" s="59">
        <f t="shared" si="76"/>
        <v>0</v>
      </c>
    </row>
    <row r="2479" spans="1:9" customFormat="1" x14ac:dyDescent="0.35">
      <c r="A2479" s="63">
        <f t="shared" si="77"/>
        <v>2478</v>
      </c>
      <c r="B2479" s="54" t="s">
        <v>5807</v>
      </c>
      <c r="C2479" s="55" t="s">
        <v>5808</v>
      </c>
      <c r="D2479" s="54" t="s">
        <v>5608</v>
      </c>
      <c r="E2479" s="56">
        <v>0</v>
      </c>
      <c r="F2479" s="57" t="s">
        <v>792</v>
      </c>
      <c r="G2479" s="58">
        <v>2100</v>
      </c>
      <c r="H2479" s="59">
        <v>3500</v>
      </c>
      <c r="I2479" s="59">
        <f t="shared" si="76"/>
        <v>0</v>
      </c>
    </row>
    <row r="2480" spans="1:9" customFormat="1" ht="23" x14ac:dyDescent="0.35">
      <c r="A2480" s="63">
        <f t="shared" si="77"/>
        <v>2479</v>
      </c>
      <c r="B2480" s="54" t="s">
        <v>5809</v>
      </c>
      <c r="C2480" s="55" t="s">
        <v>5810</v>
      </c>
      <c r="D2480" s="54" t="s">
        <v>5608</v>
      </c>
      <c r="E2480" s="56">
        <v>0</v>
      </c>
      <c r="F2480" s="57" t="s">
        <v>792</v>
      </c>
      <c r="G2480" s="58">
        <v>2100</v>
      </c>
      <c r="H2480" s="59">
        <v>3500</v>
      </c>
      <c r="I2480" s="59">
        <f t="shared" si="76"/>
        <v>0</v>
      </c>
    </row>
    <row r="2481" spans="1:9" customFormat="1" x14ac:dyDescent="0.35">
      <c r="A2481" s="63">
        <f t="shared" si="77"/>
        <v>2480</v>
      </c>
      <c r="B2481" s="54" t="s">
        <v>5811</v>
      </c>
      <c r="C2481" s="55" t="s">
        <v>5812</v>
      </c>
      <c r="D2481" s="54" t="s">
        <v>5608</v>
      </c>
      <c r="E2481" s="56">
        <v>0</v>
      </c>
      <c r="F2481" s="57" t="s">
        <v>792</v>
      </c>
      <c r="G2481" s="58">
        <v>9000</v>
      </c>
      <c r="H2481" s="59">
        <v>15000</v>
      </c>
      <c r="I2481" s="59">
        <f t="shared" si="76"/>
        <v>0</v>
      </c>
    </row>
    <row r="2482" spans="1:9" customFormat="1" x14ac:dyDescent="0.35">
      <c r="A2482" s="63">
        <f t="shared" si="77"/>
        <v>2481</v>
      </c>
      <c r="B2482" s="54" t="s">
        <v>5813</v>
      </c>
      <c r="C2482" s="55" t="s">
        <v>5814</v>
      </c>
      <c r="D2482" s="54" t="s">
        <v>5608</v>
      </c>
      <c r="E2482" s="56">
        <v>0</v>
      </c>
      <c r="F2482" s="57" t="s">
        <v>792</v>
      </c>
      <c r="G2482" s="58">
        <v>3500</v>
      </c>
      <c r="H2482" s="59">
        <v>7000</v>
      </c>
      <c r="I2482" s="59">
        <f t="shared" si="76"/>
        <v>0</v>
      </c>
    </row>
    <row r="2483" spans="1:9" customFormat="1" x14ac:dyDescent="0.35">
      <c r="A2483" s="63">
        <f t="shared" si="77"/>
        <v>2482</v>
      </c>
      <c r="B2483" s="54" t="s">
        <v>5815</v>
      </c>
      <c r="C2483" s="55" t="s">
        <v>5816</v>
      </c>
      <c r="D2483" s="54" t="s">
        <v>5608</v>
      </c>
      <c r="E2483" s="56">
        <v>0</v>
      </c>
      <c r="F2483" s="57" t="s">
        <v>792</v>
      </c>
      <c r="G2483" s="58">
        <v>3500</v>
      </c>
      <c r="H2483" s="59">
        <v>7000</v>
      </c>
      <c r="I2483" s="59">
        <f t="shared" si="76"/>
        <v>0</v>
      </c>
    </row>
    <row r="2484" spans="1:9" customFormat="1" x14ac:dyDescent="0.35">
      <c r="A2484" s="63">
        <f t="shared" si="77"/>
        <v>2483</v>
      </c>
      <c r="B2484" s="54" t="s">
        <v>5817</v>
      </c>
      <c r="C2484" s="55" t="s">
        <v>5818</v>
      </c>
      <c r="D2484" s="54" t="s">
        <v>5608</v>
      </c>
      <c r="E2484" s="56">
        <v>0</v>
      </c>
      <c r="F2484" s="57" t="s">
        <v>792</v>
      </c>
      <c r="G2484" s="58">
        <v>2100</v>
      </c>
      <c r="H2484" s="59">
        <v>3500</v>
      </c>
      <c r="I2484" s="59">
        <f t="shared" si="76"/>
        <v>0</v>
      </c>
    </row>
    <row r="2485" spans="1:9" customFormat="1" x14ac:dyDescent="0.35">
      <c r="A2485" s="63">
        <f t="shared" si="77"/>
        <v>2484</v>
      </c>
      <c r="B2485" s="54" t="s">
        <v>5819</v>
      </c>
      <c r="C2485" s="55" t="s">
        <v>5820</v>
      </c>
      <c r="D2485" s="54" t="s">
        <v>5608</v>
      </c>
      <c r="E2485" s="56">
        <v>0</v>
      </c>
      <c r="F2485" s="57" t="s">
        <v>792</v>
      </c>
      <c r="G2485" s="58">
        <v>120000</v>
      </c>
      <c r="H2485" s="59">
        <v>200000</v>
      </c>
      <c r="I2485" s="59">
        <f t="shared" si="76"/>
        <v>0</v>
      </c>
    </row>
    <row r="2486" spans="1:9" customFormat="1" ht="23" x14ac:dyDescent="0.35">
      <c r="A2486" s="63">
        <f t="shared" si="77"/>
        <v>2485</v>
      </c>
      <c r="B2486" s="54" t="s">
        <v>5821</v>
      </c>
      <c r="C2486" s="55" t="s">
        <v>5822</v>
      </c>
      <c r="D2486" s="54" t="s">
        <v>5608</v>
      </c>
      <c r="E2486" s="56">
        <v>0</v>
      </c>
      <c r="F2486" s="57" t="s">
        <v>792</v>
      </c>
      <c r="G2486" s="58">
        <v>1600</v>
      </c>
      <c r="H2486" s="59">
        <v>4000</v>
      </c>
      <c r="I2486" s="59">
        <f t="shared" si="76"/>
        <v>0</v>
      </c>
    </row>
    <row r="2487" spans="1:9" customFormat="1" x14ac:dyDescent="0.35">
      <c r="A2487" s="63">
        <f t="shared" si="77"/>
        <v>2486</v>
      </c>
      <c r="B2487" s="54" t="s">
        <v>5823</v>
      </c>
      <c r="C2487" s="55" t="s">
        <v>5824</v>
      </c>
      <c r="D2487" s="54" t="s">
        <v>5608</v>
      </c>
      <c r="E2487" s="56">
        <v>0</v>
      </c>
      <c r="F2487" s="57" t="s">
        <v>792</v>
      </c>
      <c r="G2487" s="58">
        <v>2000</v>
      </c>
      <c r="H2487" s="59">
        <v>4000</v>
      </c>
      <c r="I2487" s="59">
        <f t="shared" si="76"/>
        <v>0</v>
      </c>
    </row>
    <row r="2488" spans="1:9" customFormat="1" ht="23" x14ac:dyDescent="0.35">
      <c r="A2488" s="63">
        <f t="shared" si="77"/>
        <v>2487</v>
      </c>
      <c r="B2488" s="54" t="s">
        <v>5825</v>
      </c>
      <c r="C2488" s="55" t="s">
        <v>5826</v>
      </c>
      <c r="D2488" s="54" t="s">
        <v>5608</v>
      </c>
      <c r="E2488" s="56">
        <v>0</v>
      </c>
      <c r="F2488" s="57" t="s">
        <v>792</v>
      </c>
      <c r="G2488" s="58">
        <v>1400</v>
      </c>
      <c r="H2488" s="59">
        <v>3500</v>
      </c>
      <c r="I2488" s="59">
        <f t="shared" si="76"/>
        <v>0</v>
      </c>
    </row>
    <row r="2489" spans="1:9" customFormat="1" ht="23" x14ac:dyDescent="0.35">
      <c r="A2489" s="63">
        <f t="shared" si="77"/>
        <v>2488</v>
      </c>
      <c r="B2489" s="54" t="s">
        <v>5827</v>
      </c>
      <c r="C2489" s="55" t="s">
        <v>5828</v>
      </c>
      <c r="D2489" s="54" t="s">
        <v>5608</v>
      </c>
      <c r="E2489" s="56">
        <v>0</v>
      </c>
      <c r="F2489" s="57" t="s">
        <v>792</v>
      </c>
      <c r="G2489" s="58">
        <v>40000</v>
      </c>
      <c r="H2489" s="59">
        <v>65000</v>
      </c>
      <c r="I2489" s="59">
        <f t="shared" si="76"/>
        <v>0</v>
      </c>
    </row>
    <row r="2490" spans="1:9" customFormat="1" x14ac:dyDescent="0.35">
      <c r="A2490" s="63">
        <f t="shared" si="77"/>
        <v>2489</v>
      </c>
      <c r="B2490" s="54" t="s">
        <v>5829</v>
      </c>
      <c r="C2490" s="55" t="s">
        <v>5830</v>
      </c>
      <c r="D2490" s="54" t="s">
        <v>5608</v>
      </c>
      <c r="E2490" s="56">
        <v>0</v>
      </c>
      <c r="F2490" s="57" t="s">
        <v>792</v>
      </c>
      <c r="G2490" s="58">
        <v>1750</v>
      </c>
      <c r="H2490" s="59">
        <v>3500</v>
      </c>
      <c r="I2490" s="59">
        <f t="shared" si="76"/>
        <v>0</v>
      </c>
    </row>
    <row r="2491" spans="1:9" customFormat="1" x14ac:dyDescent="0.35">
      <c r="A2491" s="63">
        <f t="shared" si="77"/>
        <v>2490</v>
      </c>
      <c r="B2491" s="54" t="s">
        <v>5831</v>
      </c>
      <c r="C2491" s="55" t="s">
        <v>5832</v>
      </c>
      <c r="D2491" s="54" t="s">
        <v>5608</v>
      </c>
      <c r="E2491" s="56">
        <v>0</v>
      </c>
      <c r="F2491" s="57" t="s">
        <v>792</v>
      </c>
      <c r="G2491" s="58">
        <v>2100</v>
      </c>
      <c r="H2491" s="59">
        <v>3500</v>
      </c>
      <c r="I2491" s="59">
        <f t="shared" si="76"/>
        <v>0</v>
      </c>
    </row>
    <row r="2492" spans="1:9" customFormat="1" x14ac:dyDescent="0.35">
      <c r="A2492" s="63">
        <f t="shared" si="77"/>
        <v>2491</v>
      </c>
      <c r="B2492" s="54" t="s">
        <v>5833</v>
      </c>
      <c r="C2492" s="55" t="s">
        <v>5834</v>
      </c>
      <c r="D2492" s="54" t="s">
        <v>5608</v>
      </c>
      <c r="E2492" s="56">
        <v>0</v>
      </c>
      <c r="F2492" s="57" t="s">
        <v>792</v>
      </c>
      <c r="G2492" s="58">
        <v>195000</v>
      </c>
      <c r="H2492" s="59">
        <v>325000</v>
      </c>
      <c r="I2492" s="59">
        <f t="shared" si="76"/>
        <v>0</v>
      </c>
    </row>
    <row r="2493" spans="1:9" customFormat="1" x14ac:dyDescent="0.35">
      <c r="A2493" s="63">
        <f t="shared" si="77"/>
        <v>2492</v>
      </c>
      <c r="B2493" s="54" t="s">
        <v>5835</v>
      </c>
      <c r="C2493" s="55" t="s">
        <v>5836</v>
      </c>
      <c r="D2493" s="54" t="s">
        <v>5608</v>
      </c>
      <c r="E2493" s="56">
        <v>0</v>
      </c>
      <c r="F2493" s="57" t="s">
        <v>792</v>
      </c>
      <c r="G2493" s="58">
        <v>195000</v>
      </c>
      <c r="H2493" s="59">
        <v>325000</v>
      </c>
      <c r="I2493" s="59">
        <f t="shared" si="76"/>
        <v>0</v>
      </c>
    </row>
    <row r="2494" spans="1:9" customFormat="1" ht="23" x14ac:dyDescent="0.35">
      <c r="A2494" s="63">
        <f t="shared" si="77"/>
        <v>2493</v>
      </c>
      <c r="B2494" s="54" t="s">
        <v>5837</v>
      </c>
      <c r="C2494" s="55" t="s">
        <v>5838</v>
      </c>
      <c r="D2494" s="54" t="s">
        <v>5608</v>
      </c>
      <c r="E2494" s="56">
        <v>0</v>
      </c>
      <c r="F2494" s="57" t="s">
        <v>792</v>
      </c>
      <c r="G2494" s="58">
        <v>1400</v>
      </c>
      <c r="H2494" s="59">
        <v>3500</v>
      </c>
      <c r="I2494" s="59">
        <f t="shared" si="76"/>
        <v>0</v>
      </c>
    </row>
    <row r="2495" spans="1:9" customFormat="1" x14ac:dyDescent="0.35">
      <c r="A2495" s="63">
        <f t="shared" si="77"/>
        <v>2494</v>
      </c>
      <c r="B2495" s="54" t="s">
        <v>5839</v>
      </c>
      <c r="C2495" s="55" t="s">
        <v>5840</v>
      </c>
      <c r="D2495" s="54" t="s">
        <v>5608</v>
      </c>
      <c r="E2495" s="56">
        <v>0</v>
      </c>
      <c r="F2495" s="57" t="s">
        <v>792</v>
      </c>
      <c r="G2495" s="58">
        <v>10000</v>
      </c>
      <c r="H2495" s="59">
        <v>20000</v>
      </c>
      <c r="I2495" s="59">
        <f t="shared" si="76"/>
        <v>0</v>
      </c>
    </row>
    <row r="2496" spans="1:9" customFormat="1" x14ac:dyDescent="0.35">
      <c r="A2496" s="63">
        <f t="shared" si="77"/>
        <v>2495</v>
      </c>
      <c r="B2496" s="54" t="s">
        <v>5841</v>
      </c>
      <c r="C2496" s="55" t="s">
        <v>5842</v>
      </c>
      <c r="D2496" s="54" t="s">
        <v>5608</v>
      </c>
      <c r="E2496" s="56">
        <v>0</v>
      </c>
      <c r="F2496" s="57" t="s">
        <v>792</v>
      </c>
      <c r="G2496" s="58">
        <v>4800</v>
      </c>
      <c r="H2496" s="59">
        <v>8000</v>
      </c>
      <c r="I2496" s="59">
        <f t="shared" si="76"/>
        <v>0</v>
      </c>
    </row>
    <row r="2497" spans="1:9" customFormat="1" x14ac:dyDescent="0.35">
      <c r="A2497" s="63">
        <f t="shared" si="77"/>
        <v>2496</v>
      </c>
      <c r="B2497" s="54" t="s">
        <v>5843</v>
      </c>
      <c r="C2497" s="55" t="s">
        <v>5844</v>
      </c>
      <c r="D2497" s="54" t="s">
        <v>5608</v>
      </c>
      <c r="E2497" s="56">
        <v>0</v>
      </c>
      <c r="F2497" s="57" t="s">
        <v>792</v>
      </c>
      <c r="G2497" s="58">
        <v>1200</v>
      </c>
      <c r="H2497" s="59">
        <v>2000</v>
      </c>
      <c r="I2497" s="59">
        <f t="shared" si="76"/>
        <v>0</v>
      </c>
    </row>
    <row r="2498" spans="1:9" customFormat="1" x14ac:dyDescent="0.35">
      <c r="A2498" s="63">
        <f t="shared" si="77"/>
        <v>2497</v>
      </c>
      <c r="B2498" s="54" t="s">
        <v>5845</v>
      </c>
      <c r="C2498" s="55" t="s">
        <v>5846</v>
      </c>
      <c r="D2498" s="54" t="s">
        <v>5608</v>
      </c>
      <c r="E2498" s="56">
        <v>0</v>
      </c>
      <c r="F2498" s="57" t="s">
        <v>792</v>
      </c>
      <c r="G2498" s="58">
        <v>5000</v>
      </c>
      <c r="H2498" s="59">
        <v>8500</v>
      </c>
      <c r="I2498" s="59">
        <f t="shared" si="76"/>
        <v>0</v>
      </c>
    </row>
    <row r="2499" spans="1:9" customFormat="1" x14ac:dyDescent="0.35">
      <c r="A2499" s="63">
        <f t="shared" si="77"/>
        <v>2498</v>
      </c>
      <c r="B2499" s="54" t="s">
        <v>5847</v>
      </c>
      <c r="C2499" s="55" t="s">
        <v>5848</v>
      </c>
      <c r="D2499" s="54" t="s">
        <v>5608</v>
      </c>
      <c r="E2499" s="56">
        <v>0</v>
      </c>
      <c r="F2499" s="57" t="s">
        <v>792</v>
      </c>
      <c r="G2499" s="58">
        <v>5000</v>
      </c>
      <c r="H2499" s="59">
        <v>8500</v>
      </c>
      <c r="I2499" s="59">
        <f t="shared" ref="I2499:I2562" si="78">H2499*E2499</f>
        <v>0</v>
      </c>
    </row>
    <row r="2500" spans="1:9" customFormat="1" x14ac:dyDescent="0.35">
      <c r="A2500" s="63">
        <f t="shared" ref="A2500:A2563" si="79">A2499+1</f>
        <v>2499</v>
      </c>
      <c r="B2500" s="54" t="s">
        <v>5849</v>
      </c>
      <c r="C2500" s="55" t="s">
        <v>5850</v>
      </c>
      <c r="D2500" s="54" t="s">
        <v>5608</v>
      </c>
      <c r="E2500" s="56">
        <v>0</v>
      </c>
      <c r="F2500" s="57" t="s">
        <v>792</v>
      </c>
      <c r="G2500" s="58">
        <v>5000</v>
      </c>
      <c r="H2500" s="59">
        <v>0</v>
      </c>
      <c r="I2500" s="59">
        <f t="shared" si="78"/>
        <v>0</v>
      </c>
    </row>
    <row r="2501" spans="1:9" customFormat="1" x14ac:dyDescent="0.35">
      <c r="A2501" s="63">
        <f t="shared" si="79"/>
        <v>2500</v>
      </c>
      <c r="B2501" s="54" t="s">
        <v>5851</v>
      </c>
      <c r="C2501" s="55" t="s">
        <v>5852</v>
      </c>
      <c r="D2501" s="54" t="s">
        <v>5608</v>
      </c>
      <c r="E2501" s="56">
        <v>0</v>
      </c>
      <c r="F2501" s="57" t="s">
        <v>792</v>
      </c>
      <c r="G2501" s="58">
        <v>5000</v>
      </c>
      <c r="H2501" s="59">
        <v>0</v>
      </c>
      <c r="I2501" s="59">
        <f t="shared" si="78"/>
        <v>0</v>
      </c>
    </row>
    <row r="2502" spans="1:9" customFormat="1" x14ac:dyDescent="0.35">
      <c r="A2502" s="63">
        <f t="shared" si="79"/>
        <v>2501</v>
      </c>
      <c r="B2502" s="54" t="s">
        <v>5853</v>
      </c>
      <c r="C2502" s="55" t="s">
        <v>5854</v>
      </c>
      <c r="D2502" s="54" t="s">
        <v>5608</v>
      </c>
      <c r="E2502" s="56">
        <v>0</v>
      </c>
      <c r="F2502" s="57" t="s">
        <v>792</v>
      </c>
      <c r="G2502" s="58">
        <v>5000</v>
      </c>
      <c r="H2502" s="59">
        <v>0</v>
      </c>
      <c r="I2502" s="59">
        <f t="shared" si="78"/>
        <v>0</v>
      </c>
    </row>
    <row r="2503" spans="1:9" customFormat="1" x14ac:dyDescent="0.35">
      <c r="A2503" s="63">
        <f t="shared" si="79"/>
        <v>2502</v>
      </c>
      <c r="B2503" s="54" t="s">
        <v>5855</v>
      </c>
      <c r="C2503" s="55" t="s">
        <v>5856</v>
      </c>
      <c r="D2503" s="54" t="s">
        <v>5608</v>
      </c>
      <c r="E2503" s="56">
        <v>0</v>
      </c>
      <c r="F2503" s="57" t="s">
        <v>815</v>
      </c>
      <c r="G2503" s="58">
        <v>800000</v>
      </c>
      <c r="H2503" s="59">
        <v>1300000</v>
      </c>
      <c r="I2503" s="59">
        <f t="shared" si="78"/>
        <v>0</v>
      </c>
    </row>
    <row r="2504" spans="1:9" customFormat="1" x14ac:dyDescent="0.35">
      <c r="A2504" s="63">
        <f t="shared" si="79"/>
        <v>2503</v>
      </c>
      <c r="B2504" s="54" t="s">
        <v>5857</v>
      </c>
      <c r="C2504" s="55" t="s">
        <v>5858</v>
      </c>
      <c r="D2504" s="54" t="s">
        <v>5608</v>
      </c>
      <c r="E2504" s="56">
        <v>0</v>
      </c>
      <c r="F2504" s="57" t="s">
        <v>792</v>
      </c>
      <c r="G2504" s="58">
        <v>0</v>
      </c>
      <c r="H2504" s="59">
        <v>9000</v>
      </c>
      <c r="I2504" s="59">
        <f t="shared" si="78"/>
        <v>0</v>
      </c>
    </row>
    <row r="2505" spans="1:9" customFormat="1" x14ac:dyDescent="0.35">
      <c r="A2505" s="63">
        <f t="shared" si="79"/>
        <v>2504</v>
      </c>
      <c r="B2505" s="54" t="s">
        <v>5859</v>
      </c>
      <c r="C2505" s="55" t="s">
        <v>5860</v>
      </c>
      <c r="D2505" s="54" t="s">
        <v>5608</v>
      </c>
      <c r="E2505" s="56">
        <v>0</v>
      </c>
      <c r="F2505" s="57" t="s">
        <v>792</v>
      </c>
      <c r="G2505" s="58">
        <v>5000</v>
      </c>
      <c r="H2505" s="59">
        <v>9000</v>
      </c>
      <c r="I2505" s="59">
        <f t="shared" si="78"/>
        <v>0</v>
      </c>
    </row>
    <row r="2506" spans="1:9" customFormat="1" x14ac:dyDescent="0.35">
      <c r="A2506" s="63">
        <f t="shared" si="79"/>
        <v>2505</v>
      </c>
      <c r="B2506" s="54" t="s">
        <v>5861</v>
      </c>
      <c r="C2506" s="55" t="s">
        <v>5862</v>
      </c>
      <c r="D2506" s="54" t="s">
        <v>5608</v>
      </c>
      <c r="E2506" s="56">
        <v>0</v>
      </c>
      <c r="F2506" s="57" t="s">
        <v>792</v>
      </c>
      <c r="G2506" s="58">
        <v>3750</v>
      </c>
      <c r="H2506" s="59">
        <v>7500</v>
      </c>
      <c r="I2506" s="59">
        <f t="shared" si="78"/>
        <v>0</v>
      </c>
    </row>
    <row r="2507" spans="1:9" customFormat="1" ht="23" x14ac:dyDescent="0.35">
      <c r="A2507" s="63">
        <f t="shared" si="79"/>
        <v>2506</v>
      </c>
      <c r="B2507" s="54" t="s">
        <v>5863</v>
      </c>
      <c r="C2507" s="55" t="s">
        <v>5864</v>
      </c>
      <c r="D2507" s="54" t="s">
        <v>5608</v>
      </c>
      <c r="E2507" s="56">
        <v>0</v>
      </c>
      <c r="F2507" s="57" t="s">
        <v>792</v>
      </c>
      <c r="G2507" s="58">
        <v>4000</v>
      </c>
      <c r="H2507" s="59">
        <v>8000</v>
      </c>
      <c r="I2507" s="59">
        <f t="shared" si="78"/>
        <v>0</v>
      </c>
    </row>
    <row r="2508" spans="1:9" customFormat="1" x14ac:dyDescent="0.35">
      <c r="A2508" s="63">
        <f t="shared" si="79"/>
        <v>2507</v>
      </c>
      <c r="B2508" s="54" t="s">
        <v>5865</v>
      </c>
      <c r="C2508" s="55" t="s">
        <v>5866</v>
      </c>
      <c r="D2508" s="54" t="s">
        <v>5608</v>
      </c>
      <c r="E2508" s="56">
        <v>0</v>
      </c>
      <c r="F2508" s="57" t="s">
        <v>792</v>
      </c>
      <c r="G2508" s="58">
        <v>0</v>
      </c>
      <c r="H2508" s="59">
        <v>2350</v>
      </c>
      <c r="I2508" s="59">
        <f t="shared" si="78"/>
        <v>0</v>
      </c>
    </row>
    <row r="2509" spans="1:9" customFormat="1" x14ac:dyDescent="0.35">
      <c r="A2509" s="63">
        <f t="shared" si="79"/>
        <v>2508</v>
      </c>
      <c r="B2509" s="54" t="s">
        <v>5867</v>
      </c>
      <c r="C2509" s="55" t="s">
        <v>5868</v>
      </c>
      <c r="D2509" s="54" t="s">
        <v>5608</v>
      </c>
      <c r="E2509" s="56">
        <v>0</v>
      </c>
      <c r="F2509" s="57" t="s">
        <v>792</v>
      </c>
      <c r="G2509" s="58">
        <v>1400</v>
      </c>
      <c r="H2509" s="59">
        <v>2350</v>
      </c>
      <c r="I2509" s="59">
        <f t="shared" si="78"/>
        <v>0</v>
      </c>
    </row>
    <row r="2510" spans="1:9" customFormat="1" x14ac:dyDescent="0.35">
      <c r="A2510" s="63">
        <f t="shared" si="79"/>
        <v>2509</v>
      </c>
      <c r="B2510" s="54" t="s">
        <v>5869</v>
      </c>
      <c r="C2510" s="55" t="s">
        <v>5870</v>
      </c>
      <c r="D2510" s="54" t="s">
        <v>5608</v>
      </c>
      <c r="E2510" s="56">
        <v>0</v>
      </c>
      <c r="F2510" s="57" t="s">
        <v>792</v>
      </c>
      <c r="G2510" s="58">
        <v>1400</v>
      </c>
      <c r="H2510" s="59">
        <v>2350</v>
      </c>
      <c r="I2510" s="59">
        <f t="shared" si="78"/>
        <v>0</v>
      </c>
    </row>
    <row r="2511" spans="1:9" customFormat="1" x14ac:dyDescent="0.35">
      <c r="A2511" s="63">
        <f t="shared" si="79"/>
        <v>2510</v>
      </c>
      <c r="B2511" s="54" t="s">
        <v>5871</v>
      </c>
      <c r="C2511" s="55" t="s">
        <v>5872</v>
      </c>
      <c r="D2511" s="54" t="s">
        <v>5608</v>
      </c>
      <c r="E2511" s="56">
        <v>0</v>
      </c>
      <c r="F2511" s="57" t="s">
        <v>792</v>
      </c>
      <c r="G2511" s="58">
        <v>1500</v>
      </c>
      <c r="H2511" s="59">
        <v>3500</v>
      </c>
      <c r="I2511" s="59">
        <f t="shared" si="78"/>
        <v>0</v>
      </c>
    </row>
    <row r="2512" spans="1:9" customFormat="1" ht="23" x14ac:dyDescent="0.35">
      <c r="A2512" s="63">
        <f t="shared" si="79"/>
        <v>2511</v>
      </c>
      <c r="B2512" s="54" t="s">
        <v>5873</v>
      </c>
      <c r="C2512" s="55" t="s">
        <v>5874</v>
      </c>
      <c r="D2512" s="54" t="s">
        <v>5608</v>
      </c>
      <c r="E2512" s="56">
        <v>0</v>
      </c>
      <c r="F2512" s="57" t="s">
        <v>792</v>
      </c>
      <c r="G2512" s="58">
        <v>12500</v>
      </c>
      <c r="H2512" s="59">
        <v>25000</v>
      </c>
      <c r="I2512" s="59">
        <f t="shared" si="78"/>
        <v>0</v>
      </c>
    </row>
    <row r="2513" spans="1:9" customFormat="1" ht="23" x14ac:dyDescent="0.35">
      <c r="A2513" s="63">
        <f t="shared" si="79"/>
        <v>2512</v>
      </c>
      <c r="B2513" s="54" t="s">
        <v>5875</v>
      </c>
      <c r="C2513" s="55" t="s">
        <v>5876</v>
      </c>
      <c r="D2513" s="54" t="s">
        <v>5608</v>
      </c>
      <c r="E2513" s="56">
        <v>0</v>
      </c>
      <c r="F2513" s="57" t="s">
        <v>792</v>
      </c>
      <c r="G2513" s="58">
        <v>1400</v>
      </c>
      <c r="H2513" s="59">
        <v>3500</v>
      </c>
      <c r="I2513" s="59">
        <f t="shared" si="78"/>
        <v>0</v>
      </c>
    </row>
    <row r="2514" spans="1:9" customFormat="1" x14ac:dyDescent="0.35">
      <c r="A2514" s="63">
        <f t="shared" si="79"/>
        <v>2513</v>
      </c>
      <c r="B2514" s="54" t="s">
        <v>5877</v>
      </c>
      <c r="C2514" s="55" t="s">
        <v>5878</v>
      </c>
      <c r="D2514" s="54" t="s">
        <v>5608</v>
      </c>
      <c r="E2514" s="56">
        <v>0</v>
      </c>
      <c r="F2514" s="57" t="s">
        <v>792</v>
      </c>
      <c r="G2514" s="58">
        <v>1750</v>
      </c>
      <c r="H2514" s="59">
        <v>3500</v>
      </c>
      <c r="I2514" s="59">
        <f t="shared" si="78"/>
        <v>0</v>
      </c>
    </row>
    <row r="2515" spans="1:9" customFormat="1" x14ac:dyDescent="0.35">
      <c r="A2515" s="63">
        <f t="shared" si="79"/>
        <v>2514</v>
      </c>
      <c r="B2515" s="54" t="s">
        <v>5879</v>
      </c>
      <c r="C2515" s="55" t="s">
        <v>5880</v>
      </c>
      <c r="D2515" s="54" t="s">
        <v>5608</v>
      </c>
      <c r="E2515" s="56">
        <v>0</v>
      </c>
      <c r="F2515" s="57" t="s">
        <v>792</v>
      </c>
      <c r="G2515" s="58">
        <v>2100</v>
      </c>
      <c r="H2515" s="59">
        <v>2100</v>
      </c>
      <c r="I2515" s="59">
        <f t="shared" si="78"/>
        <v>0</v>
      </c>
    </row>
    <row r="2516" spans="1:9" customFormat="1" x14ac:dyDescent="0.35">
      <c r="A2516" s="63">
        <f t="shared" si="79"/>
        <v>2515</v>
      </c>
      <c r="B2516" s="54" t="s">
        <v>5881</v>
      </c>
      <c r="C2516" s="55" t="s">
        <v>5882</v>
      </c>
      <c r="D2516" s="54" t="s">
        <v>5608</v>
      </c>
      <c r="E2516" s="56">
        <v>0</v>
      </c>
      <c r="F2516" s="57" t="s">
        <v>792</v>
      </c>
      <c r="G2516" s="58">
        <v>10800</v>
      </c>
      <c r="H2516" s="59">
        <v>18000</v>
      </c>
      <c r="I2516" s="59">
        <f t="shared" si="78"/>
        <v>0</v>
      </c>
    </row>
    <row r="2517" spans="1:9" customFormat="1" x14ac:dyDescent="0.35">
      <c r="A2517" s="63">
        <f t="shared" si="79"/>
        <v>2516</v>
      </c>
      <c r="B2517" s="54" t="s">
        <v>5883</v>
      </c>
      <c r="C2517" s="55" t="s">
        <v>5884</v>
      </c>
      <c r="D2517" s="54" t="s">
        <v>5608</v>
      </c>
      <c r="E2517" s="56">
        <v>0</v>
      </c>
      <c r="F2517" s="57" t="s">
        <v>792</v>
      </c>
      <c r="G2517" s="58">
        <v>1750</v>
      </c>
      <c r="H2517" s="59">
        <v>1750</v>
      </c>
      <c r="I2517" s="59">
        <f t="shared" si="78"/>
        <v>0</v>
      </c>
    </row>
    <row r="2518" spans="1:9" customFormat="1" x14ac:dyDescent="0.35">
      <c r="A2518" s="63">
        <f t="shared" si="79"/>
        <v>2517</v>
      </c>
      <c r="B2518" s="54" t="s">
        <v>5885</v>
      </c>
      <c r="C2518" s="55" t="s">
        <v>5886</v>
      </c>
      <c r="D2518" s="54" t="s">
        <v>5608</v>
      </c>
      <c r="E2518" s="56">
        <v>0</v>
      </c>
      <c r="F2518" s="57" t="s">
        <v>792</v>
      </c>
      <c r="G2518" s="58">
        <v>875</v>
      </c>
      <c r="H2518" s="59">
        <v>875</v>
      </c>
      <c r="I2518" s="59">
        <f t="shared" si="78"/>
        <v>0</v>
      </c>
    </row>
    <row r="2519" spans="1:9" customFormat="1" x14ac:dyDescent="0.35">
      <c r="A2519" s="63">
        <f t="shared" si="79"/>
        <v>2518</v>
      </c>
      <c r="B2519" s="54" t="s">
        <v>5887</v>
      </c>
      <c r="C2519" s="55" t="s">
        <v>5888</v>
      </c>
      <c r="D2519" s="54" t="s">
        <v>5608</v>
      </c>
      <c r="E2519" s="56">
        <v>0</v>
      </c>
      <c r="F2519" s="57" t="s">
        <v>792</v>
      </c>
      <c r="G2519" s="58">
        <v>1750</v>
      </c>
      <c r="H2519" s="59">
        <v>3500</v>
      </c>
      <c r="I2519" s="59">
        <f t="shared" si="78"/>
        <v>0</v>
      </c>
    </row>
    <row r="2520" spans="1:9" customFormat="1" x14ac:dyDescent="0.35">
      <c r="A2520" s="63">
        <f t="shared" si="79"/>
        <v>2519</v>
      </c>
      <c r="B2520" s="54" t="s">
        <v>5889</v>
      </c>
      <c r="C2520" s="55" t="s">
        <v>5890</v>
      </c>
      <c r="D2520" s="54" t="s">
        <v>5608</v>
      </c>
      <c r="E2520" s="56">
        <v>0</v>
      </c>
      <c r="F2520" s="57" t="s">
        <v>792</v>
      </c>
      <c r="G2520" s="58">
        <v>10000</v>
      </c>
      <c r="H2520" s="59">
        <v>0</v>
      </c>
      <c r="I2520" s="59">
        <f t="shared" si="78"/>
        <v>0</v>
      </c>
    </row>
    <row r="2521" spans="1:9" customFormat="1" x14ac:dyDescent="0.35">
      <c r="A2521" s="63">
        <f t="shared" si="79"/>
        <v>2520</v>
      </c>
      <c r="B2521" s="54" t="s">
        <v>5891</v>
      </c>
      <c r="C2521" s="55" t="s">
        <v>5892</v>
      </c>
      <c r="D2521" s="54" t="s">
        <v>5608</v>
      </c>
      <c r="E2521" s="56">
        <v>0</v>
      </c>
      <c r="F2521" s="57" t="s">
        <v>792</v>
      </c>
      <c r="G2521" s="58">
        <v>90000</v>
      </c>
      <c r="H2521" s="59">
        <v>150000</v>
      </c>
      <c r="I2521" s="59">
        <f t="shared" si="78"/>
        <v>0</v>
      </c>
    </row>
    <row r="2522" spans="1:9" customFormat="1" x14ac:dyDescent="0.35">
      <c r="A2522" s="63">
        <f t="shared" si="79"/>
        <v>2521</v>
      </c>
      <c r="B2522" s="54" t="s">
        <v>5893</v>
      </c>
      <c r="C2522" s="55" t="s">
        <v>5894</v>
      </c>
      <c r="D2522" s="54" t="s">
        <v>5608</v>
      </c>
      <c r="E2522" s="56">
        <v>0</v>
      </c>
      <c r="F2522" s="57" t="s">
        <v>792</v>
      </c>
      <c r="G2522" s="58">
        <v>285000</v>
      </c>
      <c r="H2522" s="59">
        <v>475000</v>
      </c>
      <c r="I2522" s="59">
        <f t="shared" si="78"/>
        <v>0</v>
      </c>
    </row>
    <row r="2523" spans="1:9" customFormat="1" ht="23" x14ac:dyDescent="0.35">
      <c r="A2523" s="63">
        <f t="shared" si="79"/>
        <v>2522</v>
      </c>
      <c r="B2523" s="54" t="s">
        <v>5895</v>
      </c>
      <c r="C2523" s="55" t="s">
        <v>5896</v>
      </c>
      <c r="D2523" s="54" t="s">
        <v>5608</v>
      </c>
      <c r="E2523" s="56">
        <v>0</v>
      </c>
      <c r="F2523" s="57" t="s">
        <v>792</v>
      </c>
      <c r="G2523" s="58">
        <v>225000</v>
      </c>
      <c r="H2523" s="59">
        <v>400000</v>
      </c>
      <c r="I2523" s="59">
        <f t="shared" si="78"/>
        <v>0</v>
      </c>
    </row>
    <row r="2524" spans="1:9" customFormat="1" x14ac:dyDescent="0.35">
      <c r="A2524" s="63">
        <f t="shared" si="79"/>
        <v>2523</v>
      </c>
      <c r="B2524" s="54" t="s">
        <v>5897</v>
      </c>
      <c r="C2524" s="55" t="s">
        <v>5898</v>
      </c>
      <c r="D2524" s="54" t="s">
        <v>5608</v>
      </c>
      <c r="E2524" s="56">
        <v>0</v>
      </c>
      <c r="F2524" s="57" t="s">
        <v>792</v>
      </c>
      <c r="G2524" s="58">
        <v>0</v>
      </c>
      <c r="H2524" s="59">
        <v>475000</v>
      </c>
      <c r="I2524" s="59">
        <f t="shared" si="78"/>
        <v>0</v>
      </c>
    </row>
    <row r="2525" spans="1:9" customFormat="1" x14ac:dyDescent="0.35">
      <c r="A2525" s="63">
        <f t="shared" si="79"/>
        <v>2524</v>
      </c>
      <c r="B2525" s="54" t="s">
        <v>5899</v>
      </c>
      <c r="C2525" s="55" t="s">
        <v>5900</v>
      </c>
      <c r="D2525" s="54" t="s">
        <v>5608</v>
      </c>
      <c r="E2525" s="56">
        <v>0</v>
      </c>
      <c r="F2525" s="57" t="s">
        <v>792</v>
      </c>
      <c r="G2525" s="58">
        <v>285000</v>
      </c>
      <c r="H2525" s="59">
        <v>475000</v>
      </c>
      <c r="I2525" s="59">
        <f t="shared" si="78"/>
        <v>0</v>
      </c>
    </row>
    <row r="2526" spans="1:9" customFormat="1" x14ac:dyDescent="0.35">
      <c r="A2526" s="63">
        <f t="shared" si="79"/>
        <v>2525</v>
      </c>
      <c r="B2526" s="54" t="s">
        <v>5901</v>
      </c>
      <c r="C2526" s="55" t="s">
        <v>5902</v>
      </c>
      <c r="D2526" s="54" t="s">
        <v>5608</v>
      </c>
      <c r="E2526" s="56">
        <v>0</v>
      </c>
      <c r="F2526" s="57" t="s">
        <v>792</v>
      </c>
      <c r="G2526" s="58">
        <v>285000</v>
      </c>
      <c r="H2526" s="59">
        <v>475000</v>
      </c>
      <c r="I2526" s="59">
        <f t="shared" si="78"/>
        <v>0</v>
      </c>
    </row>
    <row r="2527" spans="1:9" customFormat="1" x14ac:dyDescent="0.35">
      <c r="A2527" s="63">
        <f t="shared" si="79"/>
        <v>2526</v>
      </c>
      <c r="B2527" s="54" t="s">
        <v>5903</v>
      </c>
      <c r="C2527" s="55" t="s">
        <v>5904</v>
      </c>
      <c r="D2527" s="54" t="s">
        <v>5608</v>
      </c>
      <c r="E2527" s="56">
        <v>0</v>
      </c>
      <c r="F2527" s="57" t="s">
        <v>792</v>
      </c>
      <c r="G2527" s="58">
        <v>540000</v>
      </c>
      <c r="H2527" s="59">
        <v>9000</v>
      </c>
      <c r="I2527" s="59">
        <f t="shared" si="78"/>
        <v>0</v>
      </c>
    </row>
    <row r="2528" spans="1:9" customFormat="1" ht="23" x14ac:dyDescent="0.35">
      <c r="A2528" s="63">
        <f t="shared" si="79"/>
        <v>2527</v>
      </c>
      <c r="B2528" s="54" t="s">
        <v>5905</v>
      </c>
      <c r="C2528" s="55" t="s">
        <v>5906</v>
      </c>
      <c r="D2528" s="54" t="s">
        <v>5608</v>
      </c>
      <c r="E2528" s="56">
        <v>0</v>
      </c>
      <c r="F2528" s="57" t="s">
        <v>792</v>
      </c>
      <c r="G2528" s="58">
        <v>7500</v>
      </c>
      <c r="H2528" s="59">
        <v>15000</v>
      </c>
      <c r="I2528" s="59">
        <f t="shared" si="78"/>
        <v>0</v>
      </c>
    </row>
    <row r="2529" spans="1:9" customFormat="1" x14ac:dyDescent="0.35">
      <c r="A2529" s="63">
        <f t="shared" si="79"/>
        <v>2528</v>
      </c>
      <c r="B2529" s="54" t="s">
        <v>5907</v>
      </c>
      <c r="C2529" s="55" t="s">
        <v>5908</v>
      </c>
      <c r="D2529" s="54" t="s">
        <v>5608</v>
      </c>
      <c r="E2529" s="56">
        <v>0</v>
      </c>
      <c r="F2529" s="57" t="s">
        <v>792</v>
      </c>
      <c r="G2529" s="58">
        <v>225600</v>
      </c>
      <c r="H2529" s="59">
        <v>376000</v>
      </c>
      <c r="I2529" s="59">
        <f t="shared" si="78"/>
        <v>0</v>
      </c>
    </row>
    <row r="2530" spans="1:9" customFormat="1" ht="46" x14ac:dyDescent="0.35">
      <c r="A2530" s="63">
        <f t="shared" si="79"/>
        <v>2529</v>
      </c>
      <c r="B2530" s="54" t="s">
        <v>5909</v>
      </c>
      <c r="C2530" s="55" t="s">
        <v>5910</v>
      </c>
      <c r="D2530" s="54" t="s">
        <v>5608</v>
      </c>
      <c r="E2530" s="56">
        <v>0</v>
      </c>
      <c r="F2530" s="57" t="s">
        <v>792</v>
      </c>
      <c r="G2530" s="58">
        <v>225000</v>
      </c>
      <c r="H2530" s="59">
        <v>450000</v>
      </c>
      <c r="I2530" s="59">
        <f t="shared" si="78"/>
        <v>0</v>
      </c>
    </row>
    <row r="2531" spans="1:9" customFormat="1" ht="23" x14ac:dyDescent="0.35">
      <c r="A2531" s="63">
        <f t="shared" si="79"/>
        <v>2530</v>
      </c>
      <c r="B2531" s="54" t="s">
        <v>5911</v>
      </c>
      <c r="C2531" s="55" t="s">
        <v>5912</v>
      </c>
      <c r="D2531" s="54" t="s">
        <v>5608</v>
      </c>
      <c r="E2531" s="56">
        <v>0</v>
      </c>
      <c r="F2531" s="57" t="s">
        <v>792</v>
      </c>
      <c r="G2531" s="58">
        <v>200000</v>
      </c>
      <c r="H2531" s="59">
        <v>400000</v>
      </c>
      <c r="I2531" s="59">
        <f t="shared" si="78"/>
        <v>0</v>
      </c>
    </row>
    <row r="2532" spans="1:9" customFormat="1" x14ac:dyDescent="0.35">
      <c r="A2532" s="63">
        <f t="shared" si="79"/>
        <v>2531</v>
      </c>
      <c r="B2532" s="54" t="s">
        <v>5913</v>
      </c>
      <c r="C2532" s="55" t="s">
        <v>5914</v>
      </c>
      <c r="D2532" s="54" t="s">
        <v>5608</v>
      </c>
      <c r="E2532" s="56">
        <v>0</v>
      </c>
      <c r="F2532" s="57" t="s">
        <v>792</v>
      </c>
      <c r="G2532" s="58">
        <v>315000</v>
      </c>
      <c r="H2532" s="59">
        <v>525000</v>
      </c>
      <c r="I2532" s="59">
        <f t="shared" si="78"/>
        <v>0</v>
      </c>
    </row>
    <row r="2533" spans="1:9" customFormat="1" ht="23" x14ac:dyDescent="0.35">
      <c r="A2533" s="63">
        <f t="shared" si="79"/>
        <v>2532</v>
      </c>
      <c r="B2533" s="54" t="s">
        <v>5915</v>
      </c>
      <c r="C2533" s="55" t="s">
        <v>5916</v>
      </c>
      <c r="D2533" s="54" t="s">
        <v>5608</v>
      </c>
      <c r="E2533" s="56">
        <v>0</v>
      </c>
      <c r="F2533" s="57" t="s">
        <v>792</v>
      </c>
      <c r="G2533" s="58">
        <v>285000</v>
      </c>
      <c r="H2533" s="59">
        <v>475000</v>
      </c>
      <c r="I2533" s="59">
        <f t="shared" si="78"/>
        <v>0</v>
      </c>
    </row>
    <row r="2534" spans="1:9" customFormat="1" x14ac:dyDescent="0.35">
      <c r="A2534" s="63">
        <f t="shared" si="79"/>
        <v>2533</v>
      </c>
      <c r="B2534" s="54" t="s">
        <v>5917</v>
      </c>
      <c r="C2534" s="55" t="s">
        <v>5918</v>
      </c>
      <c r="D2534" s="54" t="s">
        <v>5608</v>
      </c>
      <c r="E2534" s="56">
        <v>0</v>
      </c>
      <c r="F2534" s="57" t="s">
        <v>792</v>
      </c>
      <c r="G2534" s="58">
        <v>0</v>
      </c>
      <c r="H2534" s="59">
        <v>31250</v>
      </c>
      <c r="I2534" s="59">
        <f t="shared" si="78"/>
        <v>0</v>
      </c>
    </row>
    <row r="2535" spans="1:9" customFormat="1" ht="23" x14ac:dyDescent="0.35">
      <c r="A2535" s="63">
        <f t="shared" si="79"/>
        <v>2534</v>
      </c>
      <c r="B2535" s="54" t="s">
        <v>5919</v>
      </c>
      <c r="C2535" s="55" t="s">
        <v>5920</v>
      </c>
      <c r="D2535" s="54" t="s">
        <v>5608</v>
      </c>
      <c r="E2535" s="56">
        <v>0</v>
      </c>
      <c r="F2535" s="57" t="s">
        <v>792</v>
      </c>
      <c r="G2535" s="58">
        <v>350000</v>
      </c>
      <c r="H2535" s="59">
        <v>595000</v>
      </c>
      <c r="I2535" s="59">
        <f t="shared" si="78"/>
        <v>0</v>
      </c>
    </row>
    <row r="2536" spans="1:9" customFormat="1" ht="23" x14ac:dyDescent="0.35">
      <c r="A2536" s="63">
        <f t="shared" si="79"/>
        <v>2535</v>
      </c>
      <c r="B2536" s="54" t="s">
        <v>5921</v>
      </c>
      <c r="C2536" s="55" t="s">
        <v>5922</v>
      </c>
      <c r="D2536" s="54" t="s">
        <v>5608</v>
      </c>
      <c r="E2536" s="56">
        <v>0</v>
      </c>
      <c r="F2536" s="57" t="s">
        <v>792</v>
      </c>
      <c r="G2536" s="58">
        <v>14500</v>
      </c>
      <c r="H2536" s="59">
        <v>25000</v>
      </c>
      <c r="I2536" s="59">
        <f t="shared" si="78"/>
        <v>0</v>
      </c>
    </row>
    <row r="2537" spans="1:9" customFormat="1" x14ac:dyDescent="0.35">
      <c r="A2537" s="63">
        <f t="shared" si="79"/>
        <v>2536</v>
      </c>
      <c r="B2537" s="54" t="s">
        <v>5923</v>
      </c>
      <c r="C2537" s="55" t="s">
        <v>5924</v>
      </c>
      <c r="D2537" s="54" t="s">
        <v>5608</v>
      </c>
      <c r="E2537" s="56">
        <v>0</v>
      </c>
      <c r="F2537" s="57" t="s">
        <v>792</v>
      </c>
      <c r="G2537" s="58">
        <v>4500</v>
      </c>
      <c r="H2537" s="59">
        <v>8500</v>
      </c>
      <c r="I2537" s="59">
        <f t="shared" si="78"/>
        <v>0</v>
      </c>
    </row>
    <row r="2538" spans="1:9" customFormat="1" x14ac:dyDescent="0.35">
      <c r="A2538" s="63">
        <f t="shared" si="79"/>
        <v>2537</v>
      </c>
      <c r="B2538" s="54" t="s">
        <v>5925</v>
      </c>
      <c r="C2538" s="55" t="s">
        <v>5926</v>
      </c>
      <c r="D2538" s="54" t="s">
        <v>5608</v>
      </c>
      <c r="E2538" s="56">
        <v>0</v>
      </c>
      <c r="F2538" s="57" t="s">
        <v>792</v>
      </c>
      <c r="G2538" s="58">
        <v>172000</v>
      </c>
      <c r="H2538" s="59">
        <v>250000</v>
      </c>
      <c r="I2538" s="59">
        <f t="shared" si="78"/>
        <v>0</v>
      </c>
    </row>
    <row r="2539" spans="1:9" customFormat="1" x14ac:dyDescent="0.35">
      <c r="A2539" s="63">
        <f t="shared" si="79"/>
        <v>2538</v>
      </c>
      <c r="B2539" s="54" t="s">
        <v>5927</v>
      </c>
      <c r="C2539" s="55" t="s">
        <v>5928</v>
      </c>
      <c r="D2539" s="54" t="s">
        <v>5608</v>
      </c>
      <c r="E2539" s="92">
        <v>100</v>
      </c>
      <c r="F2539" s="57" t="s">
        <v>792</v>
      </c>
      <c r="G2539" s="58">
        <v>22352</v>
      </c>
      <c r="H2539" s="59">
        <v>22352</v>
      </c>
      <c r="I2539" s="59">
        <f t="shared" si="78"/>
        <v>2235200</v>
      </c>
    </row>
    <row r="2540" spans="1:9" customFormat="1" x14ac:dyDescent="0.35">
      <c r="A2540" s="63">
        <f t="shared" si="79"/>
        <v>2539</v>
      </c>
      <c r="B2540" s="54" t="s">
        <v>5929</v>
      </c>
      <c r="C2540" s="55" t="s">
        <v>5930</v>
      </c>
      <c r="D2540" s="54" t="s">
        <v>5608</v>
      </c>
      <c r="E2540" s="92">
        <v>95</v>
      </c>
      <c r="F2540" s="57" t="s">
        <v>792</v>
      </c>
      <c r="G2540" s="58">
        <v>22352</v>
      </c>
      <c r="H2540" s="59">
        <v>22352</v>
      </c>
      <c r="I2540" s="59">
        <f t="shared" si="78"/>
        <v>2123440</v>
      </c>
    </row>
    <row r="2541" spans="1:9" customFormat="1" x14ac:dyDescent="0.35">
      <c r="A2541" s="63">
        <f t="shared" si="79"/>
        <v>2540</v>
      </c>
      <c r="B2541" s="54" t="s">
        <v>5931</v>
      </c>
      <c r="C2541" s="55" t="s">
        <v>5932</v>
      </c>
      <c r="D2541" s="54" t="s">
        <v>5933</v>
      </c>
      <c r="E2541" s="56">
        <v>0</v>
      </c>
      <c r="F2541" s="57" t="s">
        <v>792</v>
      </c>
      <c r="G2541" s="58">
        <v>433600</v>
      </c>
      <c r="H2541" s="59">
        <v>593513</v>
      </c>
      <c r="I2541" s="59">
        <f t="shared" si="78"/>
        <v>0</v>
      </c>
    </row>
    <row r="2542" spans="1:9" customFormat="1" x14ac:dyDescent="0.35">
      <c r="A2542" s="63">
        <f t="shared" si="79"/>
        <v>2541</v>
      </c>
      <c r="B2542" s="54" t="s">
        <v>5934</v>
      </c>
      <c r="C2542" s="55" t="s">
        <v>5935</v>
      </c>
      <c r="D2542" s="54" t="s">
        <v>5933</v>
      </c>
      <c r="E2542" s="56">
        <v>0</v>
      </c>
      <c r="F2542" s="57" t="s">
        <v>792</v>
      </c>
      <c r="G2542" s="58">
        <v>100000</v>
      </c>
      <c r="H2542" s="59">
        <v>150000</v>
      </c>
      <c r="I2542" s="59">
        <f t="shared" si="78"/>
        <v>0</v>
      </c>
    </row>
    <row r="2543" spans="1:9" customFormat="1" x14ac:dyDescent="0.35">
      <c r="A2543" s="63">
        <f t="shared" si="79"/>
        <v>2542</v>
      </c>
      <c r="B2543" s="54" t="s">
        <v>5936</v>
      </c>
      <c r="C2543" s="55" t="s">
        <v>5937</v>
      </c>
      <c r="D2543" s="54" t="s">
        <v>5933</v>
      </c>
      <c r="E2543" s="56">
        <v>0</v>
      </c>
      <c r="F2543" s="57" t="s">
        <v>844</v>
      </c>
      <c r="G2543" s="58">
        <v>1500000</v>
      </c>
      <c r="H2543" s="59">
        <v>2160900</v>
      </c>
      <c r="I2543" s="59">
        <f t="shared" si="78"/>
        <v>0</v>
      </c>
    </row>
    <row r="2544" spans="1:9" customFormat="1" x14ac:dyDescent="0.35">
      <c r="A2544" s="63">
        <f t="shared" si="79"/>
        <v>2543</v>
      </c>
      <c r="B2544" s="54" t="s">
        <v>5938</v>
      </c>
      <c r="C2544" s="55" t="s">
        <v>5939</v>
      </c>
      <c r="D2544" s="54" t="s">
        <v>5933</v>
      </c>
      <c r="E2544" s="56">
        <v>0</v>
      </c>
      <c r="F2544" s="57" t="s">
        <v>844</v>
      </c>
      <c r="G2544" s="58">
        <v>3450450</v>
      </c>
      <c r="H2544" s="59">
        <v>6500000</v>
      </c>
      <c r="I2544" s="59">
        <f t="shared" si="78"/>
        <v>0</v>
      </c>
    </row>
    <row r="2545" spans="1:9" customFormat="1" ht="23" x14ac:dyDescent="0.35">
      <c r="A2545" s="63">
        <f t="shared" si="79"/>
        <v>2544</v>
      </c>
      <c r="B2545" s="54" t="s">
        <v>5940</v>
      </c>
      <c r="C2545" s="55" t="s">
        <v>5941</v>
      </c>
      <c r="D2545" s="54" t="s">
        <v>5933</v>
      </c>
      <c r="E2545" s="56">
        <v>0</v>
      </c>
      <c r="F2545" s="57" t="s">
        <v>792</v>
      </c>
      <c r="G2545" s="58">
        <v>151000</v>
      </c>
      <c r="H2545" s="59">
        <v>288120</v>
      </c>
      <c r="I2545" s="59">
        <f t="shared" si="78"/>
        <v>0</v>
      </c>
    </row>
    <row r="2546" spans="1:9" customFormat="1" x14ac:dyDescent="0.35">
      <c r="A2546" s="63">
        <f t="shared" si="79"/>
        <v>2545</v>
      </c>
      <c r="B2546" s="54" t="s">
        <v>5942</v>
      </c>
      <c r="C2546" s="55" t="s">
        <v>5943</v>
      </c>
      <c r="D2546" s="54" t="s">
        <v>5933</v>
      </c>
      <c r="E2546" s="56">
        <v>0</v>
      </c>
      <c r="F2546" s="57" t="s">
        <v>792</v>
      </c>
      <c r="G2546" s="58">
        <v>4125</v>
      </c>
      <c r="H2546" s="59">
        <v>4125</v>
      </c>
      <c r="I2546" s="59">
        <f t="shared" si="78"/>
        <v>0</v>
      </c>
    </row>
    <row r="2547" spans="1:9" customFormat="1" x14ac:dyDescent="0.35">
      <c r="A2547" s="63">
        <f t="shared" si="79"/>
        <v>2546</v>
      </c>
      <c r="B2547" s="54" t="s">
        <v>5944</v>
      </c>
      <c r="C2547" s="55" t="s">
        <v>5945</v>
      </c>
      <c r="D2547" s="54" t="s">
        <v>5933</v>
      </c>
      <c r="E2547" s="56">
        <v>0</v>
      </c>
      <c r="F2547" s="57" t="s">
        <v>974</v>
      </c>
      <c r="G2547" s="58">
        <v>105000</v>
      </c>
      <c r="H2547" s="59">
        <v>105000</v>
      </c>
      <c r="I2547" s="59">
        <f t="shared" si="78"/>
        <v>0</v>
      </c>
    </row>
    <row r="2548" spans="1:9" customFormat="1" x14ac:dyDescent="0.35">
      <c r="A2548" s="63">
        <f t="shared" si="79"/>
        <v>2547</v>
      </c>
      <c r="B2548" s="54" t="s">
        <v>5946</v>
      </c>
      <c r="C2548" s="55" t="s">
        <v>5947</v>
      </c>
      <c r="D2548" s="54" t="s">
        <v>5933</v>
      </c>
      <c r="E2548" s="56">
        <v>0</v>
      </c>
      <c r="F2548" s="57" t="s">
        <v>792</v>
      </c>
      <c r="G2548" s="58">
        <v>0</v>
      </c>
      <c r="H2548" s="59">
        <v>0</v>
      </c>
      <c r="I2548" s="59">
        <f t="shared" si="78"/>
        <v>0</v>
      </c>
    </row>
    <row r="2549" spans="1:9" customFormat="1" x14ac:dyDescent="0.35">
      <c r="A2549" s="63">
        <f t="shared" si="79"/>
        <v>2548</v>
      </c>
      <c r="B2549" s="54" t="s">
        <v>5948</v>
      </c>
      <c r="C2549" s="55" t="s">
        <v>5949</v>
      </c>
      <c r="D2549" s="54" t="s">
        <v>5933</v>
      </c>
      <c r="E2549" s="56">
        <v>0</v>
      </c>
      <c r="F2549" s="57" t="s">
        <v>792</v>
      </c>
      <c r="G2549" s="58">
        <v>8966600</v>
      </c>
      <c r="H2549" s="59">
        <v>12917284</v>
      </c>
      <c r="I2549" s="59">
        <f t="shared" si="78"/>
        <v>0</v>
      </c>
    </row>
    <row r="2550" spans="1:9" customFormat="1" x14ac:dyDescent="0.35">
      <c r="A2550" s="63">
        <f t="shared" si="79"/>
        <v>2549</v>
      </c>
      <c r="B2550" s="54" t="s">
        <v>5950</v>
      </c>
      <c r="C2550" s="55" t="s">
        <v>5951</v>
      </c>
      <c r="D2550" s="54" t="s">
        <v>5933</v>
      </c>
      <c r="E2550" s="56">
        <v>0</v>
      </c>
      <c r="F2550" s="57" t="s">
        <v>792</v>
      </c>
      <c r="G2550" s="58">
        <v>21285</v>
      </c>
      <c r="H2550" s="59">
        <v>16000</v>
      </c>
      <c r="I2550" s="59">
        <f t="shared" si="78"/>
        <v>0</v>
      </c>
    </row>
    <row r="2551" spans="1:9" customFormat="1" x14ac:dyDescent="0.35">
      <c r="A2551" s="63">
        <f t="shared" si="79"/>
        <v>2550</v>
      </c>
      <c r="B2551" s="54" t="s">
        <v>5952</v>
      </c>
      <c r="C2551" s="55" t="s">
        <v>5953</v>
      </c>
      <c r="D2551" s="54" t="s">
        <v>5933</v>
      </c>
      <c r="E2551" s="56">
        <v>0</v>
      </c>
      <c r="F2551" s="57" t="s">
        <v>792</v>
      </c>
      <c r="G2551" s="58">
        <v>14500</v>
      </c>
      <c r="H2551" s="59">
        <v>42630</v>
      </c>
      <c r="I2551" s="59">
        <f t="shared" si="78"/>
        <v>0</v>
      </c>
    </row>
    <row r="2552" spans="1:9" customFormat="1" x14ac:dyDescent="0.35">
      <c r="A2552" s="63">
        <f t="shared" si="79"/>
        <v>2551</v>
      </c>
      <c r="B2552" s="54" t="s">
        <v>5954</v>
      </c>
      <c r="C2552" s="55" t="s">
        <v>5955</v>
      </c>
      <c r="D2552" s="54" t="s">
        <v>5933</v>
      </c>
      <c r="E2552" s="56">
        <v>0</v>
      </c>
      <c r="F2552" s="57" t="s">
        <v>792</v>
      </c>
      <c r="G2552" s="58">
        <v>0</v>
      </c>
      <c r="H2552" s="59">
        <v>1895830</v>
      </c>
      <c r="I2552" s="59">
        <f t="shared" si="78"/>
        <v>0</v>
      </c>
    </row>
    <row r="2553" spans="1:9" customFormat="1" x14ac:dyDescent="0.35">
      <c r="A2553" s="63">
        <f t="shared" si="79"/>
        <v>2552</v>
      </c>
      <c r="B2553" s="54" t="s">
        <v>5956</v>
      </c>
      <c r="C2553" s="55" t="s">
        <v>5957</v>
      </c>
      <c r="D2553" s="54" t="s">
        <v>5933</v>
      </c>
      <c r="E2553" s="56">
        <v>0</v>
      </c>
      <c r="F2553" s="57" t="s">
        <v>792</v>
      </c>
      <c r="G2553" s="58">
        <v>0</v>
      </c>
      <c r="H2553" s="59">
        <v>5421509</v>
      </c>
      <c r="I2553" s="59">
        <f t="shared" si="78"/>
        <v>0</v>
      </c>
    </row>
    <row r="2554" spans="1:9" customFormat="1" x14ac:dyDescent="0.35">
      <c r="A2554" s="63">
        <f t="shared" si="79"/>
        <v>2553</v>
      </c>
      <c r="B2554" s="54" t="s">
        <v>5958</v>
      </c>
      <c r="C2554" s="55" t="s">
        <v>5959</v>
      </c>
      <c r="D2554" s="54" t="s">
        <v>5933</v>
      </c>
      <c r="E2554" s="56">
        <v>0</v>
      </c>
      <c r="F2554" s="57" t="s">
        <v>792</v>
      </c>
      <c r="G2554" s="58">
        <v>1300000</v>
      </c>
      <c r="H2554" s="59">
        <v>1853670</v>
      </c>
      <c r="I2554" s="59">
        <f t="shared" si="78"/>
        <v>0</v>
      </c>
    </row>
    <row r="2555" spans="1:9" customFormat="1" x14ac:dyDescent="0.35">
      <c r="A2555" s="63">
        <f t="shared" si="79"/>
        <v>2554</v>
      </c>
      <c r="B2555" s="54" t="s">
        <v>5960</v>
      </c>
      <c r="C2555" s="55" t="s">
        <v>5961</v>
      </c>
      <c r="D2555" s="54" t="s">
        <v>5933</v>
      </c>
      <c r="E2555" s="56">
        <v>0</v>
      </c>
      <c r="F2555" s="57" t="s">
        <v>844</v>
      </c>
      <c r="G2555" s="58">
        <v>8000000</v>
      </c>
      <c r="H2555" s="59">
        <v>10584000</v>
      </c>
      <c r="I2555" s="59">
        <f t="shared" si="78"/>
        <v>0</v>
      </c>
    </row>
    <row r="2556" spans="1:9" customFormat="1" x14ac:dyDescent="0.35">
      <c r="A2556" s="63">
        <f t="shared" si="79"/>
        <v>2555</v>
      </c>
      <c r="B2556" s="54" t="s">
        <v>5962</v>
      </c>
      <c r="C2556" s="55" t="s">
        <v>5963</v>
      </c>
      <c r="D2556" s="54" t="s">
        <v>5933</v>
      </c>
      <c r="E2556" s="56">
        <v>0</v>
      </c>
      <c r="F2556" s="57" t="s">
        <v>792</v>
      </c>
      <c r="G2556" s="58">
        <v>485228</v>
      </c>
      <c r="H2556" s="59">
        <v>698691</v>
      </c>
      <c r="I2556" s="59">
        <f t="shared" si="78"/>
        <v>0</v>
      </c>
    </row>
    <row r="2557" spans="1:9" customFormat="1" x14ac:dyDescent="0.35">
      <c r="A2557" s="63">
        <f t="shared" si="79"/>
        <v>2556</v>
      </c>
      <c r="B2557" s="54" t="s">
        <v>5964</v>
      </c>
      <c r="C2557" s="55" t="s">
        <v>5965</v>
      </c>
      <c r="D2557" s="54" t="s">
        <v>5933</v>
      </c>
      <c r="E2557" s="56">
        <v>0</v>
      </c>
      <c r="F2557" s="57" t="s">
        <v>792</v>
      </c>
      <c r="G2557" s="58">
        <v>2765000</v>
      </c>
      <c r="H2557" s="59">
        <v>2765000</v>
      </c>
      <c r="I2557" s="59">
        <f t="shared" si="78"/>
        <v>0</v>
      </c>
    </row>
    <row r="2558" spans="1:9" customFormat="1" x14ac:dyDescent="0.35">
      <c r="A2558" s="63">
        <f t="shared" si="79"/>
        <v>2557</v>
      </c>
      <c r="B2558" s="54" t="s">
        <v>5966</v>
      </c>
      <c r="C2558" s="55" t="s">
        <v>5967</v>
      </c>
      <c r="D2558" s="54" t="s">
        <v>5933</v>
      </c>
      <c r="E2558" s="56">
        <v>0</v>
      </c>
      <c r="F2558" s="57" t="s">
        <v>792</v>
      </c>
      <c r="G2558" s="58">
        <v>7900000</v>
      </c>
      <c r="H2558" s="59">
        <v>7900000</v>
      </c>
      <c r="I2558" s="59">
        <f t="shared" si="78"/>
        <v>0</v>
      </c>
    </row>
    <row r="2559" spans="1:9" customFormat="1" x14ac:dyDescent="0.35">
      <c r="A2559" s="63">
        <f t="shared" si="79"/>
        <v>2558</v>
      </c>
      <c r="B2559" s="54" t="s">
        <v>5968</v>
      </c>
      <c r="C2559" s="55" t="s">
        <v>5969</v>
      </c>
      <c r="D2559" s="54" t="s">
        <v>5933</v>
      </c>
      <c r="E2559" s="56">
        <v>0</v>
      </c>
      <c r="F2559" s="57" t="s">
        <v>792</v>
      </c>
      <c r="G2559" s="58">
        <v>167625</v>
      </c>
      <c r="H2559" s="59">
        <v>0</v>
      </c>
      <c r="I2559" s="59">
        <f t="shared" si="78"/>
        <v>0</v>
      </c>
    </row>
    <row r="2560" spans="1:9" customFormat="1" x14ac:dyDescent="0.35">
      <c r="A2560" s="63">
        <f t="shared" si="79"/>
        <v>2559</v>
      </c>
      <c r="B2560" s="54" t="s">
        <v>5970</v>
      </c>
      <c r="C2560" s="55" t="s">
        <v>5971</v>
      </c>
      <c r="D2560" s="54" t="s">
        <v>5933</v>
      </c>
      <c r="E2560" s="56">
        <v>0</v>
      </c>
      <c r="F2560" s="57" t="s">
        <v>792</v>
      </c>
      <c r="G2560" s="58">
        <v>278000</v>
      </c>
      <c r="H2560" s="59">
        <v>2780000</v>
      </c>
      <c r="I2560" s="59">
        <f t="shared" si="78"/>
        <v>0</v>
      </c>
    </row>
    <row r="2561" spans="1:9" customFormat="1" x14ac:dyDescent="0.35">
      <c r="A2561" s="63">
        <f t="shared" si="79"/>
        <v>2560</v>
      </c>
      <c r="B2561" s="54" t="s">
        <v>5972</v>
      </c>
      <c r="C2561" s="55" t="s">
        <v>5973</v>
      </c>
      <c r="D2561" s="54" t="s">
        <v>5933</v>
      </c>
      <c r="E2561" s="56">
        <v>0</v>
      </c>
      <c r="F2561" s="57" t="s">
        <v>792</v>
      </c>
      <c r="G2561" s="58">
        <v>3500000</v>
      </c>
      <c r="H2561" s="59">
        <v>4500000</v>
      </c>
      <c r="I2561" s="59">
        <f t="shared" si="78"/>
        <v>0</v>
      </c>
    </row>
    <row r="2562" spans="1:9" customFormat="1" ht="23" x14ac:dyDescent="0.35">
      <c r="A2562" s="63">
        <f t="shared" si="79"/>
        <v>2561</v>
      </c>
      <c r="B2562" s="54" t="s">
        <v>5974</v>
      </c>
      <c r="C2562" s="55" t="s">
        <v>5975</v>
      </c>
      <c r="D2562" s="54" t="s">
        <v>5933</v>
      </c>
      <c r="E2562" s="56">
        <v>0</v>
      </c>
      <c r="F2562" s="57" t="s">
        <v>878</v>
      </c>
      <c r="G2562" s="58">
        <v>341500</v>
      </c>
      <c r="H2562" s="59">
        <v>441000</v>
      </c>
      <c r="I2562" s="59">
        <f t="shared" si="78"/>
        <v>0</v>
      </c>
    </row>
    <row r="2563" spans="1:9" customFormat="1" x14ac:dyDescent="0.35">
      <c r="A2563" s="63">
        <f t="shared" si="79"/>
        <v>2562</v>
      </c>
      <c r="B2563" s="54" t="s">
        <v>5976</v>
      </c>
      <c r="C2563" s="55" t="s">
        <v>5977</v>
      </c>
      <c r="D2563" s="54" t="s">
        <v>5933</v>
      </c>
      <c r="E2563" s="56">
        <v>0</v>
      </c>
      <c r="F2563" s="57" t="s">
        <v>792</v>
      </c>
      <c r="G2563" s="58">
        <v>1300000</v>
      </c>
      <c r="H2563" s="59">
        <v>1690000</v>
      </c>
      <c r="I2563" s="59">
        <f t="shared" ref="I2563:I2626" si="80">H2563*E2563</f>
        <v>0</v>
      </c>
    </row>
    <row r="2564" spans="1:9" customFormat="1" ht="23" x14ac:dyDescent="0.35">
      <c r="A2564" s="63">
        <f t="shared" ref="A2564:A2627" si="81">A2563+1</f>
        <v>2563</v>
      </c>
      <c r="B2564" s="54" t="s">
        <v>5978</v>
      </c>
      <c r="C2564" s="55" t="s">
        <v>5979</v>
      </c>
      <c r="D2564" s="54" t="s">
        <v>5933</v>
      </c>
      <c r="E2564" s="56">
        <v>0</v>
      </c>
      <c r="F2564" s="57" t="s">
        <v>792</v>
      </c>
      <c r="G2564" s="58">
        <v>400000</v>
      </c>
      <c r="H2564" s="59">
        <v>600000</v>
      </c>
      <c r="I2564" s="59">
        <f t="shared" si="80"/>
        <v>0</v>
      </c>
    </row>
    <row r="2565" spans="1:9" customFormat="1" x14ac:dyDescent="0.35">
      <c r="A2565" s="63">
        <f t="shared" si="81"/>
        <v>2564</v>
      </c>
      <c r="B2565" s="54" t="s">
        <v>5980</v>
      </c>
      <c r="C2565" s="55" t="s">
        <v>5981</v>
      </c>
      <c r="D2565" s="54" t="s">
        <v>5933</v>
      </c>
      <c r="E2565" s="56">
        <v>0</v>
      </c>
      <c r="F2565" s="57" t="s">
        <v>792</v>
      </c>
      <c r="G2565" s="58">
        <v>96600</v>
      </c>
      <c r="H2565" s="59">
        <v>141899</v>
      </c>
      <c r="I2565" s="59">
        <f t="shared" si="80"/>
        <v>0</v>
      </c>
    </row>
    <row r="2566" spans="1:9" customFormat="1" x14ac:dyDescent="0.35">
      <c r="A2566" s="63">
        <f t="shared" si="81"/>
        <v>2565</v>
      </c>
      <c r="B2566" s="54" t="s">
        <v>5982</v>
      </c>
      <c r="C2566" s="55" t="s">
        <v>5983</v>
      </c>
      <c r="D2566" s="54" t="s">
        <v>5933</v>
      </c>
      <c r="E2566" s="56">
        <v>0</v>
      </c>
      <c r="F2566" s="57" t="s">
        <v>792</v>
      </c>
      <c r="G2566" s="58">
        <v>180833.34</v>
      </c>
      <c r="H2566" s="59">
        <v>258352</v>
      </c>
      <c r="I2566" s="59">
        <f t="shared" si="80"/>
        <v>0</v>
      </c>
    </row>
    <row r="2567" spans="1:9" customFormat="1" x14ac:dyDescent="0.35">
      <c r="A2567" s="63">
        <f t="shared" si="81"/>
        <v>2566</v>
      </c>
      <c r="B2567" s="54" t="s">
        <v>5984</v>
      </c>
      <c r="C2567" s="55" t="s">
        <v>5985</v>
      </c>
      <c r="D2567" s="54" t="s">
        <v>5933</v>
      </c>
      <c r="E2567" s="56">
        <v>0</v>
      </c>
      <c r="F2567" s="57" t="s">
        <v>792</v>
      </c>
      <c r="G2567" s="58">
        <v>199050</v>
      </c>
      <c r="H2567" s="59">
        <v>199050</v>
      </c>
      <c r="I2567" s="59">
        <f t="shared" si="80"/>
        <v>0</v>
      </c>
    </row>
    <row r="2568" spans="1:9" customFormat="1" x14ac:dyDescent="0.35">
      <c r="A2568" s="63">
        <f t="shared" si="81"/>
        <v>2567</v>
      </c>
      <c r="B2568" s="54" t="s">
        <v>5986</v>
      </c>
      <c r="C2568" s="55" t="s">
        <v>5987</v>
      </c>
      <c r="D2568" s="54" t="s">
        <v>5933</v>
      </c>
      <c r="E2568" s="56">
        <v>0</v>
      </c>
      <c r="F2568" s="57" t="s">
        <v>870</v>
      </c>
      <c r="G2568" s="58">
        <v>45000</v>
      </c>
      <c r="H2568" s="59">
        <v>45000</v>
      </c>
      <c r="I2568" s="59">
        <f t="shared" si="80"/>
        <v>0</v>
      </c>
    </row>
    <row r="2569" spans="1:9" customFormat="1" x14ac:dyDescent="0.35">
      <c r="A2569" s="63">
        <f t="shared" si="81"/>
        <v>2568</v>
      </c>
      <c r="B2569" s="54" t="s">
        <v>5988</v>
      </c>
      <c r="C2569" s="55" t="s">
        <v>5989</v>
      </c>
      <c r="D2569" s="54" t="s">
        <v>5933</v>
      </c>
      <c r="E2569" s="56">
        <v>0</v>
      </c>
      <c r="F2569" s="57" t="s">
        <v>994</v>
      </c>
      <c r="G2569" s="58">
        <v>8000</v>
      </c>
      <c r="H2569" s="59">
        <v>8000</v>
      </c>
      <c r="I2569" s="59">
        <f t="shared" si="80"/>
        <v>0</v>
      </c>
    </row>
    <row r="2570" spans="1:9" customFormat="1" x14ac:dyDescent="0.35">
      <c r="A2570" s="63">
        <f t="shared" si="81"/>
        <v>2569</v>
      </c>
      <c r="B2570" s="54" t="s">
        <v>5990</v>
      </c>
      <c r="C2570" s="55" t="s">
        <v>5991</v>
      </c>
      <c r="D2570" s="54" t="s">
        <v>5933</v>
      </c>
      <c r="E2570" s="56">
        <v>0</v>
      </c>
      <c r="F2570" s="57" t="s">
        <v>792</v>
      </c>
      <c r="G2570" s="58">
        <v>84000</v>
      </c>
      <c r="H2570" s="59">
        <v>122451</v>
      </c>
      <c r="I2570" s="59">
        <f t="shared" si="80"/>
        <v>0</v>
      </c>
    </row>
    <row r="2571" spans="1:9" customFormat="1" x14ac:dyDescent="0.35">
      <c r="A2571" s="63">
        <f t="shared" si="81"/>
        <v>2570</v>
      </c>
      <c r="B2571" s="54" t="s">
        <v>5992</v>
      </c>
      <c r="C2571" s="55" t="s">
        <v>5993</v>
      </c>
      <c r="D2571" s="54" t="s">
        <v>5933</v>
      </c>
      <c r="E2571" s="56">
        <v>0</v>
      </c>
      <c r="F2571" s="57" t="s">
        <v>792</v>
      </c>
      <c r="G2571" s="58">
        <v>84000</v>
      </c>
      <c r="H2571" s="59">
        <v>122451</v>
      </c>
      <c r="I2571" s="59">
        <f t="shared" si="80"/>
        <v>0</v>
      </c>
    </row>
    <row r="2572" spans="1:9" customFormat="1" x14ac:dyDescent="0.35">
      <c r="A2572" s="63">
        <f t="shared" si="81"/>
        <v>2571</v>
      </c>
      <c r="B2572" s="54" t="s">
        <v>5994</v>
      </c>
      <c r="C2572" s="55" t="s">
        <v>5995</v>
      </c>
      <c r="D2572" s="54" t="s">
        <v>5933</v>
      </c>
      <c r="E2572" s="56">
        <v>0</v>
      </c>
      <c r="F2572" s="57" t="s">
        <v>792</v>
      </c>
      <c r="G2572" s="58">
        <v>84000</v>
      </c>
      <c r="H2572" s="59">
        <v>122451</v>
      </c>
      <c r="I2572" s="59">
        <f t="shared" si="80"/>
        <v>0</v>
      </c>
    </row>
    <row r="2573" spans="1:9" customFormat="1" x14ac:dyDescent="0.35">
      <c r="A2573" s="63">
        <f t="shared" si="81"/>
        <v>2572</v>
      </c>
      <c r="B2573" s="54" t="s">
        <v>5996</v>
      </c>
      <c r="C2573" s="55" t="s">
        <v>5997</v>
      </c>
      <c r="D2573" s="54" t="s">
        <v>5933</v>
      </c>
      <c r="E2573" s="56">
        <v>0</v>
      </c>
      <c r="F2573" s="57" t="s">
        <v>792</v>
      </c>
      <c r="G2573" s="58">
        <v>84000</v>
      </c>
      <c r="H2573" s="59">
        <v>122451</v>
      </c>
      <c r="I2573" s="59">
        <f t="shared" si="80"/>
        <v>0</v>
      </c>
    </row>
    <row r="2574" spans="1:9" customFormat="1" x14ac:dyDescent="0.35">
      <c r="A2574" s="63">
        <f t="shared" si="81"/>
        <v>2573</v>
      </c>
      <c r="B2574" s="54" t="s">
        <v>5998</v>
      </c>
      <c r="C2574" s="55" t="s">
        <v>5999</v>
      </c>
      <c r="D2574" s="54" t="s">
        <v>5933</v>
      </c>
      <c r="E2574" s="56">
        <v>0</v>
      </c>
      <c r="F2574" s="57" t="s">
        <v>792</v>
      </c>
      <c r="G2574" s="58">
        <v>53915</v>
      </c>
      <c r="H2574" s="59">
        <v>79380</v>
      </c>
      <c r="I2574" s="59">
        <f t="shared" si="80"/>
        <v>0</v>
      </c>
    </row>
    <row r="2575" spans="1:9" customFormat="1" x14ac:dyDescent="0.35">
      <c r="A2575" s="63">
        <f t="shared" si="81"/>
        <v>2574</v>
      </c>
      <c r="B2575" s="54" t="s">
        <v>6000</v>
      </c>
      <c r="C2575" s="55" t="s">
        <v>6001</v>
      </c>
      <c r="D2575" s="54" t="s">
        <v>5933</v>
      </c>
      <c r="E2575" s="56">
        <v>0</v>
      </c>
      <c r="F2575" s="57" t="s">
        <v>792</v>
      </c>
      <c r="G2575" s="58">
        <v>8066</v>
      </c>
      <c r="H2575" s="59">
        <v>7900</v>
      </c>
      <c r="I2575" s="59">
        <f t="shared" si="80"/>
        <v>0</v>
      </c>
    </row>
    <row r="2576" spans="1:9" customFormat="1" x14ac:dyDescent="0.35">
      <c r="A2576" s="63">
        <f t="shared" si="81"/>
        <v>2575</v>
      </c>
      <c r="B2576" s="54" t="s">
        <v>6002</v>
      </c>
      <c r="C2576" s="55" t="s">
        <v>6003</v>
      </c>
      <c r="D2576" s="54" t="s">
        <v>5933</v>
      </c>
      <c r="E2576" s="56">
        <v>0</v>
      </c>
      <c r="F2576" s="57" t="s">
        <v>792</v>
      </c>
      <c r="G2576" s="58">
        <v>5121.16</v>
      </c>
      <c r="H2576" s="59">
        <v>12500</v>
      </c>
      <c r="I2576" s="59">
        <f t="shared" si="80"/>
        <v>0</v>
      </c>
    </row>
    <row r="2577" spans="1:9" customFormat="1" x14ac:dyDescent="0.35">
      <c r="A2577" s="63">
        <f t="shared" si="81"/>
        <v>2576</v>
      </c>
      <c r="B2577" s="54" t="s">
        <v>6004</v>
      </c>
      <c r="C2577" s="55" t="s">
        <v>6005</v>
      </c>
      <c r="D2577" s="54" t="s">
        <v>5933</v>
      </c>
      <c r="E2577" s="56">
        <v>0</v>
      </c>
      <c r="F2577" s="57" t="s">
        <v>792</v>
      </c>
      <c r="G2577" s="58">
        <v>5121.16</v>
      </c>
      <c r="H2577" s="59">
        <v>12500</v>
      </c>
      <c r="I2577" s="59">
        <f t="shared" si="80"/>
        <v>0</v>
      </c>
    </row>
    <row r="2578" spans="1:9" customFormat="1" x14ac:dyDescent="0.35">
      <c r="A2578" s="63">
        <f t="shared" si="81"/>
        <v>2577</v>
      </c>
      <c r="B2578" s="54" t="s">
        <v>6006</v>
      </c>
      <c r="C2578" s="55" t="s">
        <v>6007</v>
      </c>
      <c r="D2578" s="54" t="s">
        <v>5933</v>
      </c>
      <c r="E2578" s="56">
        <v>0</v>
      </c>
      <c r="F2578" s="57" t="s">
        <v>792</v>
      </c>
      <c r="G2578" s="58">
        <v>6000</v>
      </c>
      <c r="H2578" s="59">
        <v>12500</v>
      </c>
      <c r="I2578" s="59">
        <f t="shared" si="80"/>
        <v>0</v>
      </c>
    </row>
    <row r="2579" spans="1:9" customFormat="1" x14ac:dyDescent="0.35">
      <c r="A2579" s="63">
        <f t="shared" si="81"/>
        <v>2578</v>
      </c>
      <c r="B2579" s="54" t="s">
        <v>6008</v>
      </c>
      <c r="C2579" s="55" t="s">
        <v>6009</v>
      </c>
      <c r="D2579" s="54" t="s">
        <v>5933</v>
      </c>
      <c r="E2579" s="56">
        <v>0</v>
      </c>
      <c r="F2579" s="57" t="s">
        <v>792</v>
      </c>
      <c r="G2579" s="58">
        <v>6000</v>
      </c>
      <c r="H2579" s="59">
        <v>12500</v>
      </c>
      <c r="I2579" s="59">
        <f t="shared" si="80"/>
        <v>0</v>
      </c>
    </row>
    <row r="2580" spans="1:9" customFormat="1" x14ac:dyDescent="0.35">
      <c r="A2580" s="63">
        <f t="shared" si="81"/>
        <v>2579</v>
      </c>
      <c r="B2580" s="54" t="s">
        <v>6010</v>
      </c>
      <c r="C2580" s="55" t="s">
        <v>6011</v>
      </c>
      <c r="D2580" s="54" t="s">
        <v>5933</v>
      </c>
      <c r="E2580" s="56">
        <v>0</v>
      </c>
      <c r="F2580" s="57" t="s">
        <v>878</v>
      </c>
      <c r="G2580" s="58">
        <v>394800</v>
      </c>
      <c r="H2580" s="59">
        <v>1224510</v>
      </c>
      <c r="I2580" s="59">
        <f t="shared" si="80"/>
        <v>0</v>
      </c>
    </row>
    <row r="2581" spans="1:9" customFormat="1" x14ac:dyDescent="0.35">
      <c r="A2581" s="63">
        <f t="shared" si="81"/>
        <v>2580</v>
      </c>
      <c r="B2581" s="54" t="s">
        <v>6012</v>
      </c>
      <c r="C2581" s="55" t="s">
        <v>6013</v>
      </c>
      <c r="D2581" s="54" t="s">
        <v>5933</v>
      </c>
      <c r="E2581" s="56">
        <v>0</v>
      </c>
      <c r="F2581" s="57" t="s">
        <v>792</v>
      </c>
      <c r="G2581" s="58">
        <v>0</v>
      </c>
      <c r="H2581" s="59">
        <v>198500</v>
      </c>
      <c r="I2581" s="59">
        <f t="shared" si="80"/>
        <v>0</v>
      </c>
    </row>
    <row r="2582" spans="1:9" customFormat="1" x14ac:dyDescent="0.35">
      <c r="A2582" s="63">
        <f t="shared" si="81"/>
        <v>2581</v>
      </c>
      <c r="B2582" s="54" t="s">
        <v>6014</v>
      </c>
      <c r="C2582" s="55" t="s">
        <v>6015</v>
      </c>
      <c r="D2582" s="54" t="s">
        <v>5933</v>
      </c>
      <c r="E2582" s="56">
        <v>0</v>
      </c>
      <c r="F2582" s="57" t="s">
        <v>792</v>
      </c>
      <c r="G2582" s="58">
        <v>4987</v>
      </c>
      <c r="H2582" s="59">
        <v>4987</v>
      </c>
      <c r="I2582" s="59">
        <f t="shared" si="80"/>
        <v>0</v>
      </c>
    </row>
    <row r="2583" spans="1:9" customFormat="1" x14ac:dyDescent="0.35">
      <c r="A2583" s="63">
        <f t="shared" si="81"/>
        <v>2582</v>
      </c>
      <c r="B2583" s="54" t="s">
        <v>6016</v>
      </c>
      <c r="C2583" s="55" t="s">
        <v>6017</v>
      </c>
      <c r="D2583" s="54" t="s">
        <v>5933</v>
      </c>
      <c r="E2583" s="56">
        <v>0</v>
      </c>
      <c r="F2583" s="57" t="s">
        <v>792</v>
      </c>
      <c r="G2583" s="58">
        <v>189208.34</v>
      </c>
      <c r="H2583" s="59">
        <v>273714</v>
      </c>
      <c r="I2583" s="59">
        <f t="shared" si="80"/>
        <v>0</v>
      </c>
    </row>
    <row r="2584" spans="1:9" customFormat="1" x14ac:dyDescent="0.35">
      <c r="A2584" s="63">
        <f t="shared" si="81"/>
        <v>2583</v>
      </c>
      <c r="B2584" s="54" t="s">
        <v>6018</v>
      </c>
      <c r="C2584" s="55" t="s">
        <v>6019</v>
      </c>
      <c r="D2584" s="54" t="s">
        <v>5933</v>
      </c>
      <c r="E2584" s="56">
        <v>0</v>
      </c>
      <c r="F2584" s="57" t="s">
        <v>792</v>
      </c>
      <c r="G2584" s="58">
        <v>15833</v>
      </c>
      <c r="H2584" s="59">
        <v>15833</v>
      </c>
      <c r="I2584" s="59">
        <f t="shared" si="80"/>
        <v>0</v>
      </c>
    </row>
    <row r="2585" spans="1:9" customFormat="1" x14ac:dyDescent="0.35">
      <c r="A2585" s="63">
        <f t="shared" si="81"/>
        <v>2584</v>
      </c>
      <c r="B2585" s="54" t="s">
        <v>6020</v>
      </c>
      <c r="C2585" s="55" t="s">
        <v>6021</v>
      </c>
      <c r="D2585" s="54" t="s">
        <v>5933</v>
      </c>
      <c r="E2585" s="56">
        <v>0</v>
      </c>
      <c r="F2585" s="57" t="s">
        <v>792</v>
      </c>
      <c r="G2585" s="58">
        <v>5065000</v>
      </c>
      <c r="H2585" s="59">
        <v>7491120</v>
      </c>
      <c r="I2585" s="59">
        <f t="shared" si="80"/>
        <v>0</v>
      </c>
    </row>
    <row r="2586" spans="1:9" customFormat="1" x14ac:dyDescent="0.35">
      <c r="A2586" s="63">
        <f t="shared" si="81"/>
        <v>2585</v>
      </c>
      <c r="B2586" s="54" t="s">
        <v>6022</v>
      </c>
      <c r="C2586" s="55" t="s">
        <v>6023</v>
      </c>
      <c r="D2586" s="54" t="s">
        <v>5933</v>
      </c>
      <c r="E2586" s="56">
        <v>0</v>
      </c>
      <c r="F2586" s="57" t="s">
        <v>792</v>
      </c>
      <c r="G2586" s="58">
        <v>1450000</v>
      </c>
      <c r="H2586" s="59">
        <v>2024925</v>
      </c>
      <c r="I2586" s="59">
        <f t="shared" si="80"/>
        <v>0</v>
      </c>
    </row>
    <row r="2587" spans="1:9" customFormat="1" x14ac:dyDescent="0.35">
      <c r="A2587" s="63">
        <f t="shared" si="81"/>
        <v>2586</v>
      </c>
      <c r="B2587" s="54" t="s">
        <v>6024</v>
      </c>
      <c r="C2587" s="55" t="s">
        <v>6025</v>
      </c>
      <c r="D2587" s="54" t="s">
        <v>5933</v>
      </c>
      <c r="E2587" s="56">
        <v>0</v>
      </c>
      <c r="F2587" s="57" t="s">
        <v>878</v>
      </c>
      <c r="G2587" s="58">
        <v>61500</v>
      </c>
      <c r="H2587" s="59">
        <v>61500</v>
      </c>
      <c r="I2587" s="59">
        <f t="shared" si="80"/>
        <v>0</v>
      </c>
    </row>
    <row r="2588" spans="1:9" customFormat="1" x14ac:dyDescent="0.35">
      <c r="A2588" s="63">
        <f t="shared" si="81"/>
        <v>2587</v>
      </c>
      <c r="B2588" s="54" t="s">
        <v>6026</v>
      </c>
      <c r="C2588" s="55" t="s">
        <v>6027</v>
      </c>
      <c r="D2588" s="54" t="s">
        <v>5933</v>
      </c>
      <c r="E2588" s="56">
        <v>0</v>
      </c>
      <c r="F2588" s="57" t="s">
        <v>792</v>
      </c>
      <c r="G2588" s="58">
        <v>215000</v>
      </c>
      <c r="H2588" s="59">
        <v>215000</v>
      </c>
      <c r="I2588" s="59">
        <f t="shared" si="80"/>
        <v>0</v>
      </c>
    </row>
    <row r="2589" spans="1:9" customFormat="1" x14ac:dyDescent="0.35">
      <c r="A2589" s="63">
        <f t="shared" si="81"/>
        <v>2588</v>
      </c>
      <c r="B2589" s="54" t="s">
        <v>6028</v>
      </c>
      <c r="C2589" s="55" t="s">
        <v>6029</v>
      </c>
      <c r="D2589" s="54" t="s">
        <v>5933</v>
      </c>
      <c r="E2589" s="56">
        <v>0</v>
      </c>
      <c r="F2589" s="57" t="s">
        <v>977</v>
      </c>
      <c r="G2589" s="58">
        <v>255000</v>
      </c>
      <c r="H2589" s="59">
        <v>255000</v>
      </c>
      <c r="I2589" s="59">
        <f t="shared" si="80"/>
        <v>0</v>
      </c>
    </row>
    <row r="2590" spans="1:9" customFormat="1" x14ac:dyDescent="0.35">
      <c r="A2590" s="63">
        <f t="shared" si="81"/>
        <v>2589</v>
      </c>
      <c r="B2590" s="54" t="s">
        <v>6030</v>
      </c>
      <c r="C2590" s="55" t="s">
        <v>6031</v>
      </c>
      <c r="D2590" s="54" t="s">
        <v>5933</v>
      </c>
      <c r="E2590" s="56">
        <v>0</v>
      </c>
      <c r="F2590" s="57" t="s">
        <v>792</v>
      </c>
      <c r="G2590" s="58">
        <v>57361.67</v>
      </c>
      <c r="H2590" s="59">
        <v>102165</v>
      </c>
      <c r="I2590" s="59">
        <f t="shared" si="80"/>
        <v>0</v>
      </c>
    </row>
    <row r="2591" spans="1:9" customFormat="1" x14ac:dyDescent="0.35">
      <c r="A2591" s="63">
        <f t="shared" si="81"/>
        <v>2590</v>
      </c>
      <c r="B2591" s="54" t="s">
        <v>6032</v>
      </c>
      <c r="C2591" s="55" t="s">
        <v>6033</v>
      </c>
      <c r="D2591" s="54" t="s">
        <v>5933</v>
      </c>
      <c r="E2591" s="56">
        <v>0</v>
      </c>
      <c r="F2591" s="57" t="s">
        <v>792</v>
      </c>
      <c r="G2591" s="58">
        <v>0</v>
      </c>
      <c r="H2591" s="59">
        <v>307000</v>
      </c>
      <c r="I2591" s="59">
        <f t="shared" si="80"/>
        <v>0</v>
      </c>
    </row>
    <row r="2592" spans="1:9" customFormat="1" x14ac:dyDescent="0.35">
      <c r="A2592" s="63">
        <f t="shared" si="81"/>
        <v>2591</v>
      </c>
      <c r="B2592" s="54" t="s">
        <v>6034</v>
      </c>
      <c r="C2592" s="55" t="s">
        <v>6035</v>
      </c>
      <c r="D2592" s="54" t="s">
        <v>5933</v>
      </c>
      <c r="E2592" s="56">
        <v>0</v>
      </c>
      <c r="F2592" s="57" t="s">
        <v>792</v>
      </c>
      <c r="G2592" s="58">
        <v>52000</v>
      </c>
      <c r="H2592" s="59">
        <v>76440</v>
      </c>
      <c r="I2592" s="59">
        <f t="shared" si="80"/>
        <v>0</v>
      </c>
    </row>
    <row r="2593" spans="1:9" customFormat="1" x14ac:dyDescent="0.35">
      <c r="A2593" s="63">
        <f t="shared" si="81"/>
        <v>2592</v>
      </c>
      <c r="B2593" s="54" t="s">
        <v>6036</v>
      </c>
      <c r="C2593" s="55" t="s">
        <v>6037</v>
      </c>
      <c r="D2593" s="54" t="s">
        <v>5933</v>
      </c>
      <c r="E2593" s="56">
        <v>0</v>
      </c>
      <c r="F2593" s="57" t="s">
        <v>815</v>
      </c>
      <c r="G2593" s="58">
        <v>1100000</v>
      </c>
      <c r="H2593" s="59">
        <v>1500000</v>
      </c>
      <c r="I2593" s="59">
        <f t="shared" si="80"/>
        <v>0</v>
      </c>
    </row>
    <row r="2594" spans="1:9" customFormat="1" x14ac:dyDescent="0.35">
      <c r="A2594" s="63">
        <f t="shared" si="81"/>
        <v>2593</v>
      </c>
      <c r="B2594" s="54" t="s">
        <v>6038</v>
      </c>
      <c r="C2594" s="55" t="s">
        <v>6039</v>
      </c>
      <c r="D2594" s="54" t="s">
        <v>5933</v>
      </c>
      <c r="E2594" s="56">
        <v>0</v>
      </c>
      <c r="F2594" s="57" t="s">
        <v>792</v>
      </c>
      <c r="G2594" s="58">
        <v>0</v>
      </c>
      <c r="H2594" s="59">
        <v>0</v>
      </c>
      <c r="I2594" s="59">
        <f t="shared" si="80"/>
        <v>0</v>
      </c>
    </row>
    <row r="2595" spans="1:9" customFormat="1" x14ac:dyDescent="0.35">
      <c r="A2595" s="63">
        <f t="shared" si="81"/>
        <v>2594</v>
      </c>
      <c r="B2595" s="54" t="s">
        <v>6040</v>
      </c>
      <c r="C2595" s="55" t="s">
        <v>6041</v>
      </c>
      <c r="D2595" s="54" t="s">
        <v>5933</v>
      </c>
      <c r="E2595" s="56">
        <v>0</v>
      </c>
      <c r="F2595" s="57" t="s">
        <v>792</v>
      </c>
      <c r="G2595" s="58">
        <v>0</v>
      </c>
      <c r="H2595" s="59">
        <v>154350</v>
      </c>
      <c r="I2595" s="59">
        <f t="shared" si="80"/>
        <v>0</v>
      </c>
    </row>
    <row r="2596" spans="1:9" customFormat="1" x14ac:dyDescent="0.35">
      <c r="A2596" s="63">
        <f t="shared" si="81"/>
        <v>2595</v>
      </c>
      <c r="B2596" s="54" t="s">
        <v>6042</v>
      </c>
      <c r="C2596" s="55" t="s">
        <v>6043</v>
      </c>
      <c r="D2596" s="54" t="s">
        <v>5933</v>
      </c>
      <c r="E2596" s="56">
        <v>0</v>
      </c>
      <c r="F2596" s="57" t="s">
        <v>815</v>
      </c>
      <c r="G2596" s="58">
        <v>2378378</v>
      </c>
      <c r="H2596" s="59">
        <v>2378378</v>
      </c>
      <c r="I2596" s="59">
        <f t="shared" si="80"/>
        <v>0</v>
      </c>
    </row>
    <row r="2597" spans="1:9" customFormat="1" x14ac:dyDescent="0.35">
      <c r="A2597" s="63">
        <f t="shared" si="81"/>
        <v>2596</v>
      </c>
      <c r="B2597" s="54" t="s">
        <v>6044</v>
      </c>
      <c r="C2597" s="55" t="s">
        <v>6045</v>
      </c>
      <c r="D2597" s="54" t="s">
        <v>5933</v>
      </c>
      <c r="E2597" s="56">
        <v>0</v>
      </c>
      <c r="F2597" s="57" t="s">
        <v>792</v>
      </c>
      <c r="G2597" s="58">
        <v>1300000</v>
      </c>
      <c r="H2597" s="59">
        <v>1300000</v>
      </c>
      <c r="I2597" s="59">
        <f t="shared" si="80"/>
        <v>0</v>
      </c>
    </row>
    <row r="2598" spans="1:9" customFormat="1" x14ac:dyDescent="0.35">
      <c r="A2598" s="63">
        <f t="shared" si="81"/>
        <v>2597</v>
      </c>
      <c r="B2598" s="54" t="s">
        <v>6046</v>
      </c>
      <c r="C2598" s="55" t="s">
        <v>6047</v>
      </c>
      <c r="D2598" s="54" t="s">
        <v>5933</v>
      </c>
      <c r="E2598" s="56">
        <v>0</v>
      </c>
      <c r="F2598" s="57" t="s">
        <v>792</v>
      </c>
      <c r="G2598" s="58">
        <v>1300000</v>
      </c>
      <c r="H2598" s="59">
        <v>1300000</v>
      </c>
      <c r="I2598" s="59">
        <f t="shared" si="80"/>
        <v>0</v>
      </c>
    </row>
    <row r="2599" spans="1:9" customFormat="1" x14ac:dyDescent="0.35">
      <c r="A2599" s="63">
        <f t="shared" si="81"/>
        <v>2598</v>
      </c>
      <c r="B2599" s="54" t="s">
        <v>6048</v>
      </c>
      <c r="C2599" s="55" t="s">
        <v>6049</v>
      </c>
      <c r="D2599" s="54" t="s">
        <v>5933</v>
      </c>
      <c r="E2599" s="56">
        <v>0</v>
      </c>
      <c r="F2599" s="57" t="s">
        <v>792</v>
      </c>
      <c r="G2599" s="58">
        <v>4100000</v>
      </c>
      <c r="H2599" s="59">
        <v>5725650</v>
      </c>
      <c r="I2599" s="59">
        <f t="shared" si="80"/>
        <v>0</v>
      </c>
    </row>
    <row r="2600" spans="1:9" customFormat="1" x14ac:dyDescent="0.35">
      <c r="A2600" s="63">
        <f t="shared" si="81"/>
        <v>2599</v>
      </c>
      <c r="B2600" s="54" t="s">
        <v>6050</v>
      </c>
      <c r="C2600" s="55" t="s">
        <v>6051</v>
      </c>
      <c r="D2600" s="54" t="s">
        <v>5933</v>
      </c>
      <c r="E2600" s="56">
        <v>0</v>
      </c>
      <c r="F2600" s="57" t="s">
        <v>792</v>
      </c>
      <c r="G2600" s="58">
        <v>101466</v>
      </c>
      <c r="H2600" s="59">
        <v>0</v>
      </c>
      <c r="I2600" s="59">
        <f t="shared" si="80"/>
        <v>0</v>
      </c>
    </row>
    <row r="2601" spans="1:9" customFormat="1" x14ac:dyDescent="0.35">
      <c r="A2601" s="63">
        <f t="shared" si="81"/>
        <v>2600</v>
      </c>
      <c r="B2601" s="54" t="s">
        <v>6052</v>
      </c>
      <c r="C2601" s="55" t="s">
        <v>6053</v>
      </c>
      <c r="D2601" s="54" t="s">
        <v>5933</v>
      </c>
      <c r="E2601" s="56">
        <v>0</v>
      </c>
      <c r="F2601" s="57" t="s">
        <v>792</v>
      </c>
      <c r="G2601" s="58">
        <v>500400</v>
      </c>
      <c r="H2601" s="59">
        <v>572000</v>
      </c>
      <c r="I2601" s="59">
        <f t="shared" si="80"/>
        <v>0</v>
      </c>
    </row>
    <row r="2602" spans="1:9" customFormat="1" x14ac:dyDescent="0.35">
      <c r="A2602" s="63">
        <f t="shared" si="81"/>
        <v>2601</v>
      </c>
      <c r="B2602" s="54" t="s">
        <v>6054</v>
      </c>
      <c r="C2602" s="55" t="s">
        <v>6055</v>
      </c>
      <c r="D2602" s="54" t="s">
        <v>5933</v>
      </c>
      <c r="E2602" s="56">
        <v>0</v>
      </c>
      <c r="F2602" s="57" t="s">
        <v>792</v>
      </c>
      <c r="G2602" s="58">
        <v>1900000</v>
      </c>
      <c r="H2602" s="59">
        <v>2653350</v>
      </c>
      <c r="I2602" s="59">
        <f t="shared" si="80"/>
        <v>0</v>
      </c>
    </row>
    <row r="2603" spans="1:9" customFormat="1" x14ac:dyDescent="0.35">
      <c r="A2603" s="63">
        <f t="shared" si="81"/>
        <v>2602</v>
      </c>
      <c r="B2603" s="54" t="s">
        <v>6056</v>
      </c>
      <c r="C2603" s="55" t="s">
        <v>6057</v>
      </c>
      <c r="D2603" s="54" t="s">
        <v>5933</v>
      </c>
      <c r="E2603" s="56">
        <v>0</v>
      </c>
      <c r="F2603" s="57" t="s">
        <v>844</v>
      </c>
      <c r="G2603" s="58">
        <v>1720000</v>
      </c>
      <c r="H2603" s="59">
        <v>2275560</v>
      </c>
      <c r="I2603" s="59">
        <f t="shared" si="80"/>
        <v>0</v>
      </c>
    </row>
    <row r="2604" spans="1:9" customFormat="1" x14ac:dyDescent="0.35">
      <c r="A2604" s="63">
        <f t="shared" si="81"/>
        <v>2603</v>
      </c>
      <c r="B2604" s="54" t="s">
        <v>6058</v>
      </c>
      <c r="C2604" s="55" t="s">
        <v>6059</v>
      </c>
      <c r="D2604" s="54" t="s">
        <v>5933</v>
      </c>
      <c r="E2604" s="56">
        <v>0</v>
      </c>
      <c r="F2604" s="57" t="s">
        <v>870</v>
      </c>
      <c r="G2604" s="58">
        <v>11000</v>
      </c>
      <c r="H2604" s="59">
        <v>11000</v>
      </c>
      <c r="I2604" s="59">
        <f t="shared" si="80"/>
        <v>0</v>
      </c>
    </row>
    <row r="2605" spans="1:9" customFormat="1" x14ac:dyDescent="0.35">
      <c r="A2605" s="63">
        <f t="shared" si="81"/>
        <v>2604</v>
      </c>
      <c r="B2605" s="54" t="s">
        <v>6060</v>
      </c>
      <c r="C2605" s="55" t="s">
        <v>6061</v>
      </c>
      <c r="D2605" s="54" t="s">
        <v>5933</v>
      </c>
      <c r="E2605" s="56">
        <v>0</v>
      </c>
      <c r="F2605" s="57" t="s">
        <v>792</v>
      </c>
      <c r="G2605" s="58">
        <v>0</v>
      </c>
      <c r="H2605" s="59">
        <v>73500</v>
      </c>
      <c r="I2605" s="59">
        <f t="shared" si="80"/>
        <v>0</v>
      </c>
    </row>
    <row r="2606" spans="1:9" customFormat="1" x14ac:dyDescent="0.35">
      <c r="A2606" s="63">
        <f t="shared" si="81"/>
        <v>2605</v>
      </c>
      <c r="B2606" s="54" t="s">
        <v>6062</v>
      </c>
      <c r="C2606" s="55" t="s">
        <v>6063</v>
      </c>
      <c r="D2606" s="54" t="s">
        <v>5933</v>
      </c>
      <c r="E2606" s="56">
        <v>0</v>
      </c>
      <c r="F2606" s="57" t="s">
        <v>792</v>
      </c>
      <c r="G2606" s="58">
        <v>55781</v>
      </c>
      <c r="H2606" s="59">
        <v>72030</v>
      </c>
      <c r="I2606" s="59">
        <f t="shared" si="80"/>
        <v>0</v>
      </c>
    </row>
    <row r="2607" spans="1:9" customFormat="1" x14ac:dyDescent="0.35">
      <c r="A2607" s="63">
        <f t="shared" si="81"/>
        <v>2606</v>
      </c>
      <c r="B2607" s="54" t="s">
        <v>6064</v>
      </c>
      <c r="C2607" s="55" t="s">
        <v>6065</v>
      </c>
      <c r="D2607" s="54" t="s">
        <v>5933</v>
      </c>
      <c r="E2607" s="56">
        <v>0</v>
      </c>
      <c r="F2607" s="57" t="s">
        <v>792</v>
      </c>
      <c r="G2607" s="58">
        <v>1970000</v>
      </c>
      <c r="H2607" s="59">
        <v>2639385</v>
      </c>
      <c r="I2607" s="59">
        <f t="shared" si="80"/>
        <v>0</v>
      </c>
    </row>
    <row r="2608" spans="1:9" customFormat="1" x14ac:dyDescent="0.35">
      <c r="A2608" s="63">
        <f t="shared" si="81"/>
        <v>2607</v>
      </c>
      <c r="B2608" s="54" t="s">
        <v>6066</v>
      </c>
      <c r="C2608" s="55" t="s">
        <v>6067</v>
      </c>
      <c r="D2608" s="54" t="s">
        <v>5933</v>
      </c>
      <c r="E2608" s="56">
        <v>0</v>
      </c>
      <c r="F2608" s="57" t="s">
        <v>792</v>
      </c>
      <c r="G2608" s="58">
        <v>490467</v>
      </c>
      <c r="H2608" s="59">
        <v>727650</v>
      </c>
      <c r="I2608" s="59">
        <f t="shared" si="80"/>
        <v>0</v>
      </c>
    </row>
    <row r="2609" spans="1:9" customFormat="1" x14ac:dyDescent="0.35">
      <c r="A2609" s="63">
        <f t="shared" si="81"/>
        <v>2608</v>
      </c>
      <c r="B2609" s="54" t="s">
        <v>6068</v>
      </c>
      <c r="C2609" s="55" t="s">
        <v>6069</v>
      </c>
      <c r="D2609" s="54" t="s">
        <v>5933</v>
      </c>
      <c r="E2609" s="56">
        <v>0</v>
      </c>
      <c r="F2609" s="57" t="s">
        <v>792</v>
      </c>
      <c r="G2609" s="58">
        <v>5250000</v>
      </c>
      <c r="H2609" s="59">
        <v>8085000</v>
      </c>
      <c r="I2609" s="59">
        <f t="shared" si="80"/>
        <v>0</v>
      </c>
    </row>
    <row r="2610" spans="1:9" customFormat="1" x14ac:dyDescent="0.35">
      <c r="A2610" s="63">
        <f t="shared" si="81"/>
        <v>2609</v>
      </c>
      <c r="B2610" s="54" t="s">
        <v>6070</v>
      </c>
      <c r="C2610" s="55" t="s">
        <v>6071</v>
      </c>
      <c r="D2610" s="54" t="s">
        <v>5933</v>
      </c>
      <c r="E2610" s="56">
        <v>0</v>
      </c>
      <c r="F2610" s="57" t="s">
        <v>792</v>
      </c>
      <c r="G2610" s="58">
        <v>29877.57</v>
      </c>
      <c r="H2610" s="59">
        <v>29877.57</v>
      </c>
      <c r="I2610" s="59">
        <f t="shared" si="80"/>
        <v>0</v>
      </c>
    </row>
    <row r="2611" spans="1:9" customFormat="1" x14ac:dyDescent="0.35">
      <c r="A2611" s="63">
        <f t="shared" si="81"/>
        <v>2610</v>
      </c>
      <c r="B2611" s="54" t="s">
        <v>6072</v>
      </c>
      <c r="C2611" s="55" t="s">
        <v>6073</v>
      </c>
      <c r="D2611" s="54" t="s">
        <v>5933</v>
      </c>
      <c r="E2611" s="56">
        <v>0</v>
      </c>
      <c r="F2611" s="57" t="s">
        <v>792</v>
      </c>
      <c r="G2611" s="58">
        <v>1701300</v>
      </c>
      <c r="H2611" s="59">
        <v>2375866</v>
      </c>
      <c r="I2611" s="59">
        <f t="shared" si="80"/>
        <v>0</v>
      </c>
    </row>
    <row r="2612" spans="1:9" customFormat="1" x14ac:dyDescent="0.35">
      <c r="A2612" s="63">
        <f t="shared" si="81"/>
        <v>2611</v>
      </c>
      <c r="B2612" s="54" t="s">
        <v>6074</v>
      </c>
      <c r="C2612" s="55" t="s">
        <v>6075</v>
      </c>
      <c r="D2612" s="54" t="s">
        <v>5933</v>
      </c>
      <c r="E2612" s="56">
        <v>0</v>
      </c>
      <c r="F2612" s="57" t="s">
        <v>792</v>
      </c>
      <c r="G2612" s="58">
        <v>5000000</v>
      </c>
      <c r="H2612" s="59">
        <v>6982500</v>
      </c>
      <c r="I2612" s="59">
        <f t="shared" si="80"/>
        <v>0</v>
      </c>
    </row>
    <row r="2613" spans="1:9" customFormat="1" x14ac:dyDescent="0.35">
      <c r="A2613" s="63">
        <f t="shared" si="81"/>
        <v>2612</v>
      </c>
      <c r="B2613" s="54" t="s">
        <v>6076</v>
      </c>
      <c r="C2613" s="55" t="s">
        <v>6077</v>
      </c>
      <c r="D2613" s="54" t="s">
        <v>5933</v>
      </c>
      <c r="E2613" s="56">
        <v>0</v>
      </c>
      <c r="F2613" s="57" t="s">
        <v>792</v>
      </c>
      <c r="G2613" s="58">
        <v>347000</v>
      </c>
      <c r="H2613" s="59">
        <v>499065</v>
      </c>
      <c r="I2613" s="59">
        <f t="shared" si="80"/>
        <v>0</v>
      </c>
    </row>
    <row r="2614" spans="1:9" customFormat="1" x14ac:dyDescent="0.35">
      <c r="A2614" s="63">
        <f t="shared" si="81"/>
        <v>2613</v>
      </c>
      <c r="B2614" s="54" t="s">
        <v>6078</v>
      </c>
      <c r="C2614" s="55" t="s">
        <v>6079</v>
      </c>
      <c r="D2614" s="54" t="s">
        <v>5933</v>
      </c>
      <c r="E2614" s="56">
        <v>0</v>
      </c>
      <c r="F2614" s="57" t="s">
        <v>792</v>
      </c>
      <c r="G2614" s="58">
        <v>33000</v>
      </c>
      <c r="H2614" s="59">
        <v>33000</v>
      </c>
      <c r="I2614" s="59">
        <f t="shared" si="80"/>
        <v>0</v>
      </c>
    </row>
    <row r="2615" spans="1:9" customFormat="1" x14ac:dyDescent="0.35">
      <c r="A2615" s="63">
        <f t="shared" si="81"/>
        <v>2614</v>
      </c>
      <c r="B2615" s="54" t="s">
        <v>6080</v>
      </c>
      <c r="C2615" s="55" t="s">
        <v>6081</v>
      </c>
      <c r="D2615" s="54" t="s">
        <v>5933</v>
      </c>
      <c r="E2615" s="56">
        <v>0</v>
      </c>
      <c r="F2615" s="57" t="s">
        <v>792</v>
      </c>
      <c r="G2615" s="58">
        <v>0</v>
      </c>
      <c r="H2615" s="59">
        <v>330000</v>
      </c>
      <c r="I2615" s="59">
        <f t="shared" si="80"/>
        <v>0</v>
      </c>
    </row>
    <row r="2616" spans="1:9" customFormat="1" x14ac:dyDescent="0.35">
      <c r="A2616" s="63">
        <f t="shared" si="81"/>
        <v>2615</v>
      </c>
      <c r="B2616" s="54" t="s">
        <v>6082</v>
      </c>
      <c r="C2616" s="55" t="s">
        <v>6083</v>
      </c>
      <c r="D2616" s="54" t="s">
        <v>5933</v>
      </c>
      <c r="E2616" s="56">
        <v>0</v>
      </c>
      <c r="F2616" s="57" t="s">
        <v>792</v>
      </c>
      <c r="G2616" s="58">
        <v>250000</v>
      </c>
      <c r="H2616" s="59">
        <v>330000</v>
      </c>
      <c r="I2616" s="59">
        <f t="shared" si="80"/>
        <v>0</v>
      </c>
    </row>
    <row r="2617" spans="1:9" customFormat="1" x14ac:dyDescent="0.35">
      <c r="A2617" s="63">
        <f t="shared" si="81"/>
        <v>2616</v>
      </c>
      <c r="B2617" s="54" t="s">
        <v>6084</v>
      </c>
      <c r="C2617" s="55" t="s">
        <v>6085</v>
      </c>
      <c r="D2617" s="54" t="s">
        <v>5933</v>
      </c>
      <c r="E2617" s="92">
        <v>1</v>
      </c>
      <c r="F2617" s="57" t="s">
        <v>792</v>
      </c>
      <c r="G2617" s="58">
        <v>1363964</v>
      </c>
      <c r="H2617" s="59">
        <v>1363964</v>
      </c>
      <c r="I2617" s="59">
        <f t="shared" si="80"/>
        <v>1363964</v>
      </c>
    </row>
    <row r="2618" spans="1:9" customFormat="1" x14ac:dyDescent="0.35">
      <c r="A2618" s="63">
        <f t="shared" si="81"/>
        <v>2617</v>
      </c>
      <c r="B2618" s="54" t="s">
        <v>6086</v>
      </c>
      <c r="C2618" s="55" t="s">
        <v>6087</v>
      </c>
      <c r="D2618" s="54" t="s">
        <v>5933</v>
      </c>
      <c r="E2618" s="92">
        <v>113</v>
      </c>
      <c r="F2618" s="57" t="s">
        <v>994</v>
      </c>
      <c r="G2618" s="58">
        <v>40000</v>
      </c>
      <c r="H2618" s="59">
        <v>35000</v>
      </c>
      <c r="I2618" s="59">
        <f t="shared" si="80"/>
        <v>3955000</v>
      </c>
    </row>
    <row r="2619" spans="1:9" customFormat="1" x14ac:dyDescent="0.35">
      <c r="A2619" s="63">
        <f t="shared" si="81"/>
        <v>2618</v>
      </c>
      <c r="B2619" s="54" t="s">
        <v>6088</v>
      </c>
      <c r="C2619" s="55" t="s">
        <v>6089</v>
      </c>
      <c r="D2619" s="54" t="s">
        <v>5933</v>
      </c>
      <c r="E2619" s="92">
        <v>26</v>
      </c>
      <c r="F2619" s="57" t="s">
        <v>792</v>
      </c>
      <c r="G2619" s="58">
        <v>35000</v>
      </c>
      <c r="H2619" s="59">
        <v>49700</v>
      </c>
      <c r="I2619" s="59">
        <f t="shared" si="80"/>
        <v>1292200</v>
      </c>
    </row>
    <row r="2620" spans="1:9" customFormat="1" x14ac:dyDescent="0.35">
      <c r="A2620" s="63">
        <f t="shared" si="81"/>
        <v>2619</v>
      </c>
      <c r="B2620" s="54" t="s">
        <v>6090</v>
      </c>
      <c r="C2620" s="55" t="s">
        <v>6091</v>
      </c>
      <c r="D2620" s="54" t="s">
        <v>5933</v>
      </c>
      <c r="E2620" s="92">
        <v>5</v>
      </c>
      <c r="F2620" s="57" t="s">
        <v>792</v>
      </c>
      <c r="G2620" s="58">
        <v>350000</v>
      </c>
      <c r="H2620" s="59">
        <v>550000</v>
      </c>
      <c r="I2620" s="59">
        <f t="shared" si="80"/>
        <v>2750000</v>
      </c>
    </row>
    <row r="2621" spans="1:9" customFormat="1" x14ac:dyDescent="0.35">
      <c r="A2621" s="63">
        <f t="shared" si="81"/>
        <v>2620</v>
      </c>
      <c r="B2621" s="54" t="s">
        <v>6092</v>
      </c>
      <c r="C2621" s="55" t="s">
        <v>6093</v>
      </c>
      <c r="D2621" s="54" t="s">
        <v>5933</v>
      </c>
      <c r="E2621" s="56">
        <v>0</v>
      </c>
      <c r="F2621" s="57" t="s">
        <v>792</v>
      </c>
      <c r="G2621" s="58">
        <v>46500</v>
      </c>
      <c r="H2621" s="59">
        <v>65522.726999999999</v>
      </c>
      <c r="I2621" s="59">
        <f t="shared" si="80"/>
        <v>0</v>
      </c>
    </row>
    <row r="2622" spans="1:9" customFormat="1" x14ac:dyDescent="0.35">
      <c r="A2622" s="63">
        <f t="shared" si="81"/>
        <v>2621</v>
      </c>
      <c r="B2622" s="54" t="s">
        <v>6094</v>
      </c>
      <c r="C2622" s="55" t="s">
        <v>6095</v>
      </c>
      <c r="D2622" s="54" t="s">
        <v>5933</v>
      </c>
      <c r="E2622" s="56">
        <v>0</v>
      </c>
      <c r="F2622" s="57" t="s">
        <v>792</v>
      </c>
      <c r="G2622" s="58">
        <v>27000</v>
      </c>
      <c r="H2622" s="59">
        <v>33450</v>
      </c>
      <c r="I2622" s="59">
        <f t="shared" si="80"/>
        <v>0</v>
      </c>
    </row>
    <row r="2623" spans="1:9" customFormat="1" x14ac:dyDescent="0.35">
      <c r="A2623" s="63">
        <f t="shared" si="81"/>
        <v>2622</v>
      </c>
      <c r="B2623" s="54" t="s">
        <v>6096</v>
      </c>
      <c r="C2623" s="55" t="s">
        <v>6097</v>
      </c>
      <c r="D2623" s="54" t="s">
        <v>5933</v>
      </c>
      <c r="E2623" s="92">
        <v>50</v>
      </c>
      <c r="F2623" s="57" t="s">
        <v>974</v>
      </c>
      <c r="G2623" s="58">
        <v>20000</v>
      </c>
      <c r="H2623" s="59">
        <v>28600</v>
      </c>
      <c r="I2623" s="59">
        <f t="shared" si="80"/>
        <v>1430000</v>
      </c>
    </row>
    <row r="2624" spans="1:9" customFormat="1" x14ac:dyDescent="0.35">
      <c r="A2624" s="63">
        <f t="shared" si="81"/>
        <v>2623</v>
      </c>
      <c r="B2624" s="54" t="s">
        <v>6098</v>
      </c>
      <c r="C2624" s="55" t="s">
        <v>6099</v>
      </c>
      <c r="D2624" s="54" t="s">
        <v>5933</v>
      </c>
      <c r="E2624" s="92">
        <v>240</v>
      </c>
      <c r="F2624" s="57" t="s">
        <v>792</v>
      </c>
      <c r="G2624" s="58">
        <v>11250</v>
      </c>
      <c r="H2624" s="59">
        <v>14700</v>
      </c>
      <c r="I2624" s="59">
        <f t="shared" si="80"/>
        <v>3528000</v>
      </c>
    </row>
    <row r="2625" spans="1:9" customFormat="1" x14ac:dyDescent="0.35">
      <c r="A2625" s="63">
        <f t="shared" si="81"/>
        <v>2624</v>
      </c>
      <c r="B2625" s="54" t="s">
        <v>6100</v>
      </c>
      <c r="C2625" s="55" t="s">
        <v>6101</v>
      </c>
      <c r="D2625" s="54" t="s">
        <v>5933</v>
      </c>
      <c r="E2625" s="56">
        <v>0</v>
      </c>
      <c r="F2625" s="57" t="s">
        <v>792</v>
      </c>
      <c r="G2625" s="58">
        <v>11250</v>
      </c>
      <c r="H2625" s="59">
        <v>14700</v>
      </c>
      <c r="I2625" s="59">
        <f t="shared" si="80"/>
        <v>0</v>
      </c>
    </row>
    <row r="2626" spans="1:9" customFormat="1" x14ac:dyDescent="0.35">
      <c r="A2626" s="63">
        <f t="shared" si="81"/>
        <v>2625</v>
      </c>
      <c r="B2626" s="54" t="s">
        <v>6102</v>
      </c>
      <c r="C2626" s="55" t="s">
        <v>6103</v>
      </c>
      <c r="D2626" s="54" t="s">
        <v>5933</v>
      </c>
      <c r="E2626" s="92">
        <v>240</v>
      </c>
      <c r="F2626" s="57" t="s">
        <v>792</v>
      </c>
      <c r="G2626" s="58">
        <v>10750</v>
      </c>
      <c r="H2626" s="59">
        <v>14700</v>
      </c>
      <c r="I2626" s="59">
        <f t="shared" si="80"/>
        <v>3528000</v>
      </c>
    </row>
    <row r="2627" spans="1:9" customFormat="1" x14ac:dyDescent="0.35">
      <c r="A2627" s="63">
        <f t="shared" si="81"/>
        <v>2626</v>
      </c>
      <c r="B2627" s="54" t="s">
        <v>6104</v>
      </c>
      <c r="C2627" s="55" t="s">
        <v>6105</v>
      </c>
      <c r="D2627" s="54" t="s">
        <v>5933</v>
      </c>
      <c r="E2627" s="92">
        <v>504</v>
      </c>
      <c r="F2627" s="57" t="s">
        <v>792</v>
      </c>
      <c r="G2627" s="58">
        <v>11250</v>
      </c>
      <c r="H2627" s="59">
        <v>14700</v>
      </c>
      <c r="I2627" s="59">
        <f t="shared" ref="I2627:I2690" si="82">H2627*E2627</f>
        <v>7408800</v>
      </c>
    </row>
    <row r="2628" spans="1:9" customFormat="1" x14ac:dyDescent="0.35">
      <c r="A2628" s="63">
        <f t="shared" ref="A2628:A2691" si="83">A2627+1</f>
        <v>2627</v>
      </c>
      <c r="B2628" s="54" t="s">
        <v>6106</v>
      </c>
      <c r="C2628" s="55" t="s">
        <v>6107</v>
      </c>
      <c r="D2628" s="54" t="s">
        <v>5933</v>
      </c>
      <c r="E2628" s="92">
        <v>420</v>
      </c>
      <c r="F2628" s="57" t="s">
        <v>792</v>
      </c>
      <c r="G2628" s="58">
        <v>11528</v>
      </c>
      <c r="H2628" s="59">
        <v>14700</v>
      </c>
      <c r="I2628" s="59">
        <f t="shared" si="82"/>
        <v>6174000</v>
      </c>
    </row>
    <row r="2629" spans="1:9" customFormat="1" x14ac:dyDescent="0.35">
      <c r="A2629" s="63">
        <f t="shared" si="83"/>
        <v>2628</v>
      </c>
      <c r="B2629" s="54" t="s">
        <v>6108</v>
      </c>
      <c r="C2629" s="55" t="s">
        <v>6109</v>
      </c>
      <c r="D2629" s="54" t="s">
        <v>5933</v>
      </c>
      <c r="E2629" s="92">
        <v>288</v>
      </c>
      <c r="F2629" s="57" t="s">
        <v>792</v>
      </c>
      <c r="G2629" s="58">
        <v>11250</v>
      </c>
      <c r="H2629" s="59">
        <v>14700</v>
      </c>
      <c r="I2629" s="59">
        <f t="shared" si="82"/>
        <v>4233600</v>
      </c>
    </row>
    <row r="2630" spans="1:9" customFormat="1" x14ac:dyDescent="0.35">
      <c r="A2630" s="63">
        <f t="shared" si="83"/>
        <v>2629</v>
      </c>
      <c r="B2630" s="54" t="s">
        <v>6110</v>
      </c>
      <c r="C2630" s="55" t="s">
        <v>6111</v>
      </c>
      <c r="D2630" s="54" t="s">
        <v>5933</v>
      </c>
      <c r="E2630" s="92">
        <v>264</v>
      </c>
      <c r="F2630" s="57" t="s">
        <v>792</v>
      </c>
      <c r="G2630" s="58">
        <v>10750</v>
      </c>
      <c r="H2630" s="59">
        <v>14700</v>
      </c>
      <c r="I2630" s="59">
        <f t="shared" si="82"/>
        <v>3880800</v>
      </c>
    </row>
    <row r="2631" spans="1:9" customFormat="1" x14ac:dyDescent="0.35">
      <c r="A2631" s="63">
        <f t="shared" si="83"/>
        <v>2630</v>
      </c>
      <c r="B2631" s="54" t="s">
        <v>6112</v>
      </c>
      <c r="C2631" s="55" t="s">
        <v>6113</v>
      </c>
      <c r="D2631" s="54" t="s">
        <v>5933</v>
      </c>
      <c r="E2631" s="92">
        <v>504</v>
      </c>
      <c r="F2631" s="57" t="s">
        <v>792</v>
      </c>
      <c r="G2631" s="58">
        <v>11250</v>
      </c>
      <c r="H2631" s="59">
        <v>14700</v>
      </c>
      <c r="I2631" s="59">
        <f t="shared" si="82"/>
        <v>7408800</v>
      </c>
    </row>
    <row r="2632" spans="1:9" customFormat="1" x14ac:dyDescent="0.35">
      <c r="A2632" s="63">
        <f t="shared" si="83"/>
        <v>2631</v>
      </c>
      <c r="B2632" s="54" t="s">
        <v>6114</v>
      </c>
      <c r="C2632" s="55" t="s">
        <v>6115</v>
      </c>
      <c r="D2632" s="54" t="s">
        <v>5933</v>
      </c>
      <c r="E2632" s="92">
        <v>552</v>
      </c>
      <c r="F2632" s="57" t="s">
        <v>792</v>
      </c>
      <c r="G2632" s="58">
        <v>11250</v>
      </c>
      <c r="H2632" s="59">
        <v>14700</v>
      </c>
      <c r="I2632" s="59">
        <f t="shared" si="82"/>
        <v>8114400</v>
      </c>
    </row>
    <row r="2633" spans="1:9" customFormat="1" x14ac:dyDescent="0.35">
      <c r="A2633" s="63">
        <f t="shared" si="83"/>
        <v>2632</v>
      </c>
      <c r="B2633" s="54" t="s">
        <v>6116</v>
      </c>
      <c r="C2633" s="55" t="s">
        <v>6117</v>
      </c>
      <c r="D2633" s="54" t="s">
        <v>5933</v>
      </c>
      <c r="E2633" s="92">
        <v>560</v>
      </c>
      <c r="F2633" s="57" t="s">
        <v>792</v>
      </c>
      <c r="G2633" s="58">
        <v>8571</v>
      </c>
      <c r="H2633" s="59">
        <v>12500</v>
      </c>
      <c r="I2633" s="59">
        <f t="shared" si="82"/>
        <v>7000000</v>
      </c>
    </row>
    <row r="2634" spans="1:9" customFormat="1" x14ac:dyDescent="0.35">
      <c r="A2634" s="63">
        <f t="shared" si="83"/>
        <v>2633</v>
      </c>
      <c r="B2634" s="54" t="s">
        <v>6118</v>
      </c>
      <c r="C2634" s="55" t="s">
        <v>6119</v>
      </c>
      <c r="D2634" s="54" t="s">
        <v>5933</v>
      </c>
      <c r="E2634" s="92">
        <v>131</v>
      </c>
      <c r="F2634" s="57" t="s">
        <v>792</v>
      </c>
      <c r="G2634" s="58">
        <v>5121.16</v>
      </c>
      <c r="H2634" s="59">
        <v>12500</v>
      </c>
      <c r="I2634" s="59">
        <f t="shared" si="82"/>
        <v>1637500</v>
      </c>
    </row>
    <row r="2635" spans="1:9" customFormat="1" x14ac:dyDescent="0.35">
      <c r="A2635" s="63">
        <f t="shared" si="83"/>
        <v>2634</v>
      </c>
      <c r="B2635" s="54" t="s">
        <v>6120</v>
      </c>
      <c r="C2635" s="55" t="s">
        <v>6121</v>
      </c>
      <c r="D2635" s="54" t="s">
        <v>5933</v>
      </c>
      <c r="E2635" s="92">
        <v>177</v>
      </c>
      <c r="F2635" s="57" t="s">
        <v>792</v>
      </c>
      <c r="G2635" s="58">
        <v>6000</v>
      </c>
      <c r="H2635" s="59">
        <v>12500</v>
      </c>
      <c r="I2635" s="59">
        <f t="shared" si="82"/>
        <v>2212500</v>
      </c>
    </row>
    <row r="2636" spans="1:9" customFormat="1" x14ac:dyDescent="0.35">
      <c r="A2636" s="63">
        <f t="shared" si="83"/>
        <v>2635</v>
      </c>
      <c r="B2636" s="54" t="s">
        <v>6122</v>
      </c>
      <c r="C2636" s="55" t="s">
        <v>6123</v>
      </c>
      <c r="D2636" s="54" t="s">
        <v>5933</v>
      </c>
      <c r="E2636" s="92">
        <v>401</v>
      </c>
      <c r="F2636" s="57" t="s">
        <v>792</v>
      </c>
      <c r="G2636" s="58">
        <v>4458</v>
      </c>
      <c r="H2636" s="59">
        <v>12500</v>
      </c>
      <c r="I2636" s="59">
        <f t="shared" si="82"/>
        <v>5012500</v>
      </c>
    </row>
    <row r="2637" spans="1:9" customFormat="1" x14ac:dyDescent="0.35">
      <c r="A2637" s="63">
        <f t="shared" si="83"/>
        <v>2636</v>
      </c>
      <c r="B2637" s="54" t="s">
        <v>6124</v>
      </c>
      <c r="C2637" s="55" t="s">
        <v>6125</v>
      </c>
      <c r="D2637" s="54" t="s">
        <v>5933</v>
      </c>
      <c r="E2637" s="92">
        <v>493</v>
      </c>
      <c r="F2637" s="57" t="s">
        <v>792</v>
      </c>
      <c r="G2637" s="58">
        <v>5675</v>
      </c>
      <c r="H2637" s="59">
        <v>12500</v>
      </c>
      <c r="I2637" s="59">
        <f t="shared" si="82"/>
        <v>6162500</v>
      </c>
    </row>
    <row r="2638" spans="1:9" customFormat="1" x14ac:dyDescent="0.35">
      <c r="A2638" s="63">
        <f t="shared" si="83"/>
        <v>2637</v>
      </c>
      <c r="B2638" s="54" t="s">
        <v>6126</v>
      </c>
      <c r="C2638" s="55" t="s">
        <v>6127</v>
      </c>
      <c r="D2638" s="54" t="s">
        <v>5933</v>
      </c>
      <c r="E2638" s="56">
        <v>0</v>
      </c>
      <c r="F2638" s="57" t="s">
        <v>792</v>
      </c>
      <c r="G2638" s="58">
        <v>5675</v>
      </c>
      <c r="H2638" s="59">
        <v>12500</v>
      </c>
      <c r="I2638" s="59">
        <f t="shared" si="82"/>
        <v>0</v>
      </c>
    </row>
    <row r="2639" spans="1:9" customFormat="1" x14ac:dyDescent="0.35">
      <c r="A2639" s="63">
        <f t="shared" si="83"/>
        <v>2638</v>
      </c>
      <c r="B2639" s="54" t="s">
        <v>6128</v>
      </c>
      <c r="C2639" s="55" t="s">
        <v>6129</v>
      </c>
      <c r="D2639" s="54" t="s">
        <v>5933</v>
      </c>
      <c r="E2639" s="56">
        <v>0</v>
      </c>
      <c r="F2639" s="57" t="s">
        <v>792</v>
      </c>
      <c r="G2639" s="58">
        <v>5000</v>
      </c>
      <c r="H2639" s="59">
        <v>9500</v>
      </c>
      <c r="I2639" s="59">
        <f t="shared" si="82"/>
        <v>0</v>
      </c>
    </row>
    <row r="2640" spans="1:9" customFormat="1" x14ac:dyDescent="0.35">
      <c r="A2640" s="63">
        <f t="shared" si="83"/>
        <v>2639</v>
      </c>
      <c r="B2640" s="54" t="s">
        <v>6130</v>
      </c>
      <c r="C2640" s="55" t="s">
        <v>6131</v>
      </c>
      <c r="D2640" s="54" t="s">
        <v>5933</v>
      </c>
      <c r="E2640" s="92">
        <v>480</v>
      </c>
      <c r="F2640" s="57" t="s">
        <v>792</v>
      </c>
      <c r="G2640" s="58">
        <v>3750</v>
      </c>
      <c r="H2640" s="59">
        <v>5500</v>
      </c>
      <c r="I2640" s="59">
        <f t="shared" si="82"/>
        <v>2640000</v>
      </c>
    </row>
    <row r="2641" spans="1:9" customFormat="1" x14ac:dyDescent="0.35">
      <c r="A2641" s="63">
        <f t="shared" si="83"/>
        <v>2640</v>
      </c>
      <c r="B2641" s="54" t="s">
        <v>6132</v>
      </c>
      <c r="C2641" s="55" t="s">
        <v>6133</v>
      </c>
      <c r="D2641" s="54" t="s">
        <v>5933</v>
      </c>
      <c r="E2641" s="92">
        <v>72</v>
      </c>
      <c r="F2641" s="57" t="s">
        <v>792</v>
      </c>
      <c r="G2641" s="58">
        <v>12000</v>
      </c>
      <c r="H2641" s="59">
        <v>14000</v>
      </c>
      <c r="I2641" s="59">
        <f t="shared" si="82"/>
        <v>1008000</v>
      </c>
    </row>
    <row r="2642" spans="1:9" customFormat="1" x14ac:dyDescent="0.35">
      <c r="A2642" s="63">
        <f t="shared" si="83"/>
        <v>2641</v>
      </c>
      <c r="B2642" s="54" t="s">
        <v>6134</v>
      </c>
      <c r="C2642" s="55" t="s">
        <v>6135</v>
      </c>
      <c r="D2642" s="54" t="s">
        <v>5933</v>
      </c>
      <c r="E2642" s="92">
        <v>10</v>
      </c>
      <c r="F2642" s="57" t="s">
        <v>792</v>
      </c>
      <c r="G2642" s="58">
        <v>120000</v>
      </c>
      <c r="H2642" s="59">
        <v>160000</v>
      </c>
      <c r="I2642" s="59">
        <f t="shared" si="82"/>
        <v>1600000</v>
      </c>
    </row>
    <row r="2643" spans="1:9" customFormat="1" x14ac:dyDescent="0.35">
      <c r="A2643" s="63">
        <f t="shared" si="83"/>
        <v>2642</v>
      </c>
      <c r="B2643" s="54" t="s">
        <v>6136</v>
      </c>
      <c r="C2643" s="55" t="s">
        <v>6137</v>
      </c>
      <c r="D2643" s="54" t="s">
        <v>5933</v>
      </c>
      <c r="E2643" s="92">
        <v>684</v>
      </c>
      <c r="F2643" s="57" t="s">
        <v>792</v>
      </c>
      <c r="G2643" s="58">
        <v>8572</v>
      </c>
      <c r="H2643" s="59">
        <v>12500</v>
      </c>
      <c r="I2643" s="59">
        <f t="shared" si="82"/>
        <v>8550000</v>
      </c>
    </row>
    <row r="2644" spans="1:9" customFormat="1" x14ac:dyDescent="0.35">
      <c r="A2644" s="63">
        <f t="shared" si="83"/>
        <v>2643</v>
      </c>
      <c r="B2644" s="54" t="s">
        <v>6138</v>
      </c>
      <c r="C2644" s="55" t="s">
        <v>6139</v>
      </c>
      <c r="D2644" s="54" t="s">
        <v>5933</v>
      </c>
      <c r="E2644" s="92">
        <v>600</v>
      </c>
      <c r="F2644" s="57" t="s">
        <v>792</v>
      </c>
      <c r="G2644" s="58">
        <v>11250</v>
      </c>
      <c r="H2644" s="59">
        <v>14700</v>
      </c>
      <c r="I2644" s="59">
        <f t="shared" si="82"/>
        <v>8820000</v>
      </c>
    </row>
    <row r="2645" spans="1:9" customFormat="1" x14ac:dyDescent="0.35">
      <c r="A2645" s="63">
        <f t="shared" si="83"/>
        <v>2644</v>
      </c>
      <c r="B2645" s="54" t="s">
        <v>6140</v>
      </c>
      <c r="C2645" s="55" t="s">
        <v>6141</v>
      </c>
      <c r="D2645" s="54" t="s">
        <v>5933</v>
      </c>
      <c r="E2645" s="92">
        <v>660</v>
      </c>
      <c r="F2645" s="57" t="s">
        <v>792</v>
      </c>
      <c r="G2645" s="58">
        <v>10750</v>
      </c>
      <c r="H2645" s="59">
        <v>14700</v>
      </c>
      <c r="I2645" s="59">
        <f t="shared" si="82"/>
        <v>9702000</v>
      </c>
    </row>
    <row r="2646" spans="1:9" customFormat="1" x14ac:dyDescent="0.35">
      <c r="A2646" s="63">
        <f t="shared" si="83"/>
        <v>2645</v>
      </c>
      <c r="B2646" s="54" t="s">
        <v>6142</v>
      </c>
      <c r="C2646" s="55" t="s">
        <v>6143</v>
      </c>
      <c r="D2646" s="54" t="s">
        <v>5933</v>
      </c>
      <c r="E2646" s="92">
        <v>150</v>
      </c>
      <c r="F2646" s="57" t="s">
        <v>792</v>
      </c>
      <c r="G2646" s="58">
        <v>46000</v>
      </c>
      <c r="H2646" s="59">
        <v>67954.544999999998</v>
      </c>
      <c r="I2646" s="59">
        <f t="shared" si="82"/>
        <v>10193181.75</v>
      </c>
    </row>
    <row r="2647" spans="1:9" customFormat="1" x14ac:dyDescent="0.35">
      <c r="A2647" s="63">
        <f t="shared" si="83"/>
        <v>2646</v>
      </c>
      <c r="B2647" s="54" t="s">
        <v>6144</v>
      </c>
      <c r="C2647" s="55" t="s">
        <v>6145</v>
      </c>
      <c r="D2647" s="54" t="s">
        <v>5933</v>
      </c>
      <c r="E2647" s="92">
        <v>450</v>
      </c>
      <c r="F2647" s="57" t="s">
        <v>974</v>
      </c>
      <c r="G2647" s="58">
        <v>17000</v>
      </c>
      <c r="H2647" s="59">
        <v>22800</v>
      </c>
      <c r="I2647" s="59">
        <f t="shared" si="82"/>
        <v>10260000</v>
      </c>
    </row>
    <row r="2648" spans="1:9" customFormat="1" x14ac:dyDescent="0.35">
      <c r="A2648" s="63">
        <f t="shared" si="83"/>
        <v>2647</v>
      </c>
      <c r="B2648" s="54" t="s">
        <v>6146</v>
      </c>
      <c r="C2648" s="55" t="s">
        <v>6147</v>
      </c>
      <c r="D2648" s="54" t="s">
        <v>5933</v>
      </c>
      <c r="E2648" s="92">
        <v>840</v>
      </c>
      <c r="F2648" s="57" t="s">
        <v>792</v>
      </c>
      <c r="G2648" s="58">
        <v>12650</v>
      </c>
      <c r="H2648" s="59">
        <v>16000</v>
      </c>
      <c r="I2648" s="59">
        <f t="shared" si="82"/>
        <v>13440000</v>
      </c>
    </row>
    <row r="2649" spans="1:9" customFormat="1" x14ac:dyDescent="0.35">
      <c r="A2649" s="63">
        <f t="shared" si="83"/>
        <v>2648</v>
      </c>
      <c r="B2649" s="54" t="s">
        <v>6148</v>
      </c>
      <c r="C2649" s="55" t="s">
        <v>6149</v>
      </c>
      <c r="D2649" s="54" t="s">
        <v>5933</v>
      </c>
      <c r="E2649" s="92">
        <v>900</v>
      </c>
      <c r="F2649" s="57" t="s">
        <v>792</v>
      </c>
      <c r="G2649" s="58">
        <v>12650</v>
      </c>
      <c r="H2649" s="59">
        <v>16000</v>
      </c>
      <c r="I2649" s="59">
        <f t="shared" si="82"/>
        <v>14400000</v>
      </c>
    </row>
    <row r="2650" spans="1:9" customFormat="1" x14ac:dyDescent="0.35">
      <c r="A2650" s="63">
        <f t="shared" si="83"/>
        <v>2649</v>
      </c>
      <c r="B2650" s="54" t="s">
        <v>6150</v>
      </c>
      <c r="C2650" s="55" t="s">
        <v>6151</v>
      </c>
      <c r="D2650" s="54" t="s">
        <v>5933</v>
      </c>
      <c r="E2650" s="92">
        <v>1104</v>
      </c>
      <c r="F2650" s="57" t="s">
        <v>792</v>
      </c>
      <c r="G2650" s="58">
        <v>11250</v>
      </c>
      <c r="H2650" s="59">
        <v>14700</v>
      </c>
      <c r="I2650" s="59">
        <f t="shared" si="82"/>
        <v>16228800</v>
      </c>
    </row>
    <row r="2651" spans="1:9" customFormat="1" x14ac:dyDescent="0.35">
      <c r="A2651" s="63">
        <f t="shared" si="83"/>
        <v>2650</v>
      </c>
      <c r="B2651" s="54" t="s">
        <v>6152</v>
      </c>
      <c r="C2651" s="55" t="s">
        <v>6153</v>
      </c>
      <c r="D2651" s="54" t="s">
        <v>5933</v>
      </c>
      <c r="E2651" s="92">
        <v>3</v>
      </c>
      <c r="F2651" s="57" t="s">
        <v>792</v>
      </c>
      <c r="G2651" s="58">
        <v>4725000</v>
      </c>
      <c r="H2651" s="59">
        <v>6400000</v>
      </c>
      <c r="I2651" s="59">
        <f t="shared" si="82"/>
        <v>19200000</v>
      </c>
    </row>
    <row r="2652" spans="1:9" customFormat="1" ht="23" x14ac:dyDescent="0.35">
      <c r="A2652" s="63">
        <f t="shared" si="83"/>
        <v>2651</v>
      </c>
      <c r="B2652" s="54" t="s">
        <v>6154</v>
      </c>
      <c r="C2652" s="55" t="s">
        <v>6155</v>
      </c>
      <c r="D2652" s="54" t="s">
        <v>5933</v>
      </c>
      <c r="E2652" s="92">
        <v>400</v>
      </c>
      <c r="F2652" s="57" t="s">
        <v>792</v>
      </c>
      <c r="G2652" s="58">
        <v>0</v>
      </c>
      <c r="H2652" s="59">
        <v>66000</v>
      </c>
      <c r="I2652" s="59">
        <f t="shared" si="82"/>
        <v>26400000</v>
      </c>
    </row>
    <row r="2653" spans="1:9" customFormat="1" x14ac:dyDescent="0.35">
      <c r="A2653" s="63">
        <f t="shared" si="83"/>
        <v>2652</v>
      </c>
      <c r="B2653" s="54" t="s">
        <v>6156</v>
      </c>
      <c r="C2653" s="55" t="s">
        <v>6157</v>
      </c>
      <c r="D2653" s="54" t="s">
        <v>5933</v>
      </c>
      <c r="E2653" s="92">
        <v>127</v>
      </c>
      <c r="F2653" s="57" t="s">
        <v>815</v>
      </c>
      <c r="G2653" s="58">
        <v>245000</v>
      </c>
      <c r="H2653" s="59">
        <v>351450</v>
      </c>
      <c r="I2653" s="59">
        <f t="shared" si="82"/>
        <v>44634150</v>
      </c>
    </row>
    <row r="2654" spans="1:9" customFormat="1" x14ac:dyDescent="0.35">
      <c r="A2654" s="63">
        <f t="shared" si="83"/>
        <v>2653</v>
      </c>
      <c r="B2654" s="54" t="s">
        <v>6158</v>
      </c>
      <c r="C2654" s="55" t="s">
        <v>6159</v>
      </c>
      <c r="D2654" s="54" t="s">
        <v>6160</v>
      </c>
      <c r="E2654" s="56">
        <v>0</v>
      </c>
      <c r="F2654" s="57" t="s">
        <v>1431</v>
      </c>
      <c r="G2654" s="58">
        <v>17500</v>
      </c>
      <c r="H2654" s="59">
        <v>19900</v>
      </c>
      <c r="I2654" s="59">
        <f t="shared" si="82"/>
        <v>0</v>
      </c>
    </row>
    <row r="2655" spans="1:9" customFormat="1" x14ac:dyDescent="0.35">
      <c r="A2655" s="63">
        <f t="shared" si="83"/>
        <v>2654</v>
      </c>
      <c r="B2655" s="54" t="s">
        <v>6161</v>
      </c>
      <c r="C2655" s="55" t="s">
        <v>6162</v>
      </c>
      <c r="D2655" s="54" t="s">
        <v>6160</v>
      </c>
      <c r="E2655" s="56">
        <v>0</v>
      </c>
      <c r="F2655" s="57" t="s">
        <v>792</v>
      </c>
      <c r="G2655" s="58">
        <v>0</v>
      </c>
      <c r="H2655" s="59">
        <v>55</v>
      </c>
      <c r="I2655" s="59">
        <f t="shared" si="82"/>
        <v>0</v>
      </c>
    </row>
    <row r="2656" spans="1:9" customFormat="1" x14ac:dyDescent="0.35">
      <c r="A2656" s="63">
        <f t="shared" si="83"/>
        <v>2655</v>
      </c>
      <c r="B2656" s="54" t="s">
        <v>6163</v>
      </c>
      <c r="C2656" s="55" t="s">
        <v>6164</v>
      </c>
      <c r="D2656" s="54" t="s">
        <v>6160</v>
      </c>
      <c r="E2656" s="92">
        <v>720</v>
      </c>
      <c r="F2656" s="57" t="s">
        <v>815</v>
      </c>
      <c r="G2656" s="58">
        <v>4750</v>
      </c>
      <c r="H2656" s="59">
        <v>4750</v>
      </c>
      <c r="I2656" s="59">
        <f t="shared" si="82"/>
        <v>3420000</v>
      </c>
    </row>
    <row r="2657" spans="1:9" customFormat="1" x14ac:dyDescent="0.35">
      <c r="A2657" s="63">
        <f t="shared" si="83"/>
        <v>2656</v>
      </c>
      <c r="B2657" s="54" t="s">
        <v>6165</v>
      </c>
      <c r="C2657" s="55" t="s">
        <v>6166</v>
      </c>
      <c r="D2657" s="54" t="s">
        <v>6160</v>
      </c>
      <c r="E2657" s="92">
        <v>216</v>
      </c>
      <c r="F2657" s="57" t="s">
        <v>792</v>
      </c>
      <c r="G2657" s="58">
        <v>4750</v>
      </c>
      <c r="H2657" s="59">
        <v>4750</v>
      </c>
      <c r="I2657" s="59">
        <f t="shared" si="82"/>
        <v>1026000</v>
      </c>
    </row>
    <row r="2658" spans="1:9" customFormat="1" x14ac:dyDescent="0.35">
      <c r="A2658" s="63">
        <f t="shared" si="83"/>
        <v>2657</v>
      </c>
      <c r="B2658" s="54" t="s">
        <v>6167</v>
      </c>
      <c r="C2658" s="55" t="s">
        <v>6168</v>
      </c>
      <c r="D2658" s="54" t="s">
        <v>6160</v>
      </c>
      <c r="E2658" s="92">
        <v>500</v>
      </c>
      <c r="F2658" s="57" t="s">
        <v>1431</v>
      </c>
      <c r="G2658" s="58">
        <v>36000</v>
      </c>
      <c r="H2658" s="59">
        <v>41000</v>
      </c>
      <c r="I2658" s="59">
        <f t="shared" si="82"/>
        <v>20500000</v>
      </c>
    </row>
    <row r="2659" spans="1:9" customFormat="1" x14ac:dyDescent="0.35">
      <c r="A2659" s="63">
        <f t="shared" si="83"/>
        <v>2658</v>
      </c>
      <c r="B2659" s="54" t="s">
        <v>6169</v>
      </c>
      <c r="C2659" s="55" t="s">
        <v>6170</v>
      </c>
      <c r="D2659" s="54" t="s">
        <v>6171</v>
      </c>
      <c r="E2659" s="56">
        <v>0</v>
      </c>
      <c r="F2659" s="57" t="s">
        <v>792</v>
      </c>
      <c r="G2659" s="58">
        <v>551000</v>
      </c>
      <c r="H2659" s="59">
        <v>852600</v>
      </c>
      <c r="I2659" s="59">
        <f t="shared" si="82"/>
        <v>0</v>
      </c>
    </row>
    <row r="2660" spans="1:9" customFormat="1" x14ac:dyDescent="0.35">
      <c r="A2660" s="63">
        <f t="shared" si="83"/>
        <v>2659</v>
      </c>
      <c r="B2660" s="54" t="s">
        <v>6172</v>
      </c>
      <c r="C2660" s="55" t="s">
        <v>6173</v>
      </c>
      <c r="D2660" s="54" t="s">
        <v>6171</v>
      </c>
      <c r="E2660" s="56">
        <v>0</v>
      </c>
      <c r="F2660" s="57" t="s">
        <v>844</v>
      </c>
      <c r="G2660" s="58">
        <v>788800</v>
      </c>
      <c r="H2660" s="59">
        <v>788800</v>
      </c>
      <c r="I2660" s="59">
        <f t="shared" si="82"/>
        <v>0</v>
      </c>
    </row>
    <row r="2661" spans="1:9" customFormat="1" x14ac:dyDescent="0.35">
      <c r="A2661" s="63">
        <f t="shared" si="83"/>
        <v>2660</v>
      </c>
      <c r="B2661" s="54" t="s">
        <v>6174</v>
      </c>
      <c r="C2661" s="55" t="s">
        <v>6175</v>
      </c>
      <c r="D2661" s="54" t="s">
        <v>6171</v>
      </c>
      <c r="E2661" s="56">
        <v>0</v>
      </c>
      <c r="F2661" s="57" t="s">
        <v>792</v>
      </c>
      <c r="G2661" s="58">
        <v>65023</v>
      </c>
      <c r="H2661" s="59">
        <v>107310</v>
      </c>
      <c r="I2661" s="59">
        <f t="shared" si="82"/>
        <v>0</v>
      </c>
    </row>
    <row r="2662" spans="1:9" customFormat="1" x14ac:dyDescent="0.35">
      <c r="A2662" s="63">
        <f t="shared" si="83"/>
        <v>2661</v>
      </c>
      <c r="B2662" s="54" t="s">
        <v>6176</v>
      </c>
      <c r="C2662" s="55" t="s">
        <v>6177</v>
      </c>
      <c r="D2662" s="54" t="s">
        <v>6171</v>
      </c>
      <c r="E2662" s="56">
        <v>0</v>
      </c>
      <c r="F2662" s="57" t="s">
        <v>792</v>
      </c>
      <c r="G2662" s="58">
        <v>7000</v>
      </c>
      <c r="H2662" s="59">
        <v>10290</v>
      </c>
      <c r="I2662" s="59">
        <f t="shared" si="82"/>
        <v>0</v>
      </c>
    </row>
    <row r="2663" spans="1:9" customFormat="1" x14ac:dyDescent="0.35">
      <c r="A2663" s="63">
        <f t="shared" si="83"/>
        <v>2662</v>
      </c>
      <c r="B2663" s="54" t="s">
        <v>6178</v>
      </c>
      <c r="C2663" s="55" t="s">
        <v>6179</v>
      </c>
      <c r="D2663" s="54" t="s">
        <v>6171</v>
      </c>
      <c r="E2663" s="56">
        <v>0</v>
      </c>
      <c r="F2663" s="57" t="s">
        <v>792</v>
      </c>
      <c r="G2663" s="58">
        <v>15000</v>
      </c>
      <c r="H2663" s="59">
        <v>22050</v>
      </c>
      <c r="I2663" s="59">
        <f t="shared" si="82"/>
        <v>0</v>
      </c>
    </row>
    <row r="2664" spans="1:9" customFormat="1" x14ac:dyDescent="0.35">
      <c r="A2664" s="63">
        <f t="shared" si="83"/>
        <v>2663</v>
      </c>
      <c r="B2664" s="54" t="s">
        <v>6180</v>
      </c>
      <c r="C2664" s="55" t="s">
        <v>6181</v>
      </c>
      <c r="D2664" s="54" t="s">
        <v>6182</v>
      </c>
      <c r="E2664" s="56">
        <v>0</v>
      </c>
      <c r="F2664" s="57" t="s">
        <v>844</v>
      </c>
      <c r="G2664" s="58">
        <v>0</v>
      </c>
      <c r="H2664" s="59">
        <v>2475000</v>
      </c>
      <c r="I2664" s="59">
        <f t="shared" si="82"/>
        <v>0</v>
      </c>
    </row>
    <row r="2665" spans="1:9" customFormat="1" x14ac:dyDescent="0.35">
      <c r="A2665" s="63">
        <f t="shared" si="83"/>
        <v>2664</v>
      </c>
      <c r="B2665" s="54" t="s">
        <v>6183</v>
      </c>
      <c r="C2665" s="55" t="s">
        <v>6184</v>
      </c>
      <c r="D2665" s="54" t="s">
        <v>6182</v>
      </c>
      <c r="E2665" s="56">
        <v>0</v>
      </c>
      <c r="F2665" s="57" t="s">
        <v>792</v>
      </c>
      <c r="G2665" s="58">
        <v>950000</v>
      </c>
      <c r="H2665" s="59">
        <v>950000</v>
      </c>
      <c r="I2665" s="59">
        <f t="shared" si="82"/>
        <v>0</v>
      </c>
    </row>
    <row r="2666" spans="1:9" customFormat="1" ht="23" x14ac:dyDescent="0.35">
      <c r="A2666" s="63">
        <f t="shared" si="83"/>
        <v>2665</v>
      </c>
      <c r="B2666" s="54" t="s">
        <v>6185</v>
      </c>
      <c r="C2666" s="55" t="s">
        <v>6186</v>
      </c>
      <c r="D2666" s="54" t="s">
        <v>6182</v>
      </c>
      <c r="E2666" s="56">
        <v>0</v>
      </c>
      <c r="F2666" s="57" t="s">
        <v>878</v>
      </c>
      <c r="G2666" s="58">
        <v>62065.34</v>
      </c>
      <c r="H2666" s="59">
        <v>62065.33</v>
      </c>
      <c r="I2666" s="59">
        <f t="shared" si="82"/>
        <v>0</v>
      </c>
    </row>
    <row r="2667" spans="1:9" customFormat="1" x14ac:dyDescent="0.35">
      <c r="A2667" s="63">
        <f t="shared" si="83"/>
        <v>2666</v>
      </c>
      <c r="B2667" s="54" t="s">
        <v>6187</v>
      </c>
      <c r="C2667" s="55" t="s">
        <v>6188</v>
      </c>
      <c r="D2667" s="54" t="s">
        <v>6182</v>
      </c>
      <c r="E2667" s="56">
        <v>0</v>
      </c>
      <c r="F2667" s="57" t="s">
        <v>977</v>
      </c>
      <c r="G2667" s="58">
        <v>250000</v>
      </c>
      <c r="H2667" s="59">
        <v>375000</v>
      </c>
      <c r="I2667" s="59">
        <f t="shared" si="82"/>
        <v>0</v>
      </c>
    </row>
    <row r="2668" spans="1:9" customFormat="1" x14ac:dyDescent="0.35">
      <c r="A2668" s="63">
        <f t="shared" si="83"/>
        <v>2667</v>
      </c>
      <c r="B2668" s="54" t="s">
        <v>6189</v>
      </c>
      <c r="C2668" s="55" t="s">
        <v>6190</v>
      </c>
      <c r="D2668" s="54" t="s">
        <v>6182</v>
      </c>
      <c r="E2668" s="56">
        <v>0</v>
      </c>
      <c r="F2668" s="57" t="s">
        <v>792</v>
      </c>
      <c r="G2668" s="58">
        <v>0</v>
      </c>
      <c r="H2668" s="59">
        <v>0</v>
      </c>
      <c r="I2668" s="59">
        <f t="shared" si="82"/>
        <v>0</v>
      </c>
    </row>
    <row r="2669" spans="1:9" customFormat="1" x14ac:dyDescent="0.35">
      <c r="A2669" s="63">
        <f t="shared" si="83"/>
        <v>2668</v>
      </c>
      <c r="B2669" s="54" t="s">
        <v>6191</v>
      </c>
      <c r="C2669" s="55" t="s">
        <v>6192</v>
      </c>
      <c r="D2669" s="54" t="s">
        <v>6182</v>
      </c>
      <c r="E2669" s="56">
        <v>0</v>
      </c>
      <c r="F2669" s="57" t="s">
        <v>792</v>
      </c>
      <c r="G2669" s="58">
        <v>2000</v>
      </c>
      <c r="H2669" s="59">
        <v>0</v>
      </c>
      <c r="I2669" s="59">
        <f t="shared" si="82"/>
        <v>0</v>
      </c>
    </row>
    <row r="2670" spans="1:9" customFormat="1" x14ac:dyDescent="0.35">
      <c r="A2670" s="63">
        <f t="shared" si="83"/>
        <v>2669</v>
      </c>
      <c r="B2670" s="54" t="s">
        <v>6193</v>
      </c>
      <c r="C2670" s="55" t="s">
        <v>6194</v>
      </c>
      <c r="D2670" s="54" t="s">
        <v>6182</v>
      </c>
      <c r="E2670" s="56">
        <v>0</v>
      </c>
      <c r="F2670" s="57" t="s">
        <v>792</v>
      </c>
      <c r="G2670" s="58">
        <v>1250</v>
      </c>
      <c r="H2670" s="59">
        <v>0</v>
      </c>
      <c r="I2670" s="59">
        <f t="shared" si="82"/>
        <v>0</v>
      </c>
    </row>
    <row r="2671" spans="1:9" customFormat="1" x14ac:dyDescent="0.35">
      <c r="A2671" s="63">
        <f t="shared" si="83"/>
        <v>2670</v>
      </c>
      <c r="B2671" s="54" t="s">
        <v>6195</v>
      </c>
      <c r="C2671" s="55" t="s">
        <v>6196</v>
      </c>
      <c r="D2671" s="54" t="s">
        <v>6182</v>
      </c>
      <c r="E2671" s="56">
        <v>0</v>
      </c>
      <c r="F2671" s="57" t="s">
        <v>792</v>
      </c>
      <c r="G2671" s="58">
        <v>0</v>
      </c>
      <c r="H2671" s="59">
        <v>0</v>
      </c>
      <c r="I2671" s="59">
        <f t="shared" si="82"/>
        <v>0</v>
      </c>
    </row>
    <row r="2672" spans="1:9" customFormat="1" x14ac:dyDescent="0.35">
      <c r="A2672" s="63">
        <f t="shared" si="83"/>
        <v>2671</v>
      </c>
      <c r="B2672" s="54" t="s">
        <v>6197</v>
      </c>
      <c r="C2672" s="55" t="s">
        <v>6198</v>
      </c>
      <c r="D2672" s="54" t="s">
        <v>6182</v>
      </c>
      <c r="E2672" s="56">
        <v>0</v>
      </c>
      <c r="F2672" s="57" t="s">
        <v>792</v>
      </c>
      <c r="G2672" s="58">
        <v>0</v>
      </c>
      <c r="H2672" s="59">
        <v>0</v>
      </c>
      <c r="I2672" s="59">
        <f t="shared" si="82"/>
        <v>0</v>
      </c>
    </row>
    <row r="2673" spans="1:9" customFormat="1" x14ac:dyDescent="0.35">
      <c r="A2673" s="63">
        <f t="shared" si="83"/>
        <v>2672</v>
      </c>
      <c r="B2673" s="54" t="s">
        <v>6199</v>
      </c>
      <c r="C2673" s="55" t="s">
        <v>6200</v>
      </c>
      <c r="D2673" s="54" t="s">
        <v>6182</v>
      </c>
      <c r="E2673" s="56">
        <v>0</v>
      </c>
      <c r="F2673" s="57" t="s">
        <v>994</v>
      </c>
      <c r="G2673" s="58">
        <v>18709</v>
      </c>
      <c r="H2673" s="59">
        <v>42389</v>
      </c>
      <c r="I2673" s="59">
        <f t="shared" si="82"/>
        <v>0</v>
      </c>
    </row>
    <row r="2674" spans="1:9" customFormat="1" x14ac:dyDescent="0.35">
      <c r="A2674" s="63">
        <f t="shared" si="83"/>
        <v>2673</v>
      </c>
      <c r="B2674" s="54" t="s">
        <v>6201</v>
      </c>
      <c r="C2674" s="55" t="s">
        <v>6202</v>
      </c>
      <c r="D2674" s="54" t="s">
        <v>6182</v>
      </c>
      <c r="E2674" s="56">
        <v>0</v>
      </c>
      <c r="F2674" s="57" t="s">
        <v>792</v>
      </c>
      <c r="G2674" s="58">
        <v>5000</v>
      </c>
      <c r="H2674" s="59">
        <v>5000</v>
      </c>
      <c r="I2674" s="59">
        <f t="shared" si="82"/>
        <v>0</v>
      </c>
    </row>
    <row r="2675" spans="1:9" customFormat="1" x14ac:dyDescent="0.35">
      <c r="A2675" s="63">
        <f t="shared" si="83"/>
        <v>2674</v>
      </c>
      <c r="B2675" s="54" t="s">
        <v>6203</v>
      </c>
      <c r="C2675" s="55" t="s">
        <v>6204</v>
      </c>
      <c r="D2675" s="54" t="s">
        <v>6182</v>
      </c>
      <c r="E2675" s="56">
        <v>0</v>
      </c>
      <c r="F2675" s="57" t="s">
        <v>792</v>
      </c>
      <c r="G2675" s="58">
        <v>1100</v>
      </c>
      <c r="H2675" s="59">
        <v>1100</v>
      </c>
      <c r="I2675" s="59">
        <f t="shared" si="82"/>
        <v>0</v>
      </c>
    </row>
    <row r="2676" spans="1:9" customFormat="1" x14ac:dyDescent="0.35">
      <c r="A2676" s="63">
        <f t="shared" si="83"/>
        <v>2675</v>
      </c>
      <c r="B2676" s="54" t="s">
        <v>6205</v>
      </c>
      <c r="C2676" s="55" t="s">
        <v>6206</v>
      </c>
      <c r="D2676" s="54" t="s">
        <v>6182</v>
      </c>
      <c r="E2676" s="56">
        <v>0</v>
      </c>
      <c r="F2676" s="57" t="s">
        <v>792</v>
      </c>
      <c r="G2676" s="58">
        <v>2060</v>
      </c>
      <c r="H2676" s="59">
        <v>2060</v>
      </c>
      <c r="I2676" s="59">
        <f t="shared" si="82"/>
        <v>0</v>
      </c>
    </row>
    <row r="2677" spans="1:9" customFormat="1" x14ac:dyDescent="0.35">
      <c r="A2677" s="63">
        <f t="shared" si="83"/>
        <v>2676</v>
      </c>
      <c r="B2677" s="54" t="s">
        <v>6207</v>
      </c>
      <c r="C2677" s="55" t="s">
        <v>6208</v>
      </c>
      <c r="D2677" s="54" t="s">
        <v>6182</v>
      </c>
      <c r="E2677" s="56">
        <v>0</v>
      </c>
      <c r="F2677" s="57" t="s">
        <v>792</v>
      </c>
      <c r="G2677" s="58">
        <v>0</v>
      </c>
      <c r="H2677" s="59">
        <v>150000</v>
      </c>
      <c r="I2677" s="59">
        <f t="shared" si="82"/>
        <v>0</v>
      </c>
    </row>
    <row r="2678" spans="1:9" customFormat="1" x14ac:dyDescent="0.35">
      <c r="A2678" s="63">
        <f t="shared" si="83"/>
        <v>2677</v>
      </c>
      <c r="B2678" s="54" t="s">
        <v>6209</v>
      </c>
      <c r="C2678" s="55" t="s">
        <v>6210</v>
      </c>
      <c r="D2678" s="54" t="s">
        <v>6182</v>
      </c>
      <c r="E2678" s="56">
        <v>0</v>
      </c>
      <c r="F2678" s="57" t="s">
        <v>792</v>
      </c>
      <c r="G2678" s="58">
        <v>0</v>
      </c>
      <c r="H2678" s="59">
        <v>0</v>
      </c>
      <c r="I2678" s="59">
        <f t="shared" si="82"/>
        <v>0</v>
      </c>
    </row>
    <row r="2679" spans="1:9" customFormat="1" x14ac:dyDescent="0.35">
      <c r="A2679" s="63">
        <f t="shared" si="83"/>
        <v>2678</v>
      </c>
      <c r="B2679" s="54" t="s">
        <v>6211</v>
      </c>
      <c r="C2679" s="55" t="s">
        <v>6212</v>
      </c>
      <c r="D2679" s="54" t="s">
        <v>6182</v>
      </c>
      <c r="E2679" s="56">
        <v>0</v>
      </c>
      <c r="F2679" s="57" t="s">
        <v>792</v>
      </c>
      <c r="G2679" s="58">
        <v>51249</v>
      </c>
      <c r="H2679" s="59">
        <v>93000</v>
      </c>
      <c r="I2679" s="59">
        <f t="shared" si="82"/>
        <v>0</v>
      </c>
    </row>
    <row r="2680" spans="1:9" customFormat="1" x14ac:dyDescent="0.35">
      <c r="A2680" s="63">
        <f t="shared" si="83"/>
        <v>2679</v>
      </c>
      <c r="B2680" s="54" t="s">
        <v>6213</v>
      </c>
      <c r="C2680" s="55" t="s">
        <v>6214</v>
      </c>
      <c r="D2680" s="54" t="s">
        <v>6182</v>
      </c>
      <c r="E2680" s="56">
        <v>0</v>
      </c>
      <c r="F2680" s="57" t="s">
        <v>792</v>
      </c>
      <c r="G2680" s="58">
        <v>0</v>
      </c>
      <c r="H2680" s="59">
        <v>0</v>
      </c>
      <c r="I2680" s="59">
        <f t="shared" si="82"/>
        <v>0</v>
      </c>
    </row>
    <row r="2681" spans="1:9" customFormat="1" x14ac:dyDescent="0.35">
      <c r="A2681" s="63">
        <f t="shared" si="83"/>
        <v>2680</v>
      </c>
      <c r="B2681" s="54" t="s">
        <v>6215</v>
      </c>
      <c r="C2681" s="55" t="s">
        <v>6216</v>
      </c>
      <c r="D2681" s="54" t="s">
        <v>6182</v>
      </c>
      <c r="E2681" s="56">
        <v>0</v>
      </c>
      <c r="F2681" s="57" t="s">
        <v>1638</v>
      </c>
      <c r="G2681" s="58">
        <v>20000</v>
      </c>
      <c r="H2681" s="59">
        <v>30000</v>
      </c>
      <c r="I2681" s="59">
        <f t="shared" si="82"/>
        <v>0</v>
      </c>
    </row>
    <row r="2682" spans="1:9" customFormat="1" x14ac:dyDescent="0.35">
      <c r="A2682" s="63">
        <f t="shared" si="83"/>
        <v>2681</v>
      </c>
      <c r="B2682" s="54" t="s">
        <v>6217</v>
      </c>
      <c r="C2682" s="55" t="s">
        <v>6218</v>
      </c>
      <c r="D2682" s="54" t="s">
        <v>6182</v>
      </c>
      <c r="E2682" s="56">
        <v>0</v>
      </c>
      <c r="F2682" s="57" t="s">
        <v>994</v>
      </c>
      <c r="G2682" s="58">
        <v>30000</v>
      </c>
      <c r="H2682" s="59">
        <v>30000</v>
      </c>
      <c r="I2682" s="59">
        <f t="shared" si="82"/>
        <v>0</v>
      </c>
    </row>
    <row r="2683" spans="1:9" customFormat="1" x14ac:dyDescent="0.35">
      <c r="A2683" s="63">
        <f t="shared" si="83"/>
        <v>2682</v>
      </c>
      <c r="B2683" s="54" t="s">
        <v>6219</v>
      </c>
      <c r="C2683" s="55" t="s">
        <v>6220</v>
      </c>
      <c r="D2683" s="54" t="s">
        <v>6182</v>
      </c>
      <c r="E2683" s="56">
        <v>0</v>
      </c>
      <c r="F2683" s="57" t="s">
        <v>792</v>
      </c>
      <c r="G2683" s="58">
        <v>66540</v>
      </c>
      <c r="H2683" s="59">
        <v>68000</v>
      </c>
      <c r="I2683" s="59">
        <f t="shared" si="82"/>
        <v>0</v>
      </c>
    </row>
    <row r="2684" spans="1:9" customFormat="1" x14ac:dyDescent="0.35">
      <c r="A2684" s="63">
        <f t="shared" si="83"/>
        <v>2683</v>
      </c>
      <c r="B2684" s="54" t="s">
        <v>6221</v>
      </c>
      <c r="C2684" s="55" t="s">
        <v>6222</v>
      </c>
      <c r="D2684" s="54" t="s">
        <v>6182</v>
      </c>
      <c r="E2684" s="56">
        <v>0</v>
      </c>
      <c r="F2684" s="57" t="s">
        <v>792</v>
      </c>
      <c r="G2684" s="58">
        <v>258856.5</v>
      </c>
      <c r="H2684" s="59">
        <v>258856.5</v>
      </c>
      <c r="I2684" s="59">
        <f t="shared" si="82"/>
        <v>0</v>
      </c>
    </row>
    <row r="2685" spans="1:9" customFormat="1" x14ac:dyDescent="0.35">
      <c r="A2685" s="63">
        <f t="shared" si="83"/>
        <v>2684</v>
      </c>
      <c r="B2685" s="54" t="s">
        <v>6223</v>
      </c>
      <c r="C2685" s="55" t="s">
        <v>6224</v>
      </c>
      <c r="D2685" s="54" t="s">
        <v>6182</v>
      </c>
      <c r="E2685" s="56">
        <v>0</v>
      </c>
      <c r="F2685" s="57" t="s">
        <v>792</v>
      </c>
      <c r="G2685" s="58">
        <v>54000</v>
      </c>
      <c r="H2685" s="59">
        <v>54000</v>
      </c>
      <c r="I2685" s="59">
        <f t="shared" si="82"/>
        <v>0</v>
      </c>
    </row>
    <row r="2686" spans="1:9" customFormat="1" x14ac:dyDescent="0.35">
      <c r="A2686" s="63">
        <f t="shared" si="83"/>
        <v>2685</v>
      </c>
      <c r="B2686" s="54" t="s">
        <v>6225</v>
      </c>
      <c r="C2686" s="55" t="s">
        <v>6226</v>
      </c>
      <c r="D2686" s="54" t="s">
        <v>6182</v>
      </c>
      <c r="E2686" s="56">
        <v>0</v>
      </c>
      <c r="F2686" s="57" t="s">
        <v>792</v>
      </c>
      <c r="G2686" s="58">
        <v>4000</v>
      </c>
      <c r="H2686" s="59">
        <v>4000</v>
      </c>
      <c r="I2686" s="59">
        <f t="shared" si="82"/>
        <v>0</v>
      </c>
    </row>
    <row r="2687" spans="1:9" customFormat="1" x14ac:dyDescent="0.35">
      <c r="A2687" s="63">
        <f t="shared" si="83"/>
        <v>2686</v>
      </c>
      <c r="B2687" s="54" t="s">
        <v>6227</v>
      </c>
      <c r="C2687" s="55" t="s">
        <v>6228</v>
      </c>
      <c r="D2687" s="54" t="s">
        <v>6182</v>
      </c>
      <c r="E2687" s="56">
        <v>0</v>
      </c>
      <c r="F2687" s="57" t="s">
        <v>792</v>
      </c>
      <c r="G2687" s="58">
        <v>49500</v>
      </c>
      <c r="H2687" s="59">
        <v>49000</v>
      </c>
      <c r="I2687" s="59">
        <f t="shared" si="82"/>
        <v>0</v>
      </c>
    </row>
    <row r="2688" spans="1:9" customFormat="1" x14ac:dyDescent="0.35">
      <c r="A2688" s="63">
        <f t="shared" si="83"/>
        <v>2687</v>
      </c>
      <c r="B2688" s="54" t="s">
        <v>6229</v>
      </c>
      <c r="C2688" s="55" t="s">
        <v>6230</v>
      </c>
      <c r="D2688" s="54" t="s">
        <v>6182</v>
      </c>
      <c r="E2688" s="56">
        <v>0</v>
      </c>
      <c r="F2688" s="57" t="s">
        <v>792</v>
      </c>
      <c r="G2688" s="58">
        <v>0</v>
      </c>
      <c r="H2688" s="59">
        <v>592920</v>
      </c>
      <c r="I2688" s="59">
        <f t="shared" si="82"/>
        <v>0</v>
      </c>
    </row>
    <row r="2689" spans="1:9" customFormat="1" x14ac:dyDescent="0.35">
      <c r="A2689" s="63">
        <f t="shared" si="83"/>
        <v>2688</v>
      </c>
      <c r="B2689" s="54" t="s">
        <v>6231</v>
      </c>
      <c r="C2689" s="55" t="s">
        <v>6232</v>
      </c>
      <c r="D2689" s="54" t="s">
        <v>6182</v>
      </c>
      <c r="E2689" s="56">
        <v>0</v>
      </c>
      <c r="F2689" s="57" t="s">
        <v>792</v>
      </c>
      <c r="G2689" s="58">
        <v>0</v>
      </c>
      <c r="H2689" s="59">
        <v>0</v>
      </c>
      <c r="I2689" s="59">
        <f t="shared" si="82"/>
        <v>0</v>
      </c>
    </row>
    <row r="2690" spans="1:9" customFormat="1" x14ac:dyDescent="0.35">
      <c r="A2690" s="63">
        <f t="shared" si="83"/>
        <v>2689</v>
      </c>
      <c r="B2690" s="54" t="s">
        <v>6233</v>
      </c>
      <c r="C2690" s="55" t="s">
        <v>6234</v>
      </c>
      <c r="D2690" s="54" t="s">
        <v>6182</v>
      </c>
      <c r="E2690" s="56">
        <v>0</v>
      </c>
      <c r="F2690" s="57" t="s">
        <v>815</v>
      </c>
      <c r="G2690" s="58">
        <v>268800</v>
      </c>
      <c r="H2690" s="59">
        <v>0</v>
      </c>
      <c r="I2690" s="59">
        <f t="shared" si="82"/>
        <v>0</v>
      </c>
    </row>
    <row r="2691" spans="1:9" customFormat="1" x14ac:dyDescent="0.35">
      <c r="A2691" s="63">
        <f t="shared" si="83"/>
        <v>2690</v>
      </c>
      <c r="B2691" s="54" t="s">
        <v>6235</v>
      </c>
      <c r="C2691" s="55" t="s">
        <v>6236</v>
      </c>
      <c r="D2691" s="54" t="s">
        <v>6182</v>
      </c>
      <c r="E2691" s="56">
        <v>0</v>
      </c>
      <c r="F2691" s="57" t="s">
        <v>792</v>
      </c>
      <c r="G2691" s="58">
        <v>0</v>
      </c>
      <c r="H2691" s="59">
        <v>0</v>
      </c>
      <c r="I2691" s="59">
        <f t="shared" ref="I2691:I2754" si="84">H2691*E2691</f>
        <v>0</v>
      </c>
    </row>
    <row r="2692" spans="1:9" customFormat="1" ht="23" x14ac:dyDescent="0.35">
      <c r="A2692" s="63">
        <f t="shared" ref="A2692:A2755" si="85">A2691+1</f>
        <v>2691</v>
      </c>
      <c r="B2692" s="54" t="s">
        <v>6237</v>
      </c>
      <c r="C2692" s="55" t="s">
        <v>6238</v>
      </c>
      <c r="D2692" s="54" t="s">
        <v>6182</v>
      </c>
      <c r="E2692" s="56">
        <v>0</v>
      </c>
      <c r="F2692" s="57" t="s">
        <v>792</v>
      </c>
      <c r="G2692" s="58">
        <v>322900</v>
      </c>
      <c r="H2692" s="59">
        <v>975000</v>
      </c>
      <c r="I2692" s="59">
        <f t="shared" si="84"/>
        <v>0</v>
      </c>
    </row>
    <row r="2693" spans="1:9" customFormat="1" x14ac:dyDescent="0.35">
      <c r="A2693" s="63">
        <f t="shared" si="85"/>
        <v>2692</v>
      </c>
      <c r="B2693" s="54" t="s">
        <v>6239</v>
      </c>
      <c r="C2693" s="55" t="s">
        <v>6240</v>
      </c>
      <c r="D2693" s="54" t="s">
        <v>6182</v>
      </c>
      <c r="E2693" s="56">
        <v>0</v>
      </c>
      <c r="F2693" s="57" t="s">
        <v>792</v>
      </c>
      <c r="G2693" s="58">
        <v>99900</v>
      </c>
      <c r="H2693" s="59">
        <v>375000</v>
      </c>
      <c r="I2693" s="59">
        <f t="shared" si="84"/>
        <v>0</v>
      </c>
    </row>
    <row r="2694" spans="1:9" customFormat="1" x14ac:dyDescent="0.35">
      <c r="A2694" s="63">
        <f t="shared" si="85"/>
        <v>2693</v>
      </c>
      <c r="B2694" s="54" t="s">
        <v>6241</v>
      </c>
      <c r="C2694" s="55" t="s">
        <v>6242</v>
      </c>
      <c r="D2694" s="54" t="s">
        <v>6182</v>
      </c>
      <c r="E2694" s="56">
        <v>0</v>
      </c>
      <c r="F2694" s="57" t="s">
        <v>878</v>
      </c>
      <c r="G2694" s="58">
        <v>370000</v>
      </c>
      <c r="H2694" s="59">
        <v>370000</v>
      </c>
      <c r="I2694" s="59">
        <f t="shared" si="84"/>
        <v>0</v>
      </c>
    </row>
    <row r="2695" spans="1:9" customFormat="1" x14ac:dyDescent="0.35">
      <c r="A2695" s="63">
        <f t="shared" si="85"/>
        <v>2694</v>
      </c>
      <c r="B2695" s="54" t="s">
        <v>6243</v>
      </c>
      <c r="C2695" s="55" t="s">
        <v>6244</v>
      </c>
      <c r="D2695" s="54" t="s">
        <v>6182</v>
      </c>
      <c r="E2695" s="56">
        <v>0</v>
      </c>
      <c r="F2695" s="57" t="s">
        <v>792</v>
      </c>
      <c r="G2695" s="58">
        <v>386220</v>
      </c>
      <c r="H2695" s="59">
        <v>417117</v>
      </c>
      <c r="I2695" s="59">
        <f t="shared" si="84"/>
        <v>0</v>
      </c>
    </row>
    <row r="2696" spans="1:9" customFormat="1" x14ac:dyDescent="0.35">
      <c r="A2696" s="63">
        <f t="shared" si="85"/>
        <v>2695</v>
      </c>
      <c r="B2696" s="54" t="s">
        <v>6245</v>
      </c>
      <c r="C2696" s="55" t="s">
        <v>6246</v>
      </c>
      <c r="D2696" s="54" t="s">
        <v>6182</v>
      </c>
      <c r="E2696" s="56">
        <v>0</v>
      </c>
      <c r="F2696" s="57" t="s">
        <v>792</v>
      </c>
      <c r="G2696" s="58">
        <v>136380</v>
      </c>
      <c r="H2696" s="59">
        <v>147291</v>
      </c>
      <c r="I2696" s="59">
        <f t="shared" si="84"/>
        <v>0</v>
      </c>
    </row>
    <row r="2697" spans="1:9" customFormat="1" x14ac:dyDescent="0.35">
      <c r="A2697" s="63">
        <f t="shared" si="85"/>
        <v>2696</v>
      </c>
      <c r="B2697" s="54" t="s">
        <v>6247</v>
      </c>
      <c r="C2697" s="55" t="s">
        <v>6248</v>
      </c>
      <c r="D2697" s="54" t="s">
        <v>6182</v>
      </c>
      <c r="E2697" s="56">
        <v>0</v>
      </c>
      <c r="F2697" s="57" t="s">
        <v>792</v>
      </c>
      <c r="G2697" s="58">
        <v>137280</v>
      </c>
      <c r="H2697" s="59">
        <v>148263</v>
      </c>
      <c r="I2697" s="59">
        <f t="shared" si="84"/>
        <v>0</v>
      </c>
    </row>
    <row r="2698" spans="1:9" customFormat="1" x14ac:dyDescent="0.35">
      <c r="A2698" s="63">
        <f t="shared" si="85"/>
        <v>2697</v>
      </c>
      <c r="B2698" s="54" t="s">
        <v>6249</v>
      </c>
      <c r="C2698" s="55" t="s">
        <v>6250</v>
      </c>
      <c r="D2698" s="54" t="s">
        <v>6182</v>
      </c>
      <c r="E2698" s="56">
        <v>0</v>
      </c>
      <c r="F2698" s="57" t="s">
        <v>792</v>
      </c>
      <c r="G2698" s="58">
        <v>0</v>
      </c>
      <c r="H2698" s="59">
        <v>0</v>
      </c>
      <c r="I2698" s="59">
        <f t="shared" si="84"/>
        <v>0</v>
      </c>
    </row>
    <row r="2699" spans="1:9" customFormat="1" x14ac:dyDescent="0.35">
      <c r="A2699" s="63">
        <f t="shared" si="85"/>
        <v>2698</v>
      </c>
      <c r="B2699" s="54" t="s">
        <v>6251</v>
      </c>
      <c r="C2699" s="55" t="s">
        <v>6252</v>
      </c>
      <c r="D2699" s="54" t="s">
        <v>6182</v>
      </c>
      <c r="E2699" s="56">
        <v>0</v>
      </c>
      <c r="F2699" s="57" t="s">
        <v>792</v>
      </c>
      <c r="G2699" s="58">
        <v>123642</v>
      </c>
      <c r="H2699" s="59">
        <v>0</v>
      </c>
      <c r="I2699" s="59">
        <f t="shared" si="84"/>
        <v>0</v>
      </c>
    </row>
    <row r="2700" spans="1:9" customFormat="1" x14ac:dyDescent="0.35">
      <c r="A2700" s="63">
        <f t="shared" si="85"/>
        <v>2699</v>
      </c>
      <c r="B2700" s="54" t="s">
        <v>6253</v>
      </c>
      <c r="C2700" s="55" t="s">
        <v>6254</v>
      </c>
      <c r="D2700" s="54" t="s">
        <v>6182</v>
      </c>
      <c r="E2700" s="56">
        <v>0</v>
      </c>
      <c r="F2700" s="57" t="s">
        <v>792</v>
      </c>
      <c r="G2700" s="58">
        <v>44300</v>
      </c>
      <c r="H2700" s="59">
        <v>44300</v>
      </c>
      <c r="I2700" s="59">
        <f t="shared" si="84"/>
        <v>0</v>
      </c>
    </row>
    <row r="2701" spans="1:9" customFormat="1" x14ac:dyDescent="0.35">
      <c r="A2701" s="63">
        <f t="shared" si="85"/>
        <v>2700</v>
      </c>
      <c r="B2701" s="54" t="s">
        <v>6255</v>
      </c>
      <c r="C2701" s="55" t="s">
        <v>6256</v>
      </c>
      <c r="D2701" s="54" t="s">
        <v>6182</v>
      </c>
      <c r="E2701" s="56">
        <v>0</v>
      </c>
      <c r="F2701" s="57" t="s">
        <v>815</v>
      </c>
      <c r="G2701" s="58">
        <v>0</v>
      </c>
      <c r="H2701" s="59">
        <v>504000</v>
      </c>
      <c r="I2701" s="59">
        <f t="shared" si="84"/>
        <v>0</v>
      </c>
    </row>
    <row r="2702" spans="1:9" customFormat="1" x14ac:dyDescent="0.35">
      <c r="A2702" s="63">
        <f t="shared" si="85"/>
        <v>2701</v>
      </c>
      <c r="B2702" s="54" t="s">
        <v>6257</v>
      </c>
      <c r="C2702" s="55" t="s">
        <v>6258</v>
      </c>
      <c r="D2702" s="54" t="s">
        <v>6182</v>
      </c>
      <c r="E2702" s="56">
        <v>0</v>
      </c>
      <c r="F2702" s="57" t="s">
        <v>792</v>
      </c>
      <c r="G2702" s="58">
        <v>95700</v>
      </c>
      <c r="H2702" s="59">
        <v>95700</v>
      </c>
      <c r="I2702" s="59">
        <f t="shared" si="84"/>
        <v>0</v>
      </c>
    </row>
    <row r="2703" spans="1:9" customFormat="1" x14ac:dyDescent="0.35">
      <c r="A2703" s="63">
        <f t="shared" si="85"/>
        <v>2702</v>
      </c>
      <c r="B2703" s="54" t="s">
        <v>6259</v>
      </c>
      <c r="C2703" s="55" t="s">
        <v>6260</v>
      </c>
      <c r="D2703" s="54" t="s">
        <v>6182</v>
      </c>
      <c r="E2703" s="56">
        <v>0</v>
      </c>
      <c r="F2703" s="57" t="s">
        <v>792</v>
      </c>
      <c r="G2703" s="58">
        <v>86300</v>
      </c>
      <c r="H2703" s="59">
        <v>86300</v>
      </c>
      <c r="I2703" s="59">
        <f t="shared" si="84"/>
        <v>0</v>
      </c>
    </row>
    <row r="2704" spans="1:9" customFormat="1" x14ac:dyDescent="0.35">
      <c r="A2704" s="63">
        <f t="shared" si="85"/>
        <v>2703</v>
      </c>
      <c r="B2704" s="54" t="s">
        <v>6261</v>
      </c>
      <c r="C2704" s="55" t="s">
        <v>6262</v>
      </c>
      <c r="D2704" s="54" t="s">
        <v>6182</v>
      </c>
      <c r="E2704" s="56">
        <v>0</v>
      </c>
      <c r="F2704" s="57" t="s">
        <v>792</v>
      </c>
      <c r="G2704" s="58">
        <v>76100</v>
      </c>
      <c r="H2704" s="59">
        <v>76100</v>
      </c>
      <c r="I2704" s="59">
        <f t="shared" si="84"/>
        <v>0</v>
      </c>
    </row>
    <row r="2705" spans="1:9" customFormat="1" x14ac:dyDescent="0.35">
      <c r="A2705" s="63">
        <f t="shared" si="85"/>
        <v>2704</v>
      </c>
      <c r="B2705" s="54" t="s">
        <v>6263</v>
      </c>
      <c r="C2705" s="55" t="s">
        <v>6264</v>
      </c>
      <c r="D2705" s="54" t="s">
        <v>6182</v>
      </c>
      <c r="E2705" s="56">
        <v>0</v>
      </c>
      <c r="F2705" s="57" t="s">
        <v>792</v>
      </c>
      <c r="G2705" s="58">
        <v>76100</v>
      </c>
      <c r="H2705" s="59">
        <v>76100</v>
      </c>
      <c r="I2705" s="59">
        <f t="shared" si="84"/>
        <v>0</v>
      </c>
    </row>
    <row r="2706" spans="1:9" customFormat="1" x14ac:dyDescent="0.35">
      <c r="A2706" s="63">
        <f t="shared" si="85"/>
        <v>2705</v>
      </c>
      <c r="B2706" s="54" t="s">
        <v>6265</v>
      </c>
      <c r="C2706" s="55" t="s">
        <v>6266</v>
      </c>
      <c r="D2706" s="54" t="s">
        <v>6182</v>
      </c>
      <c r="E2706" s="56">
        <v>0</v>
      </c>
      <c r="F2706" s="57" t="s">
        <v>792</v>
      </c>
      <c r="G2706" s="58">
        <v>56300</v>
      </c>
      <c r="H2706" s="59">
        <v>56300</v>
      </c>
      <c r="I2706" s="59">
        <f t="shared" si="84"/>
        <v>0</v>
      </c>
    </row>
    <row r="2707" spans="1:9" customFormat="1" x14ac:dyDescent="0.35">
      <c r="A2707" s="63">
        <f t="shared" si="85"/>
        <v>2706</v>
      </c>
      <c r="B2707" s="54" t="s">
        <v>6267</v>
      </c>
      <c r="C2707" s="55" t="s">
        <v>6268</v>
      </c>
      <c r="D2707" s="54" t="s">
        <v>6182</v>
      </c>
      <c r="E2707" s="56">
        <v>0</v>
      </c>
      <c r="F2707" s="57" t="s">
        <v>844</v>
      </c>
      <c r="G2707" s="58">
        <v>103000</v>
      </c>
      <c r="H2707" s="59">
        <v>172500</v>
      </c>
      <c r="I2707" s="59">
        <f t="shared" si="84"/>
        <v>0</v>
      </c>
    </row>
    <row r="2708" spans="1:9" customFormat="1" x14ac:dyDescent="0.35">
      <c r="A2708" s="63">
        <f t="shared" si="85"/>
        <v>2707</v>
      </c>
      <c r="B2708" s="54" t="s">
        <v>6269</v>
      </c>
      <c r="C2708" s="55" t="s">
        <v>6270</v>
      </c>
      <c r="D2708" s="54" t="s">
        <v>6182</v>
      </c>
      <c r="E2708" s="56">
        <v>0</v>
      </c>
      <c r="F2708" s="57" t="s">
        <v>815</v>
      </c>
      <c r="G2708" s="58">
        <v>372480</v>
      </c>
      <c r="H2708" s="59">
        <v>0</v>
      </c>
      <c r="I2708" s="59">
        <f t="shared" si="84"/>
        <v>0</v>
      </c>
    </row>
    <row r="2709" spans="1:9" customFormat="1" x14ac:dyDescent="0.35">
      <c r="A2709" s="63">
        <f t="shared" si="85"/>
        <v>2708</v>
      </c>
      <c r="B2709" s="54" t="s">
        <v>6271</v>
      </c>
      <c r="C2709" s="55" t="s">
        <v>6272</v>
      </c>
      <c r="D2709" s="54" t="s">
        <v>6182</v>
      </c>
      <c r="E2709" s="56">
        <v>0</v>
      </c>
      <c r="F2709" s="57" t="s">
        <v>792</v>
      </c>
      <c r="G2709" s="58">
        <v>0</v>
      </c>
      <c r="H2709" s="59">
        <v>0</v>
      </c>
      <c r="I2709" s="59">
        <f t="shared" si="84"/>
        <v>0</v>
      </c>
    </row>
    <row r="2710" spans="1:9" customFormat="1" x14ac:dyDescent="0.35">
      <c r="A2710" s="63">
        <f t="shared" si="85"/>
        <v>2709</v>
      </c>
      <c r="B2710" s="54" t="s">
        <v>6273</v>
      </c>
      <c r="C2710" s="55" t="s">
        <v>6274</v>
      </c>
      <c r="D2710" s="54" t="s">
        <v>6182</v>
      </c>
      <c r="E2710" s="56">
        <v>0</v>
      </c>
      <c r="F2710" s="57" t="s">
        <v>792</v>
      </c>
      <c r="G2710" s="58">
        <v>0</v>
      </c>
      <c r="H2710" s="59">
        <v>0</v>
      </c>
      <c r="I2710" s="59">
        <f t="shared" si="84"/>
        <v>0</v>
      </c>
    </row>
    <row r="2711" spans="1:9" customFormat="1" ht="23" x14ac:dyDescent="0.35">
      <c r="A2711" s="63">
        <f t="shared" si="85"/>
        <v>2710</v>
      </c>
      <c r="B2711" s="54" t="s">
        <v>6275</v>
      </c>
      <c r="C2711" s="55" t="s">
        <v>6276</v>
      </c>
      <c r="D2711" s="54" t="s">
        <v>6182</v>
      </c>
      <c r="E2711" s="56">
        <v>0</v>
      </c>
      <c r="F2711" s="57" t="s">
        <v>792</v>
      </c>
      <c r="G2711" s="58">
        <v>88000</v>
      </c>
      <c r="H2711" s="59">
        <v>88000</v>
      </c>
      <c r="I2711" s="59">
        <f t="shared" si="84"/>
        <v>0</v>
      </c>
    </row>
    <row r="2712" spans="1:9" customFormat="1" x14ac:dyDescent="0.35">
      <c r="A2712" s="63">
        <f t="shared" si="85"/>
        <v>2711</v>
      </c>
      <c r="B2712" s="54" t="s">
        <v>6277</v>
      </c>
      <c r="C2712" s="55" t="s">
        <v>6278</v>
      </c>
      <c r="D2712" s="54" t="s">
        <v>6182</v>
      </c>
      <c r="E2712" s="56">
        <v>0</v>
      </c>
      <c r="F2712" s="57" t="s">
        <v>792</v>
      </c>
      <c r="G2712" s="58">
        <v>52000</v>
      </c>
      <c r="H2712" s="59">
        <v>0</v>
      </c>
      <c r="I2712" s="59">
        <f t="shared" si="84"/>
        <v>0</v>
      </c>
    </row>
    <row r="2713" spans="1:9" customFormat="1" ht="23" x14ac:dyDescent="0.35">
      <c r="A2713" s="63">
        <f t="shared" si="85"/>
        <v>2712</v>
      </c>
      <c r="B2713" s="54" t="s">
        <v>6279</v>
      </c>
      <c r="C2713" s="55" t="s">
        <v>6280</v>
      </c>
      <c r="D2713" s="54" t="s">
        <v>6182</v>
      </c>
      <c r="E2713" s="56">
        <v>0</v>
      </c>
      <c r="F2713" s="57" t="s">
        <v>878</v>
      </c>
      <c r="G2713" s="58">
        <v>475000</v>
      </c>
      <c r="H2713" s="59">
        <v>475000</v>
      </c>
      <c r="I2713" s="59">
        <f t="shared" si="84"/>
        <v>0</v>
      </c>
    </row>
    <row r="2714" spans="1:9" customFormat="1" x14ac:dyDescent="0.35">
      <c r="A2714" s="63">
        <f t="shared" si="85"/>
        <v>2713</v>
      </c>
      <c r="B2714" s="54" t="s">
        <v>6281</v>
      </c>
      <c r="C2714" s="55" t="s">
        <v>6282</v>
      </c>
      <c r="D2714" s="54" t="s">
        <v>6182</v>
      </c>
      <c r="E2714" s="56">
        <v>0</v>
      </c>
      <c r="F2714" s="57" t="s">
        <v>878</v>
      </c>
      <c r="G2714" s="58">
        <v>170000</v>
      </c>
      <c r="H2714" s="59">
        <v>170000</v>
      </c>
      <c r="I2714" s="59">
        <f t="shared" si="84"/>
        <v>0</v>
      </c>
    </row>
    <row r="2715" spans="1:9" customFormat="1" x14ac:dyDescent="0.35">
      <c r="A2715" s="63">
        <f t="shared" si="85"/>
        <v>2714</v>
      </c>
      <c r="B2715" s="54" t="s">
        <v>6283</v>
      </c>
      <c r="C2715" s="55" t="s">
        <v>6284</v>
      </c>
      <c r="D2715" s="54" t="s">
        <v>6182</v>
      </c>
      <c r="E2715" s="56">
        <v>0</v>
      </c>
      <c r="F2715" s="57" t="s">
        <v>792</v>
      </c>
      <c r="G2715" s="58">
        <v>0</v>
      </c>
      <c r="H2715" s="59">
        <v>0</v>
      </c>
      <c r="I2715" s="59">
        <f t="shared" si="84"/>
        <v>0</v>
      </c>
    </row>
    <row r="2716" spans="1:9" customFormat="1" ht="23" x14ac:dyDescent="0.35">
      <c r="A2716" s="63">
        <f t="shared" si="85"/>
        <v>2715</v>
      </c>
      <c r="B2716" s="54" t="s">
        <v>6285</v>
      </c>
      <c r="C2716" s="55" t="s">
        <v>6286</v>
      </c>
      <c r="D2716" s="54" t="s">
        <v>6182</v>
      </c>
      <c r="E2716" s="56">
        <v>0</v>
      </c>
      <c r="F2716" s="57" t="s">
        <v>792</v>
      </c>
      <c r="G2716" s="58">
        <v>170000</v>
      </c>
      <c r="H2716" s="59">
        <v>170000</v>
      </c>
      <c r="I2716" s="59">
        <f t="shared" si="84"/>
        <v>0</v>
      </c>
    </row>
    <row r="2717" spans="1:9" customFormat="1" ht="23" x14ac:dyDescent="0.35">
      <c r="A2717" s="63">
        <f t="shared" si="85"/>
        <v>2716</v>
      </c>
      <c r="B2717" s="54" t="s">
        <v>6287</v>
      </c>
      <c r="C2717" s="55" t="s">
        <v>6288</v>
      </c>
      <c r="D2717" s="54" t="s">
        <v>6182</v>
      </c>
      <c r="E2717" s="56">
        <v>0</v>
      </c>
      <c r="F2717" s="57" t="s">
        <v>792</v>
      </c>
      <c r="G2717" s="58">
        <v>0</v>
      </c>
      <c r="H2717" s="59">
        <v>225000</v>
      </c>
      <c r="I2717" s="59">
        <f t="shared" si="84"/>
        <v>0</v>
      </c>
    </row>
    <row r="2718" spans="1:9" customFormat="1" x14ac:dyDescent="0.35">
      <c r="A2718" s="63">
        <f t="shared" si="85"/>
        <v>2717</v>
      </c>
      <c r="B2718" s="54" t="s">
        <v>6289</v>
      </c>
      <c r="C2718" s="55" t="s">
        <v>6290</v>
      </c>
      <c r="D2718" s="54" t="s">
        <v>6182</v>
      </c>
      <c r="E2718" s="56">
        <v>0</v>
      </c>
      <c r="F2718" s="57" t="s">
        <v>792</v>
      </c>
      <c r="G2718" s="58">
        <v>9000</v>
      </c>
      <c r="H2718" s="59">
        <v>13500</v>
      </c>
      <c r="I2718" s="59">
        <f t="shared" si="84"/>
        <v>0</v>
      </c>
    </row>
    <row r="2719" spans="1:9" customFormat="1" x14ac:dyDescent="0.35">
      <c r="A2719" s="63">
        <f t="shared" si="85"/>
        <v>2718</v>
      </c>
      <c r="B2719" s="54" t="s">
        <v>6291</v>
      </c>
      <c r="C2719" s="55" t="s">
        <v>6292</v>
      </c>
      <c r="D2719" s="54" t="s">
        <v>6182</v>
      </c>
      <c r="E2719" s="56">
        <v>0</v>
      </c>
      <c r="F2719" s="57" t="s">
        <v>792</v>
      </c>
      <c r="G2719" s="58">
        <v>465740</v>
      </c>
      <c r="H2719" s="59">
        <v>503000</v>
      </c>
      <c r="I2719" s="59">
        <f t="shared" si="84"/>
        <v>0</v>
      </c>
    </row>
    <row r="2720" spans="1:9" customFormat="1" x14ac:dyDescent="0.35">
      <c r="A2720" s="63">
        <f t="shared" si="85"/>
        <v>2719</v>
      </c>
      <c r="B2720" s="54" t="s">
        <v>6293</v>
      </c>
      <c r="C2720" s="55" t="s">
        <v>6294</v>
      </c>
      <c r="D2720" s="54" t="s">
        <v>6182</v>
      </c>
      <c r="E2720" s="56">
        <v>0</v>
      </c>
      <c r="F2720" s="57" t="s">
        <v>792</v>
      </c>
      <c r="G2720" s="58">
        <v>34460</v>
      </c>
      <c r="H2720" s="59">
        <v>37217</v>
      </c>
      <c r="I2720" s="59">
        <f t="shared" si="84"/>
        <v>0</v>
      </c>
    </row>
    <row r="2721" spans="1:9" customFormat="1" x14ac:dyDescent="0.35">
      <c r="A2721" s="63">
        <f t="shared" si="85"/>
        <v>2720</v>
      </c>
      <c r="B2721" s="54" t="s">
        <v>6295</v>
      </c>
      <c r="C2721" s="55" t="s">
        <v>6296</v>
      </c>
      <c r="D2721" s="54" t="s">
        <v>6182</v>
      </c>
      <c r="E2721" s="56">
        <v>0</v>
      </c>
      <c r="F2721" s="57" t="s">
        <v>792</v>
      </c>
      <c r="G2721" s="58">
        <v>36500</v>
      </c>
      <c r="H2721" s="59">
        <v>39420</v>
      </c>
      <c r="I2721" s="59">
        <f t="shared" si="84"/>
        <v>0</v>
      </c>
    </row>
    <row r="2722" spans="1:9" customFormat="1" ht="23" x14ac:dyDescent="0.35">
      <c r="A2722" s="63">
        <f t="shared" si="85"/>
        <v>2721</v>
      </c>
      <c r="B2722" s="54" t="s">
        <v>6297</v>
      </c>
      <c r="C2722" s="55" t="s">
        <v>6298</v>
      </c>
      <c r="D2722" s="54" t="s">
        <v>6182</v>
      </c>
      <c r="E2722" s="56">
        <v>0</v>
      </c>
      <c r="F2722" s="57" t="s">
        <v>792</v>
      </c>
      <c r="G2722" s="58">
        <v>321000</v>
      </c>
      <c r="H2722" s="59">
        <v>321000</v>
      </c>
      <c r="I2722" s="59">
        <f t="shared" si="84"/>
        <v>0</v>
      </c>
    </row>
    <row r="2723" spans="1:9" customFormat="1" x14ac:dyDescent="0.35">
      <c r="A2723" s="63">
        <f t="shared" si="85"/>
        <v>2722</v>
      </c>
      <c r="B2723" s="54" t="s">
        <v>6299</v>
      </c>
      <c r="C2723" s="55" t="s">
        <v>6300</v>
      </c>
      <c r="D2723" s="54" t="s">
        <v>6182</v>
      </c>
      <c r="E2723" s="56">
        <v>0</v>
      </c>
      <c r="F2723" s="57" t="s">
        <v>792</v>
      </c>
      <c r="G2723" s="58">
        <v>140541</v>
      </c>
      <c r="H2723" s="59">
        <v>140541</v>
      </c>
      <c r="I2723" s="59">
        <f t="shared" si="84"/>
        <v>0</v>
      </c>
    </row>
    <row r="2724" spans="1:9" customFormat="1" x14ac:dyDescent="0.35">
      <c r="A2724" s="63">
        <f t="shared" si="85"/>
        <v>2723</v>
      </c>
      <c r="B2724" s="54" t="s">
        <v>6301</v>
      </c>
      <c r="C2724" s="55" t="s">
        <v>6302</v>
      </c>
      <c r="D2724" s="54" t="s">
        <v>6182</v>
      </c>
      <c r="E2724" s="56">
        <v>0</v>
      </c>
      <c r="F2724" s="57" t="s">
        <v>878</v>
      </c>
      <c r="G2724" s="58">
        <v>261499</v>
      </c>
      <c r="H2724" s="59">
        <v>261499</v>
      </c>
      <c r="I2724" s="59">
        <f t="shared" si="84"/>
        <v>0</v>
      </c>
    </row>
    <row r="2725" spans="1:9" customFormat="1" ht="23" x14ac:dyDescent="0.35">
      <c r="A2725" s="63">
        <f t="shared" si="85"/>
        <v>2724</v>
      </c>
      <c r="B2725" s="54" t="s">
        <v>6303</v>
      </c>
      <c r="C2725" s="55" t="s">
        <v>6304</v>
      </c>
      <c r="D2725" s="54" t="s">
        <v>6182</v>
      </c>
      <c r="E2725" s="56">
        <v>0</v>
      </c>
      <c r="F2725" s="57" t="s">
        <v>792</v>
      </c>
      <c r="G2725" s="58">
        <v>1554055</v>
      </c>
      <c r="H2725" s="59">
        <v>1745000</v>
      </c>
      <c r="I2725" s="59">
        <f t="shared" si="84"/>
        <v>0</v>
      </c>
    </row>
    <row r="2726" spans="1:9" customFormat="1" x14ac:dyDescent="0.35">
      <c r="A2726" s="63">
        <f t="shared" si="85"/>
        <v>2725</v>
      </c>
      <c r="B2726" s="54" t="s">
        <v>6305</v>
      </c>
      <c r="C2726" s="55" t="s">
        <v>6306</v>
      </c>
      <c r="D2726" s="54" t="s">
        <v>6182</v>
      </c>
      <c r="E2726" s="56">
        <v>0</v>
      </c>
      <c r="F2726" s="57" t="s">
        <v>878</v>
      </c>
      <c r="G2726" s="58">
        <v>752529.74</v>
      </c>
      <c r="H2726" s="59">
        <v>0</v>
      </c>
      <c r="I2726" s="59">
        <f t="shared" si="84"/>
        <v>0</v>
      </c>
    </row>
    <row r="2727" spans="1:9" customFormat="1" x14ac:dyDescent="0.35">
      <c r="A2727" s="63">
        <f t="shared" si="85"/>
        <v>2726</v>
      </c>
      <c r="B2727" s="54" t="s">
        <v>6307</v>
      </c>
      <c r="C2727" s="55" t="s">
        <v>6308</v>
      </c>
      <c r="D2727" s="54" t="s">
        <v>6182</v>
      </c>
      <c r="E2727" s="56">
        <v>0</v>
      </c>
      <c r="F2727" s="57" t="s">
        <v>792</v>
      </c>
      <c r="G2727" s="58">
        <v>0</v>
      </c>
      <c r="H2727" s="59">
        <v>11250</v>
      </c>
      <c r="I2727" s="59">
        <f t="shared" si="84"/>
        <v>0</v>
      </c>
    </row>
    <row r="2728" spans="1:9" customFormat="1" x14ac:dyDescent="0.35">
      <c r="A2728" s="63">
        <f t="shared" si="85"/>
        <v>2727</v>
      </c>
      <c r="B2728" s="54" t="s">
        <v>6309</v>
      </c>
      <c r="C2728" s="55" t="s">
        <v>6310</v>
      </c>
      <c r="D2728" s="54" t="s">
        <v>6182</v>
      </c>
      <c r="E2728" s="56">
        <v>0</v>
      </c>
      <c r="F2728" s="57" t="s">
        <v>792</v>
      </c>
      <c r="G2728" s="58">
        <v>168750</v>
      </c>
      <c r="H2728" s="59">
        <v>168750</v>
      </c>
      <c r="I2728" s="59">
        <f t="shared" si="84"/>
        <v>0</v>
      </c>
    </row>
    <row r="2729" spans="1:9" customFormat="1" ht="23" x14ac:dyDescent="0.35">
      <c r="A2729" s="63">
        <f t="shared" si="85"/>
        <v>2728</v>
      </c>
      <c r="B2729" s="54" t="s">
        <v>6311</v>
      </c>
      <c r="C2729" s="55" t="s">
        <v>6312</v>
      </c>
      <c r="D2729" s="54" t="s">
        <v>6182</v>
      </c>
      <c r="E2729" s="56">
        <v>0</v>
      </c>
      <c r="F2729" s="57" t="s">
        <v>792</v>
      </c>
      <c r="G2729" s="58">
        <v>0</v>
      </c>
      <c r="H2729" s="59">
        <v>0</v>
      </c>
      <c r="I2729" s="59">
        <f t="shared" si="84"/>
        <v>0</v>
      </c>
    </row>
    <row r="2730" spans="1:9" customFormat="1" x14ac:dyDescent="0.35">
      <c r="A2730" s="63">
        <f t="shared" si="85"/>
        <v>2729</v>
      </c>
      <c r="B2730" s="54" t="s">
        <v>6313</v>
      </c>
      <c r="C2730" s="55" t="s">
        <v>6314</v>
      </c>
      <c r="D2730" s="54" t="s">
        <v>6182</v>
      </c>
      <c r="E2730" s="56">
        <v>0</v>
      </c>
      <c r="F2730" s="57" t="s">
        <v>792</v>
      </c>
      <c r="G2730" s="58">
        <v>0</v>
      </c>
      <c r="H2730" s="59">
        <v>0</v>
      </c>
      <c r="I2730" s="59">
        <f t="shared" si="84"/>
        <v>0</v>
      </c>
    </row>
    <row r="2731" spans="1:9" customFormat="1" x14ac:dyDescent="0.35">
      <c r="A2731" s="63">
        <f t="shared" si="85"/>
        <v>2730</v>
      </c>
      <c r="B2731" s="54" t="s">
        <v>6315</v>
      </c>
      <c r="C2731" s="55" t="s">
        <v>6316</v>
      </c>
      <c r="D2731" s="54" t="s">
        <v>6182</v>
      </c>
      <c r="E2731" s="56">
        <v>0</v>
      </c>
      <c r="F2731" s="57" t="s">
        <v>792</v>
      </c>
      <c r="G2731" s="58">
        <v>106750</v>
      </c>
      <c r="H2731" s="59">
        <v>106750</v>
      </c>
      <c r="I2731" s="59">
        <f t="shared" si="84"/>
        <v>0</v>
      </c>
    </row>
    <row r="2732" spans="1:9" customFormat="1" x14ac:dyDescent="0.35">
      <c r="A2732" s="63">
        <f t="shared" si="85"/>
        <v>2731</v>
      </c>
      <c r="B2732" s="54" t="s">
        <v>6317</v>
      </c>
      <c r="C2732" s="55" t="s">
        <v>6318</v>
      </c>
      <c r="D2732" s="54" t="s">
        <v>6182</v>
      </c>
      <c r="E2732" s="56">
        <v>0</v>
      </c>
      <c r="F2732" s="57" t="s">
        <v>792</v>
      </c>
      <c r="G2732" s="58">
        <v>0</v>
      </c>
      <c r="H2732" s="59">
        <v>0</v>
      </c>
      <c r="I2732" s="59">
        <f t="shared" si="84"/>
        <v>0</v>
      </c>
    </row>
    <row r="2733" spans="1:9" customFormat="1" x14ac:dyDescent="0.35">
      <c r="A2733" s="63">
        <f t="shared" si="85"/>
        <v>2732</v>
      </c>
      <c r="B2733" s="54" t="s">
        <v>6319</v>
      </c>
      <c r="C2733" s="55" t="s">
        <v>6320</v>
      </c>
      <c r="D2733" s="54" t="s">
        <v>6182</v>
      </c>
      <c r="E2733" s="56">
        <v>0</v>
      </c>
      <c r="F2733" s="57" t="s">
        <v>792</v>
      </c>
      <c r="G2733" s="58">
        <v>0</v>
      </c>
      <c r="H2733" s="59">
        <v>7500</v>
      </c>
      <c r="I2733" s="59">
        <f t="shared" si="84"/>
        <v>0</v>
      </c>
    </row>
    <row r="2734" spans="1:9" customFormat="1" x14ac:dyDescent="0.35">
      <c r="A2734" s="63">
        <f t="shared" si="85"/>
        <v>2733</v>
      </c>
      <c r="B2734" s="54" t="s">
        <v>6321</v>
      </c>
      <c r="C2734" s="55" t="s">
        <v>6322</v>
      </c>
      <c r="D2734" s="54" t="s">
        <v>6182</v>
      </c>
      <c r="E2734" s="56">
        <v>0</v>
      </c>
      <c r="F2734" s="57" t="s">
        <v>792</v>
      </c>
      <c r="G2734" s="58">
        <v>128000</v>
      </c>
      <c r="H2734" s="59">
        <v>126000</v>
      </c>
      <c r="I2734" s="59">
        <f t="shared" si="84"/>
        <v>0</v>
      </c>
    </row>
    <row r="2735" spans="1:9" customFormat="1" x14ac:dyDescent="0.35">
      <c r="A2735" s="63">
        <f t="shared" si="85"/>
        <v>2734</v>
      </c>
      <c r="B2735" s="54" t="s">
        <v>6323</v>
      </c>
      <c r="C2735" s="55" t="s">
        <v>6324</v>
      </c>
      <c r="D2735" s="54" t="s">
        <v>6182</v>
      </c>
      <c r="E2735" s="56">
        <v>0</v>
      </c>
      <c r="F2735" s="57" t="s">
        <v>792</v>
      </c>
      <c r="G2735" s="58">
        <v>22900</v>
      </c>
      <c r="H2735" s="59">
        <v>20900</v>
      </c>
      <c r="I2735" s="59">
        <f t="shared" si="84"/>
        <v>0</v>
      </c>
    </row>
    <row r="2736" spans="1:9" customFormat="1" x14ac:dyDescent="0.35">
      <c r="A2736" s="63">
        <f t="shared" si="85"/>
        <v>2735</v>
      </c>
      <c r="B2736" s="54" t="s">
        <v>6325</v>
      </c>
      <c r="C2736" s="55" t="s">
        <v>6326</v>
      </c>
      <c r="D2736" s="54" t="s">
        <v>6182</v>
      </c>
      <c r="E2736" s="56">
        <v>0</v>
      </c>
      <c r="F2736" s="57" t="s">
        <v>878</v>
      </c>
      <c r="G2736" s="58">
        <v>25310</v>
      </c>
      <c r="H2736" s="59">
        <v>0</v>
      </c>
      <c r="I2736" s="59">
        <f t="shared" si="84"/>
        <v>0</v>
      </c>
    </row>
    <row r="2737" spans="1:9" customFormat="1" ht="23" x14ac:dyDescent="0.35">
      <c r="A2737" s="63">
        <f t="shared" si="85"/>
        <v>2736</v>
      </c>
      <c r="B2737" s="54" t="s">
        <v>6327</v>
      </c>
      <c r="C2737" s="55" t="s">
        <v>6328</v>
      </c>
      <c r="D2737" s="54" t="s">
        <v>6182</v>
      </c>
      <c r="E2737" s="56">
        <v>0</v>
      </c>
      <c r="F2737" s="57" t="s">
        <v>792</v>
      </c>
      <c r="G2737" s="58">
        <v>93959</v>
      </c>
      <c r="H2737" s="59">
        <v>160500</v>
      </c>
      <c r="I2737" s="59">
        <f t="shared" si="84"/>
        <v>0</v>
      </c>
    </row>
    <row r="2738" spans="1:9" customFormat="1" x14ac:dyDescent="0.35">
      <c r="A2738" s="63">
        <f t="shared" si="85"/>
        <v>2737</v>
      </c>
      <c r="B2738" s="54" t="s">
        <v>6329</v>
      </c>
      <c r="C2738" s="55" t="s">
        <v>6330</v>
      </c>
      <c r="D2738" s="54" t="s">
        <v>6182</v>
      </c>
      <c r="E2738" s="56">
        <v>0</v>
      </c>
      <c r="F2738" s="57" t="s">
        <v>792</v>
      </c>
      <c r="G2738" s="58">
        <v>965600</v>
      </c>
      <c r="H2738" s="59">
        <v>965600</v>
      </c>
      <c r="I2738" s="59">
        <f t="shared" si="84"/>
        <v>0</v>
      </c>
    </row>
    <row r="2739" spans="1:9" customFormat="1" x14ac:dyDescent="0.35">
      <c r="A2739" s="63">
        <f t="shared" si="85"/>
        <v>2738</v>
      </c>
      <c r="B2739" s="54" t="s">
        <v>6331</v>
      </c>
      <c r="C2739" s="55" t="s">
        <v>6332</v>
      </c>
      <c r="D2739" s="54" t="s">
        <v>6182</v>
      </c>
      <c r="E2739" s="56">
        <v>0</v>
      </c>
      <c r="F2739" s="57" t="s">
        <v>792</v>
      </c>
      <c r="G2739" s="58">
        <v>1043100</v>
      </c>
      <c r="H2739" s="59">
        <v>1564650</v>
      </c>
      <c r="I2739" s="59">
        <f t="shared" si="84"/>
        <v>0</v>
      </c>
    </row>
    <row r="2740" spans="1:9" customFormat="1" x14ac:dyDescent="0.35">
      <c r="A2740" s="63">
        <f t="shared" si="85"/>
        <v>2739</v>
      </c>
      <c r="B2740" s="54" t="s">
        <v>6333</v>
      </c>
      <c r="C2740" s="55" t="s">
        <v>6334</v>
      </c>
      <c r="D2740" s="54" t="s">
        <v>6182</v>
      </c>
      <c r="E2740" s="56">
        <v>0</v>
      </c>
      <c r="F2740" s="57" t="s">
        <v>792</v>
      </c>
      <c r="G2740" s="58">
        <v>15000</v>
      </c>
      <c r="H2740" s="59">
        <v>15000</v>
      </c>
      <c r="I2740" s="59">
        <f t="shared" si="84"/>
        <v>0</v>
      </c>
    </row>
    <row r="2741" spans="1:9" customFormat="1" ht="23" x14ac:dyDescent="0.35">
      <c r="A2741" s="63">
        <f t="shared" si="85"/>
        <v>2740</v>
      </c>
      <c r="B2741" s="54" t="s">
        <v>6335</v>
      </c>
      <c r="C2741" s="55" t="s">
        <v>6336</v>
      </c>
      <c r="D2741" s="54" t="s">
        <v>6182</v>
      </c>
      <c r="E2741" s="56">
        <v>0</v>
      </c>
      <c r="F2741" s="57" t="s">
        <v>1010</v>
      </c>
      <c r="G2741" s="58">
        <v>907500</v>
      </c>
      <c r="H2741" s="59">
        <v>907500</v>
      </c>
      <c r="I2741" s="59">
        <f t="shared" si="84"/>
        <v>0</v>
      </c>
    </row>
    <row r="2742" spans="1:9" customFormat="1" x14ac:dyDescent="0.35">
      <c r="A2742" s="63">
        <f t="shared" si="85"/>
        <v>2741</v>
      </c>
      <c r="B2742" s="54" t="s">
        <v>6337</v>
      </c>
      <c r="C2742" s="55" t="s">
        <v>6338</v>
      </c>
      <c r="D2742" s="54" t="s">
        <v>6182</v>
      </c>
      <c r="E2742" s="56">
        <v>0</v>
      </c>
      <c r="F2742" s="57" t="s">
        <v>792</v>
      </c>
      <c r="G2742" s="58">
        <v>0</v>
      </c>
      <c r="H2742" s="59">
        <v>400</v>
      </c>
      <c r="I2742" s="59">
        <f t="shared" si="84"/>
        <v>0</v>
      </c>
    </row>
    <row r="2743" spans="1:9" customFormat="1" x14ac:dyDescent="0.35">
      <c r="A2743" s="63">
        <f t="shared" si="85"/>
        <v>2742</v>
      </c>
      <c r="B2743" s="54" t="s">
        <v>6339</v>
      </c>
      <c r="C2743" s="55" t="s">
        <v>6340</v>
      </c>
      <c r="D2743" s="54" t="s">
        <v>6182</v>
      </c>
      <c r="E2743" s="56">
        <v>0</v>
      </c>
      <c r="F2743" s="57" t="s">
        <v>792</v>
      </c>
      <c r="G2743" s="58">
        <v>49730</v>
      </c>
      <c r="H2743" s="59">
        <v>49730</v>
      </c>
      <c r="I2743" s="59">
        <f t="shared" si="84"/>
        <v>0</v>
      </c>
    </row>
    <row r="2744" spans="1:9" customFormat="1" x14ac:dyDescent="0.35">
      <c r="A2744" s="63">
        <f t="shared" si="85"/>
        <v>2743</v>
      </c>
      <c r="B2744" s="54" t="s">
        <v>6341</v>
      </c>
      <c r="C2744" s="55" t="s">
        <v>6342</v>
      </c>
      <c r="D2744" s="54" t="s">
        <v>6182</v>
      </c>
      <c r="E2744" s="56">
        <v>0</v>
      </c>
      <c r="F2744" s="57" t="s">
        <v>792</v>
      </c>
      <c r="G2744" s="58">
        <v>16000</v>
      </c>
      <c r="H2744" s="59">
        <v>16000</v>
      </c>
      <c r="I2744" s="59">
        <f t="shared" si="84"/>
        <v>0</v>
      </c>
    </row>
    <row r="2745" spans="1:9" customFormat="1" x14ac:dyDescent="0.35">
      <c r="A2745" s="63">
        <f t="shared" si="85"/>
        <v>2744</v>
      </c>
      <c r="B2745" s="54" t="s">
        <v>6343</v>
      </c>
      <c r="C2745" s="55" t="s">
        <v>6344</v>
      </c>
      <c r="D2745" s="54" t="s">
        <v>6182</v>
      </c>
      <c r="E2745" s="56">
        <v>0</v>
      </c>
      <c r="F2745" s="57" t="s">
        <v>792</v>
      </c>
      <c r="G2745" s="58">
        <v>16000</v>
      </c>
      <c r="H2745" s="59">
        <v>16000</v>
      </c>
      <c r="I2745" s="59">
        <f t="shared" si="84"/>
        <v>0</v>
      </c>
    </row>
    <row r="2746" spans="1:9" customFormat="1" x14ac:dyDescent="0.35">
      <c r="A2746" s="63">
        <f t="shared" si="85"/>
        <v>2745</v>
      </c>
      <c r="B2746" s="54" t="s">
        <v>6345</v>
      </c>
      <c r="C2746" s="55" t="s">
        <v>6346</v>
      </c>
      <c r="D2746" s="54" t="s">
        <v>6182</v>
      </c>
      <c r="E2746" s="56">
        <v>0</v>
      </c>
      <c r="F2746" s="57" t="s">
        <v>792</v>
      </c>
      <c r="G2746" s="58">
        <v>26700</v>
      </c>
      <c r="H2746" s="59">
        <v>26700</v>
      </c>
      <c r="I2746" s="59">
        <f t="shared" si="84"/>
        <v>0</v>
      </c>
    </row>
    <row r="2747" spans="1:9" customFormat="1" x14ac:dyDescent="0.35">
      <c r="A2747" s="63">
        <f t="shared" si="85"/>
        <v>2746</v>
      </c>
      <c r="B2747" s="54" t="s">
        <v>6347</v>
      </c>
      <c r="C2747" s="55" t="s">
        <v>6348</v>
      </c>
      <c r="D2747" s="54" t="s">
        <v>6182</v>
      </c>
      <c r="E2747" s="56">
        <v>0</v>
      </c>
      <c r="F2747" s="57" t="s">
        <v>844</v>
      </c>
      <c r="G2747" s="58">
        <v>15900000</v>
      </c>
      <c r="H2747" s="59">
        <v>34500000</v>
      </c>
      <c r="I2747" s="59">
        <f t="shared" si="84"/>
        <v>0</v>
      </c>
    </row>
    <row r="2748" spans="1:9" customFormat="1" x14ac:dyDescent="0.35">
      <c r="A2748" s="63">
        <f t="shared" si="85"/>
        <v>2747</v>
      </c>
      <c r="B2748" s="54" t="s">
        <v>6349</v>
      </c>
      <c r="C2748" s="55" t="s">
        <v>6350</v>
      </c>
      <c r="D2748" s="54" t="s">
        <v>6182</v>
      </c>
      <c r="E2748" s="56">
        <v>0</v>
      </c>
      <c r="F2748" s="57" t="s">
        <v>792</v>
      </c>
      <c r="G2748" s="58">
        <v>0</v>
      </c>
      <c r="H2748" s="59">
        <v>276000</v>
      </c>
      <c r="I2748" s="59">
        <f t="shared" si="84"/>
        <v>0</v>
      </c>
    </row>
    <row r="2749" spans="1:9" customFormat="1" x14ac:dyDescent="0.35">
      <c r="A2749" s="63">
        <f t="shared" si="85"/>
        <v>2748</v>
      </c>
      <c r="B2749" s="54" t="s">
        <v>6351</v>
      </c>
      <c r="C2749" s="55" t="s">
        <v>6352</v>
      </c>
      <c r="D2749" s="54" t="s">
        <v>6182</v>
      </c>
      <c r="E2749" s="56">
        <v>0</v>
      </c>
      <c r="F2749" s="57" t="s">
        <v>792</v>
      </c>
      <c r="G2749" s="58">
        <v>0</v>
      </c>
      <c r="H2749" s="59">
        <v>0</v>
      </c>
      <c r="I2749" s="59">
        <f t="shared" si="84"/>
        <v>0</v>
      </c>
    </row>
    <row r="2750" spans="1:9" customFormat="1" x14ac:dyDescent="0.35">
      <c r="A2750" s="63">
        <f t="shared" si="85"/>
        <v>2749</v>
      </c>
      <c r="B2750" s="54" t="s">
        <v>6353</v>
      </c>
      <c r="C2750" s="55" t="s">
        <v>6354</v>
      </c>
      <c r="D2750" s="54" t="s">
        <v>6182</v>
      </c>
      <c r="E2750" s="56">
        <v>0</v>
      </c>
      <c r="F2750" s="57" t="s">
        <v>792</v>
      </c>
      <c r="G2750" s="58">
        <v>0</v>
      </c>
      <c r="H2750" s="59">
        <v>0</v>
      </c>
      <c r="I2750" s="59">
        <f t="shared" si="84"/>
        <v>0</v>
      </c>
    </row>
    <row r="2751" spans="1:9" customFormat="1" x14ac:dyDescent="0.35">
      <c r="A2751" s="63">
        <f t="shared" si="85"/>
        <v>2750</v>
      </c>
      <c r="B2751" s="54" t="s">
        <v>6355</v>
      </c>
      <c r="C2751" s="55" t="s">
        <v>6356</v>
      </c>
      <c r="D2751" s="54" t="s">
        <v>6182</v>
      </c>
      <c r="E2751" s="56">
        <v>0</v>
      </c>
      <c r="F2751" s="57" t="s">
        <v>792</v>
      </c>
      <c r="G2751" s="58">
        <v>0</v>
      </c>
      <c r="H2751" s="59">
        <v>0</v>
      </c>
      <c r="I2751" s="59">
        <f t="shared" si="84"/>
        <v>0</v>
      </c>
    </row>
    <row r="2752" spans="1:9" customFormat="1" x14ac:dyDescent="0.35">
      <c r="A2752" s="63">
        <f t="shared" si="85"/>
        <v>2751</v>
      </c>
      <c r="B2752" s="54" t="s">
        <v>6357</v>
      </c>
      <c r="C2752" s="55" t="s">
        <v>6358</v>
      </c>
      <c r="D2752" s="54" t="s">
        <v>6182</v>
      </c>
      <c r="E2752" s="56">
        <v>0</v>
      </c>
      <c r="F2752" s="57" t="s">
        <v>792</v>
      </c>
      <c r="G2752" s="58">
        <v>0</v>
      </c>
      <c r="H2752" s="59">
        <v>0</v>
      </c>
      <c r="I2752" s="59">
        <f t="shared" si="84"/>
        <v>0</v>
      </c>
    </row>
    <row r="2753" spans="1:9" customFormat="1" x14ac:dyDescent="0.35">
      <c r="A2753" s="63">
        <f t="shared" si="85"/>
        <v>2752</v>
      </c>
      <c r="B2753" s="54" t="s">
        <v>6359</v>
      </c>
      <c r="C2753" s="55" t="s">
        <v>6360</v>
      </c>
      <c r="D2753" s="54" t="s">
        <v>6182</v>
      </c>
      <c r="E2753" s="56">
        <v>0</v>
      </c>
      <c r="F2753" s="57" t="s">
        <v>792</v>
      </c>
      <c r="G2753" s="58">
        <v>0</v>
      </c>
      <c r="H2753" s="59">
        <v>0</v>
      </c>
      <c r="I2753" s="59">
        <f t="shared" si="84"/>
        <v>0</v>
      </c>
    </row>
    <row r="2754" spans="1:9" customFormat="1" x14ac:dyDescent="0.35">
      <c r="A2754" s="63">
        <f t="shared" si="85"/>
        <v>2753</v>
      </c>
      <c r="B2754" s="54" t="s">
        <v>6361</v>
      </c>
      <c r="C2754" s="55" t="s">
        <v>6362</v>
      </c>
      <c r="D2754" s="54" t="s">
        <v>6182</v>
      </c>
      <c r="E2754" s="56">
        <v>0</v>
      </c>
      <c r="F2754" s="57" t="s">
        <v>792</v>
      </c>
      <c r="G2754" s="58">
        <v>0</v>
      </c>
      <c r="H2754" s="59">
        <v>0</v>
      </c>
      <c r="I2754" s="59">
        <f t="shared" si="84"/>
        <v>0</v>
      </c>
    </row>
    <row r="2755" spans="1:9" customFormat="1" x14ac:dyDescent="0.35">
      <c r="A2755" s="63">
        <f t="shared" si="85"/>
        <v>2754</v>
      </c>
      <c r="B2755" s="54" t="s">
        <v>6363</v>
      </c>
      <c r="C2755" s="55" t="s">
        <v>6364</v>
      </c>
      <c r="D2755" s="54" t="s">
        <v>6182</v>
      </c>
      <c r="E2755" s="56">
        <v>0</v>
      </c>
      <c r="F2755" s="57" t="s">
        <v>792</v>
      </c>
      <c r="G2755" s="58">
        <v>0</v>
      </c>
      <c r="H2755" s="59">
        <v>0</v>
      </c>
      <c r="I2755" s="59">
        <f t="shared" ref="I2755:I2818" si="86">H2755*E2755</f>
        <v>0</v>
      </c>
    </row>
    <row r="2756" spans="1:9" customFormat="1" ht="23" x14ac:dyDescent="0.35">
      <c r="A2756" s="63">
        <f t="shared" ref="A2756:A2819" si="87">A2755+1</f>
        <v>2755</v>
      </c>
      <c r="B2756" s="54" t="s">
        <v>6365</v>
      </c>
      <c r="C2756" s="55" t="s">
        <v>6366</v>
      </c>
      <c r="D2756" s="54" t="s">
        <v>6182</v>
      </c>
      <c r="E2756" s="56">
        <v>0</v>
      </c>
      <c r="F2756" s="57" t="s">
        <v>792</v>
      </c>
      <c r="G2756" s="58">
        <v>105550</v>
      </c>
      <c r="H2756" s="59">
        <v>0</v>
      </c>
      <c r="I2756" s="59">
        <f t="shared" si="86"/>
        <v>0</v>
      </c>
    </row>
    <row r="2757" spans="1:9" customFormat="1" ht="23" x14ac:dyDescent="0.35">
      <c r="A2757" s="63">
        <f t="shared" si="87"/>
        <v>2756</v>
      </c>
      <c r="B2757" s="54" t="s">
        <v>6367</v>
      </c>
      <c r="C2757" s="55" t="s">
        <v>6368</v>
      </c>
      <c r="D2757" s="54" t="s">
        <v>6182</v>
      </c>
      <c r="E2757" s="56">
        <v>0</v>
      </c>
      <c r="F2757" s="57" t="s">
        <v>792</v>
      </c>
      <c r="G2757" s="58">
        <v>105550</v>
      </c>
      <c r="H2757" s="59">
        <v>0</v>
      </c>
      <c r="I2757" s="59">
        <f t="shared" si="86"/>
        <v>0</v>
      </c>
    </row>
    <row r="2758" spans="1:9" customFormat="1" ht="23" x14ac:dyDescent="0.35">
      <c r="A2758" s="63">
        <f t="shared" si="87"/>
        <v>2757</v>
      </c>
      <c r="B2758" s="54" t="s">
        <v>6369</v>
      </c>
      <c r="C2758" s="55" t="s">
        <v>6370</v>
      </c>
      <c r="D2758" s="54" t="s">
        <v>6182</v>
      </c>
      <c r="E2758" s="56">
        <v>0</v>
      </c>
      <c r="F2758" s="57" t="s">
        <v>792</v>
      </c>
      <c r="G2758" s="58">
        <v>58200</v>
      </c>
      <c r="H2758" s="59">
        <v>0</v>
      </c>
      <c r="I2758" s="59">
        <f t="shared" si="86"/>
        <v>0</v>
      </c>
    </row>
    <row r="2759" spans="1:9" customFormat="1" ht="23" x14ac:dyDescent="0.35">
      <c r="A2759" s="63">
        <f t="shared" si="87"/>
        <v>2758</v>
      </c>
      <c r="B2759" s="54" t="s">
        <v>6371</v>
      </c>
      <c r="C2759" s="55" t="s">
        <v>6372</v>
      </c>
      <c r="D2759" s="54" t="s">
        <v>6182</v>
      </c>
      <c r="E2759" s="56">
        <v>0</v>
      </c>
      <c r="F2759" s="57" t="s">
        <v>792</v>
      </c>
      <c r="G2759" s="58">
        <v>58200</v>
      </c>
      <c r="H2759" s="59">
        <v>0</v>
      </c>
      <c r="I2759" s="59">
        <f t="shared" si="86"/>
        <v>0</v>
      </c>
    </row>
    <row r="2760" spans="1:9" customFormat="1" x14ac:dyDescent="0.35">
      <c r="A2760" s="63">
        <f t="shared" si="87"/>
        <v>2759</v>
      </c>
      <c r="B2760" s="54" t="s">
        <v>6373</v>
      </c>
      <c r="C2760" s="55" t="s">
        <v>6374</v>
      </c>
      <c r="D2760" s="54" t="s">
        <v>6182</v>
      </c>
      <c r="E2760" s="56">
        <v>0</v>
      </c>
      <c r="F2760" s="57" t="s">
        <v>792</v>
      </c>
      <c r="G2760" s="58">
        <v>0</v>
      </c>
      <c r="H2760" s="59">
        <v>157500</v>
      </c>
      <c r="I2760" s="59">
        <f t="shared" si="86"/>
        <v>0</v>
      </c>
    </row>
    <row r="2761" spans="1:9" customFormat="1" x14ac:dyDescent="0.35">
      <c r="A2761" s="63">
        <f t="shared" si="87"/>
        <v>2760</v>
      </c>
      <c r="B2761" s="54" t="s">
        <v>6375</v>
      </c>
      <c r="C2761" s="55" t="s">
        <v>6376</v>
      </c>
      <c r="D2761" s="54" t="s">
        <v>6182</v>
      </c>
      <c r="E2761" s="56">
        <v>0</v>
      </c>
      <c r="F2761" s="57" t="s">
        <v>870</v>
      </c>
      <c r="G2761" s="58">
        <v>0</v>
      </c>
      <c r="H2761" s="59">
        <v>0</v>
      </c>
      <c r="I2761" s="59">
        <f t="shared" si="86"/>
        <v>0</v>
      </c>
    </row>
    <row r="2762" spans="1:9" customFormat="1" x14ac:dyDescent="0.35">
      <c r="A2762" s="63">
        <f t="shared" si="87"/>
        <v>2761</v>
      </c>
      <c r="B2762" s="54" t="s">
        <v>6377</v>
      </c>
      <c r="C2762" s="55" t="s">
        <v>6378</v>
      </c>
      <c r="D2762" s="54" t="s">
        <v>6182</v>
      </c>
      <c r="E2762" s="56">
        <v>0</v>
      </c>
      <c r="F2762" s="57" t="s">
        <v>870</v>
      </c>
      <c r="G2762" s="58">
        <v>0</v>
      </c>
      <c r="H2762" s="59">
        <v>31500</v>
      </c>
      <c r="I2762" s="59">
        <f t="shared" si="86"/>
        <v>0</v>
      </c>
    </row>
    <row r="2763" spans="1:9" customFormat="1" ht="23" x14ac:dyDescent="0.35">
      <c r="A2763" s="63">
        <f t="shared" si="87"/>
        <v>2762</v>
      </c>
      <c r="B2763" s="54" t="s">
        <v>6379</v>
      </c>
      <c r="C2763" s="55" t="s">
        <v>6380</v>
      </c>
      <c r="D2763" s="54" t="s">
        <v>6182</v>
      </c>
      <c r="E2763" s="56">
        <v>0</v>
      </c>
      <c r="F2763" s="57" t="s">
        <v>792</v>
      </c>
      <c r="G2763" s="58">
        <v>49900</v>
      </c>
      <c r="H2763" s="59">
        <v>49900</v>
      </c>
      <c r="I2763" s="59">
        <f t="shared" si="86"/>
        <v>0</v>
      </c>
    </row>
    <row r="2764" spans="1:9" customFormat="1" x14ac:dyDescent="0.35">
      <c r="A2764" s="63">
        <f t="shared" si="87"/>
        <v>2763</v>
      </c>
      <c r="B2764" s="54" t="s">
        <v>6381</v>
      </c>
      <c r="C2764" s="55" t="s">
        <v>6382</v>
      </c>
      <c r="D2764" s="54" t="s">
        <v>6182</v>
      </c>
      <c r="E2764" s="56">
        <v>0</v>
      </c>
      <c r="F2764" s="57" t="s">
        <v>792</v>
      </c>
      <c r="G2764" s="58">
        <v>15000</v>
      </c>
      <c r="H2764" s="59">
        <v>15000</v>
      </c>
      <c r="I2764" s="59">
        <f t="shared" si="86"/>
        <v>0</v>
      </c>
    </row>
    <row r="2765" spans="1:9" customFormat="1" x14ac:dyDescent="0.35">
      <c r="A2765" s="63">
        <f t="shared" si="87"/>
        <v>2764</v>
      </c>
      <c r="B2765" s="54" t="s">
        <v>6383</v>
      </c>
      <c r="C2765" s="55" t="s">
        <v>6384</v>
      </c>
      <c r="D2765" s="54" t="s">
        <v>6182</v>
      </c>
      <c r="E2765" s="56">
        <v>0</v>
      </c>
      <c r="F2765" s="57" t="s">
        <v>792</v>
      </c>
      <c r="G2765" s="58">
        <v>0</v>
      </c>
      <c r="H2765" s="59">
        <v>0</v>
      </c>
      <c r="I2765" s="59">
        <f t="shared" si="86"/>
        <v>0</v>
      </c>
    </row>
    <row r="2766" spans="1:9" customFormat="1" x14ac:dyDescent="0.35">
      <c r="A2766" s="63">
        <f t="shared" si="87"/>
        <v>2765</v>
      </c>
      <c r="B2766" s="54" t="s">
        <v>6385</v>
      </c>
      <c r="C2766" s="55" t="s">
        <v>6386</v>
      </c>
      <c r="D2766" s="54" t="s">
        <v>6182</v>
      </c>
      <c r="E2766" s="56">
        <v>0</v>
      </c>
      <c r="F2766" s="57" t="s">
        <v>792</v>
      </c>
      <c r="G2766" s="58">
        <v>40690</v>
      </c>
      <c r="H2766" s="59">
        <v>0</v>
      </c>
      <c r="I2766" s="59">
        <f t="shared" si="86"/>
        <v>0</v>
      </c>
    </row>
    <row r="2767" spans="1:9" customFormat="1" x14ac:dyDescent="0.35">
      <c r="A2767" s="63">
        <f t="shared" si="87"/>
        <v>2766</v>
      </c>
      <c r="B2767" s="54" t="s">
        <v>6387</v>
      </c>
      <c r="C2767" s="55" t="s">
        <v>6388</v>
      </c>
      <c r="D2767" s="54" t="s">
        <v>6182</v>
      </c>
      <c r="E2767" s="56">
        <v>0</v>
      </c>
      <c r="F2767" s="57" t="s">
        <v>792</v>
      </c>
      <c r="G2767" s="58">
        <v>26800</v>
      </c>
      <c r="H2767" s="59">
        <v>26800</v>
      </c>
      <c r="I2767" s="59">
        <f t="shared" si="86"/>
        <v>0</v>
      </c>
    </row>
    <row r="2768" spans="1:9" customFormat="1" ht="23" x14ac:dyDescent="0.35">
      <c r="A2768" s="63">
        <f t="shared" si="87"/>
        <v>2767</v>
      </c>
      <c r="B2768" s="54" t="s">
        <v>6389</v>
      </c>
      <c r="C2768" s="55" t="s">
        <v>6390</v>
      </c>
      <c r="D2768" s="54" t="s">
        <v>6182</v>
      </c>
      <c r="E2768" s="56">
        <v>0</v>
      </c>
      <c r="F2768" s="57" t="s">
        <v>792</v>
      </c>
      <c r="G2768" s="58">
        <v>0</v>
      </c>
      <c r="H2768" s="59">
        <v>0</v>
      </c>
      <c r="I2768" s="59">
        <f t="shared" si="86"/>
        <v>0</v>
      </c>
    </row>
    <row r="2769" spans="1:9" customFormat="1" x14ac:dyDescent="0.35">
      <c r="A2769" s="63">
        <f t="shared" si="87"/>
        <v>2768</v>
      </c>
      <c r="B2769" s="54" t="s">
        <v>6391</v>
      </c>
      <c r="C2769" s="55" t="s">
        <v>6392</v>
      </c>
      <c r="D2769" s="54" t="s">
        <v>6182</v>
      </c>
      <c r="E2769" s="56">
        <v>0</v>
      </c>
      <c r="F2769" s="57" t="s">
        <v>792</v>
      </c>
      <c r="G2769" s="58">
        <v>0</v>
      </c>
      <c r="H2769" s="59">
        <v>56000</v>
      </c>
      <c r="I2769" s="59">
        <f t="shared" si="86"/>
        <v>0</v>
      </c>
    </row>
    <row r="2770" spans="1:9" customFormat="1" x14ac:dyDescent="0.35">
      <c r="A2770" s="63">
        <f t="shared" si="87"/>
        <v>2769</v>
      </c>
      <c r="B2770" s="54" t="s">
        <v>6393</v>
      </c>
      <c r="C2770" s="55" t="s">
        <v>6394</v>
      </c>
      <c r="D2770" s="54" t="s">
        <v>6182</v>
      </c>
      <c r="E2770" s="56">
        <v>0</v>
      </c>
      <c r="F2770" s="57" t="s">
        <v>792</v>
      </c>
      <c r="G2770" s="58">
        <v>115000</v>
      </c>
      <c r="H2770" s="59">
        <v>172500</v>
      </c>
      <c r="I2770" s="59">
        <f t="shared" si="86"/>
        <v>0</v>
      </c>
    </row>
    <row r="2771" spans="1:9" customFormat="1" x14ac:dyDescent="0.35">
      <c r="A2771" s="63">
        <f t="shared" si="87"/>
        <v>2770</v>
      </c>
      <c r="B2771" s="54" t="s">
        <v>6395</v>
      </c>
      <c r="C2771" s="55" t="s">
        <v>6396</v>
      </c>
      <c r="D2771" s="54" t="s">
        <v>6182</v>
      </c>
      <c r="E2771" s="56">
        <v>0</v>
      </c>
      <c r="F2771" s="57" t="s">
        <v>792</v>
      </c>
      <c r="G2771" s="58">
        <v>199970</v>
      </c>
      <c r="H2771" s="59">
        <v>216000</v>
      </c>
      <c r="I2771" s="59">
        <f t="shared" si="86"/>
        <v>0</v>
      </c>
    </row>
    <row r="2772" spans="1:9" customFormat="1" x14ac:dyDescent="0.35">
      <c r="A2772" s="63">
        <f t="shared" si="87"/>
        <v>2771</v>
      </c>
      <c r="B2772" s="54" t="s">
        <v>6397</v>
      </c>
      <c r="C2772" s="55" t="s">
        <v>6398</v>
      </c>
      <c r="D2772" s="54" t="s">
        <v>6182</v>
      </c>
      <c r="E2772" s="56">
        <v>0</v>
      </c>
      <c r="F2772" s="57" t="s">
        <v>792</v>
      </c>
      <c r="G2772" s="58">
        <v>262417</v>
      </c>
      <c r="H2772" s="59">
        <v>0</v>
      </c>
      <c r="I2772" s="59">
        <f t="shared" si="86"/>
        <v>0</v>
      </c>
    </row>
    <row r="2773" spans="1:9" customFormat="1" x14ac:dyDescent="0.35">
      <c r="A2773" s="63">
        <f t="shared" si="87"/>
        <v>2772</v>
      </c>
      <c r="B2773" s="54" t="s">
        <v>6399</v>
      </c>
      <c r="C2773" s="55" t="s">
        <v>6400</v>
      </c>
      <c r="D2773" s="54" t="s">
        <v>6182</v>
      </c>
      <c r="E2773" s="56">
        <v>0</v>
      </c>
      <c r="F2773" s="57" t="s">
        <v>815</v>
      </c>
      <c r="G2773" s="58">
        <v>7500</v>
      </c>
      <c r="H2773" s="59">
        <v>7500</v>
      </c>
      <c r="I2773" s="59">
        <f t="shared" si="86"/>
        <v>0</v>
      </c>
    </row>
    <row r="2774" spans="1:9" customFormat="1" ht="23" x14ac:dyDescent="0.35">
      <c r="A2774" s="63">
        <f t="shared" si="87"/>
        <v>2773</v>
      </c>
      <c r="B2774" s="54" t="s">
        <v>6401</v>
      </c>
      <c r="C2774" s="55" t="s">
        <v>6402</v>
      </c>
      <c r="D2774" s="54" t="s">
        <v>6182</v>
      </c>
      <c r="E2774" s="56">
        <v>0</v>
      </c>
      <c r="F2774" s="57" t="s">
        <v>792</v>
      </c>
      <c r="G2774" s="58">
        <v>90666.67</v>
      </c>
      <c r="H2774" s="59">
        <v>90666.66</v>
      </c>
      <c r="I2774" s="59">
        <f t="shared" si="86"/>
        <v>0</v>
      </c>
    </row>
    <row r="2775" spans="1:9" customFormat="1" x14ac:dyDescent="0.35">
      <c r="A2775" s="63">
        <f t="shared" si="87"/>
        <v>2774</v>
      </c>
      <c r="B2775" s="54" t="s">
        <v>6403</v>
      </c>
      <c r="C2775" s="55" t="s">
        <v>6404</v>
      </c>
      <c r="D2775" s="54" t="s">
        <v>6182</v>
      </c>
      <c r="E2775" s="56">
        <v>0</v>
      </c>
      <c r="F2775" s="57" t="s">
        <v>792</v>
      </c>
      <c r="G2775" s="58">
        <v>0</v>
      </c>
      <c r="H2775" s="59">
        <v>1875000</v>
      </c>
      <c r="I2775" s="59">
        <f t="shared" si="86"/>
        <v>0</v>
      </c>
    </row>
    <row r="2776" spans="1:9" customFormat="1" x14ac:dyDescent="0.35">
      <c r="A2776" s="63">
        <f t="shared" si="87"/>
        <v>2775</v>
      </c>
      <c r="B2776" s="54" t="s">
        <v>6405</v>
      </c>
      <c r="C2776" s="55" t="s">
        <v>6406</v>
      </c>
      <c r="D2776" s="54" t="s">
        <v>6182</v>
      </c>
      <c r="E2776" s="56">
        <v>0</v>
      </c>
      <c r="F2776" s="57" t="s">
        <v>792</v>
      </c>
      <c r="G2776" s="58">
        <v>13000</v>
      </c>
      <c r="H2776" s="59">
        <v>13000</v>
      </c>
      <c r="I2776" s="59">
        <f t="shared" si="86"/>
        <v>0</v>
      </c>
    </row>
    <row r="2777" spans="1:9" customFormat="1" x14ac:dyDescent="0.35">
      <c r="A2777" s="63">
        <f t="shared" si="87"/>
        <v>2776</v>
      </c>
      <c r="B2777" s="54" t="s">
        <v>6407</v>
      </c>
      <c r="C2777" s="55" t="s">
        <v>6408</v>
      </c>
      <c r="D2777" s="54" t="s">
        <v>6182</v>
      </c>
      <c r="E2777" s="56">
        <v>0</v>
      </c>
      <c r="F2777" s="57" t="s">
        <v>792</v>
      </c>
      <c r="G2777" s="58">
        <v>0</v>
      </c>
      <c r="H2777" s="59">
        <v>0</v>
      </c>
      <c r="I2777" s="59">
        <f t="shared" si="86"/>
        <v>0</v>
      </c>
    </row>
    <row r="2778" spans="1:9" customFormat="1" x14ac:dyDescent="0.35">
      <c r="A2778" s="63">
        <f t="shared" si="87"/>
        <v>2777</v>
      </c>
      <c r="B2778" s="54" t="s">
        <v>6409</v>
      </c>
      <c r="C2778" s="55" t="s">
        <v>6410</v>
      </c>
      <c r="D2778" s="54" t="s">
        <v>6182</v>
      </c>
      <c r="E2778" s="56">
        <v>0</v>
      </c>
      <c r="F2778" s="57" t="s">
        <v>792</v>
      </c>
      <c r="G2778" s="58">
        <v>0</v>
      </c>
      <c r="H2778" s="59">
        <v>0</v>
      </c>
      <c r="I2778" s="59">
        <f t="shared" si="86"/>
        <v>0</v>
      </c>
    </row>
    <row r="2779" spans="1:9" customFormat="1" x14ac:dyDescent="0.35">
      <c r="A2779" s="63">
        <f t="shared" si="87"/>
        <v>2778</v>
      </c>
      <c r="B2779" s="54" t="s">
        <v>6411</v>
      </c>
      <c r="C2779" s="55" t="s">
        <v>6412</v>
      </c>
      <c r="D2779" s="54" t="s">
        <v>6182</v>
      </c>
      <c r="E2779" s="56">
        <v>0</v>
      </c>
      <c r="F2779" s="57" t="s">
        <v>792</v>
      </c>
      <c r="G2779" s="58">
        <v>2000</v>
      </c>
      <c r="H2779" s="59">
        <v>3000</v>
      </c>
      <c r="I2779" s="59">
        <f t="shared" si="86"/>
        <v>0</v>
      </c>
    </row>
    <row r="2780" spans="1:9" customFormat="1" x14ac:dyDescent="0.35">
      <c r="A2780" s="63">
        <f t="shared" si="87"/>
        <v>2779</v>
      </c>
      <c r="B2780" s="54" t="s">
        <v>6413</v>
      </c>
      <c r="C2780" s="55" t="s">
        <v>6414</v>
      </c>
      <c r="D2780" s="54" t="s">
        <v>6182</v>
      </c>
      <c r="E2780" s="56">
        <v>0</v>
      </c>
      <c r="F2780" s="57" t="s">
        <v>792</v>
      </c>
      <c r="G2780" s="58">
        <v>2000</v>
      </c>
      <c r="H2780" s="59">
        <v>2000</v>
      </c>
      <c r="I2780" s="59">
        <f t="shared" si="86"/>
        <v>0</v>
      </c>
    </row>
    <row r="2781" spans="1:9" customFormat="1" x14ac:dyDescent="0.35">
      <c r="A2781" s="63">
        <f t="shared" si="87"/>
        <v>2780</v>
      </c>
      <c r="B2781" s="54" t="s">
        <v>6415</v>
      </c>
      <c r="C2781" s="55" t="s">
        <v>6416</v>
      </c>
      <c r="D2781" s="54" t="s">
        <v>6182</v>
      </c>
      <c r="E2781" s="56">
        <v>0</v>
      </c>
      <c r="F2781" s="57" t="s">
        <v>6417</v>
      </c>
      <c r="G2781" s="58">
        <v>40000</v>
      </c>
      <c r="H2781" s="59">
        <v>60000</v>
      </c>
      <c r="I2781" s="59">
        <f t="shared" si="86"/>
        <v>0</v>
      </c>
    </row>
    <row r="2782" spans="1:9" customFormat="1" x14ac:dyDescent="0.35">
      <c r="A2782" s="63">
        <f t="shared" si="87"/>
        <v>2781</v>
      </c>
      <c r="B2782" s="54" t="s">
        <v>6418</v>
      </c>
      <c r="C2782" s="55" t="s">
        <v>6419</v>
      </c>
      <c r="D2782" s="54" t="s">
        <v>6182</v>
      </c>
      <c r="E2782" s="56">
        <v>0</v>
      </c>
      <c r="F2782" s="57" t="s">
        <v>792</v>
      </c>
      <c r="G2782" s="58">
        <v>33000</v>
      </c>
      <c r="H2782" s="59">
        <v>45000</v>
      </c>
      <c r="I2782" s="59">
        <f t="shared" si="86"/>
        <v>0</v>
      </c>
    </row>
    <row r="2783" spans="1:9" customFormat="1" x14ac:dyDescent="0.35">
      <c r="A2783" s="63">
        <f t="shared" si="87"/>
        <v>2782</v>
      </c>
      <c r="B2783" s="54" t="s">
        <v>6420</v>
      </c>
      <c r="C2783" s="55" t="s">
        <v>6421</v>
      </c>
      <c r="D2783" s="54" t="s">
        <v>6182</v>
      </c>
      <c r="E2783" s="56">
        <v>0</v>
      </c>
      <c r="F2783" s="57" t="s">
        <v>792</v>
      </c>
      <c r="G2783" s="58">
        <v>220147</v>
      </c>
      <c r="H2783" s="59">
        <v>220147</v>
      </c>
      <c r="I2783" s="59">
        <f t="shared" si="86"/>
        <v>0</v>
      </c>
    </row>
    <row r="2784" spans="1:9" customFormat="1" x14ac:dyDescent="0.35">
      <c r="A2784" s="63">
        <f t="shared" si="87"/>
        <v>2783</v>
      </c>
      <c r="B2784" s="54" t="s">
        <v>6422</v>
      </c>
      <c r="C2784" s="55" t="s">
        <v>6423</v>
      </c>
      <c r="D2784" s="54" t="s">
        <v>6182</v>
      </c>
      <c r="E2784" s="56">
        <v>0</v>
      </c>
      <c r="F2784" s="57" t="s">
        <v>792</v>
      </c>
      <c r="G2784" s="58">
        <v>89250</v>
      </c>
      <c r="H2784" s="59">
        <v>127500</v>
      </c>
      <c r="I2784" s="59">
        <f t="shared" si="86"/>
        <v>0</v>
      </c>
    </row>
    <row r="2785" spans="1:9" customFormat="1" ht="23" x14ac:dyDescent="0.35">
      <c r="A2785" s="63">
        <f t="shared" si="87"/>
        <v>2784</v>
      </c>
      <c r="B2785" s="54" t="s">
        <v>6424</v>
      </c>
      <c r="C2785" s="55" t="s">
        <v>6425</v>
      </c>
      <c r="D2785" s="54" t="s">
        <v>6182</v>
      </c>
      <c r="E2785" s="56">
        <v>0</v>
      </c>
      <c r="F2785" s="57" t="s">
        <v>844</v>
      </c>
      <c r="G2785" s="58">
        <v>5180180</v>
      </c>
      <c r="H2785" s="59">
        <v>5180180</v>
      </c>
      <c r="I2785" s="59">
        <f t="shared" si="86"/>
        <v>0</v>
      </c>
    </row>
    <row r="2786" spans="1:9" customFormat="1" x14ac:dyDescent="0.35">
      <c r="A2786" s="63">
        <f t="shared" si="87"/>
        <v>2785</v>
      </c>
      <c r="B2786" s="54" t="s">
        <v>6426</v>
      </c>
      <c r="C2786" s="55" t="s">
        <v>6427</v>
      </c>
      <c r="D2786" s="54" t="s">
        <v>6182</v>
      </c>
      <c r="E2786" s="56">
        <v>0</v>
      </c>
      <c r="F2786" s="57" t="s">
        <v>844</v>
      </c>
      <c r="G2786" s="58">
        <v>0</v>
      </c>
      <c r="H2786" s="59">
        <v>4600000</v>
      </c>
      <c r="I2786" s="59">
        <f t="shared" si="86"/>
        <v>0</v>
      </c>
    </row>
    <row r="2787" spans="1:9" customFormat="1" x14ac:dyDescent="0.35">
      <c r="A2787" s="63">
        <f t="shared" si="87"/>
        <v>2786</v>
      </c>
      <c r="B2787" s="54" t="s">
        <v>6428</v>
      </c>
      <c r="C2787" s="55" t="s">
        <v>6429</v>
      </c>
      <c r="D2787" s="54" t="s">
        <v>6182</v>
      </c>
      <c r="E2787" s="56">
        <v>0</v>
      </c>
      <c r="F2787" s="57" t="s">
        <v>792</v>
      </c>
      <c r="G2787" s="58">
        <v>6000</v>
      </c>
      <c r="H2787" s="59">
        <v>6000</v>
      </c>
      <c r="I2787" s="59">
        <f t="shared" si="86"/>
        <v>0</v>
      </c>
    </row>
    <row r="2788" spans="1:9" customFormat="1" x14ac:dyDescent="0.35">
      <c r="A2788" s="63">
        <f t="shared" si="87"/>
        <v>2787</v>
      </c>
      <c r="B2788" s="54" t="s">
        <v>6430</v>
      </c>
      <c r="C2788" s="55" t="s">
        <v>6431</v>
      </c>
      <c r="D2788" s="54" t="s">
        <v>6182</v>
      </c>
      <c r="E2788" s="56">
        <v>0</v>
      </c>
      <c r="F2788" s="57" t="s">
        <v>844</v>
      </c>
      <c r="G2788" s="58">
        <v>0</v>
      </c>
      <c r="H2788" s="59">
        <v>1889000</v>
      </c>
      <c r="I2788" s="59">
        <f t="shared" si="86"/>
        <v>0</v>
      </c>
    </row>
    <row r="2789" spans="1:9" customFormat="1" x14ac:dyDescent="0.35">
      <c r="A2789" s="63">
        <f t="shared" si="87"/>
        <v>2788</v>
      </c>
      <c r="B2789" s="54" t="s">
        <v>6432</v>
      </c>
      <c r="C2789" s="55" t="s">
        <v>6433</v>
      </c>
      <c r="D2789" s="54" t="s">
        <v>6182</v>
      </c>
      <c r="E2789" s="56">
        <v>0</v>
      </c>
      <c r="F2789" s="57" t="s">
        <v>792</v>
      </c>
      <c r="G2789" s="58">
        <v>0</v>
      </c>
      <c r="H2789" s="59">
        <v>6300</v>
      </c>
      <c r="I2789" s="59">
        <f t="shared" si="86"/>
        <v>0</v>
      </c>
    </row>
    <row r="2790" spans="1:9" customFormat="1" x14ac:dyDescent="0.35">
      <c r="A2790" s="63">
        <f t="shared" si="87"/>
        <v>2789</v>
      </c>
      <c r="B2790" s="54" t="s">
        <v>6434</v>
      </c>
      <c r="C2790" s="55" t="s">
        <v>6435</v>
      </c>
      <c r="D2790" s="54" t="s">
        <v>6182</v>
      </c>
      <c r="E2790" s="56">
        <v>0</v>
      </c>
      <c r="F2790" s="57" t="s">
        <v>792</v>
      </c>
      <c r="G2790" s="58">
        <v>0</v>
      </c>
      <c r="H2790" s="59">
        <v>810</v>
      </c>
      <c r="I2790" s="59">
        <f t="shared" si="86"/>
        <v>0</v>
      </c>
    </row>
    <row r="2791" spans="1:9" customFormat="1" ht="23" x14ac:dyDescent="0.35">
      <c r="A2791" s="63">
        <f t="shared" si="87"/>
        <v>2790</v>
      </c>
      <c r="B2791" s="54" t="s">
        <v>6436</v>
      </c>
      <c r="C2791" s="55" t="s">
        <v>6437</v>
      </c>
      <c r="D2791" s="54" t="s">
        <v>6182</v>
      </c>
      <c r="E2791" s="56">
        <v>0</v>
      </c>
      <c r="F2791" s="57" t="s">
        <v>792</v>
      </c>
      <c r="G2791" s="58">
        <v>0</v>
      </c>
      <c r="H2791" s="59">
        <v>88500</v>
      </c>
      <c r="I2791" s="59">
        <f t="shared" si="86"/>
        <v>0</v>
      </c>
    </row>
    <row r="2792" spans="1:9" customFormat="1" x14ac:dyDescent="0.35">
      <c r="A2792" s="63">
        <f t="shared" si="87"/>
        <v>2791</v>
      </c>
      <c r="B2792" s="54" t="s">
        <v>6438</v>
      </c>
      <c r="C2792" s="55" t="s">
        <v>6439</v>
      </c>
      <c r="D2792" s="54" t="s">
        <v>6182</v>
      </c>
      <c r="E2792" s="56">
        <v>0</v>
      </c>
      <c r="F2792" s="57" t="s">
        <v>792</v>
      </c>
      <c r="G2792" s="58">
        <v>37689</v>
      </c>
      <c r="H2792" s="59">
        <v>37689</v>
      </c>
      <c r="I2792" s="59">
        <f t="shared" si="86"/>
        <v>0</v>
      </c>
    </row>
    <row r="2793" spans="1:9" customFormat="1" x14ac:dyDescent="0.35">
      <c r="A2793" s="63">
        <f t="shared" si="87"/>
        <v>2792</v>
      </c>
      <c r="B2793" s="54" t="s">
        <v>6440</v>
      </c>
      <c r="C2793" s="55" t="s">
        <v>6441</v>
      </c>
      <c r="D2793" s="54" t="s">
        <v>6182</v>
      </c>
      <c r="E2793" s="56">
        <v>0</v>
      </c>
      <c r="F2793" s="57" t="s">
        <v>792</v>
      </c>
      <c r="G2793" s="58">
        <v>0</v>
      </c>
      <c r="H2793" s="59">
        <v>0</v>
      </c>
      <c r="I2793" s="59">
        <f t="shared" si="86"/>
        <v>0</v>
      </c>
    </row>
    <row r="2794" spans="1:9" customFormat="1" x14ac:dyDescent="0.35">
      <c r="A2794" s="63">
        <f t="shared" si="87"/>
        <v>2793</v>
      </c>
      <c r="B2794" s="54" t="s">
        <v>6442</v>
      </c>
      <c r="C2794" s="55" t="s">
        <v>6443</v>
      </c>
      <c r="D2794" s="54" t="s">
        <v>6182</v>
      </c>
      <c r="E2794" s="56">
        <v>0</v>
      </c>
      <c r="F2794" s="57" t="s">
        <v>792</v>
      </c>
      <c r="G2794" s="58">
        <v>145000</v>
      </c>
      <c r="H2794" s="59">
        <v>145000</v>
      </c>
      <c r="I2794" s="59">
        <f t="shared" si="86"/>
        <v>0</v>
      </c>
    </row>
    <row r="2795" spans="1:9" customFormat="1" x14ac:dyDescent="0.35">
      <c r="A2795" s="63">
        <f t="shared" si="87"/>
        <v>2794</v>
      </c>
      <c r="B2795" s="54" t="s">
        <v>6444</v>
      </c>
      <c r="C2795" s="55" t="s">
        <v>6445</v>
      </c>
      <c r="D2795" s="54" t="s">
        <v>6182</v>
      </c>
      <c r="E2795" s="56">
        <v>0</v>
      </c>
      <c r="F2795" s="57" t="s">
        <v>792</v>
      </c>
      <c r="G2795" s="58">
        <v>115000</v>
      </c>
      <c r="H2795" s="59">
        <v>172500</v>
      </c>
      <c r="I2795" s="59">
        <f t="shared" si="86"/>
        <v>0</v>
      </c>
    </row>
    <row r="2796" spans="1:9" customFormat="1" x14ac:dyDescent="0.35">
      <c r="A2796" s="63">
        <f t="shared" si="87"/>
        <v>2795</v>
      </c>
      <c r="B2796" s="54" t="s">
        <v>6446</v>
      </c>
      <c r="C2796" s="55" t="s">
        <v>6447</v>
      </c>
      <c r="D2796" s="54" t="s">
        <v>6182</v>
      </c>
      <c r="E2796" s="56">
        <v>0</v>
      </c>
      <c r="F2796" s="57" t="s">
        <v>792</v>
      </c>
      <c r="G2796" s="58">
        <v>0</v>
      </c>
      <c r="H2796" s="59">
        <v>160000</v>
      </c>
      <c r="I2796" s="59">
        <f t="shared" si="86"/>
        <v>0</v>
      </c>
    </row>
    <row r="2797" spans="1:9" customFormat="1" x14ac:dyDescent="0.35">
      <c r="A2797" s="63">
        <f t="shared" si="87"/>
        <v>2796</v>
      </c>
      <c r="B2797" s="54" t="s">
        <v>6448</v>
      </c>
      <c r="C2797" s="55" t="s">
        <v>6449</v>
      </c>
      <c r="D2797" s="54" t="s">
        <v>6182</v>
      </c>
      <c r="E2797" s="56">
        <v>0</v>
      </c>
      <c r="F2797" s="57" t="s">
        <v>792</v>
      </c>
      <c r="G2797" s="58">
        <v>58500</v>
      </c>
      <c r="H2797" s="59">
        <v>58500</v>
      </c>
      <c r="I2797" s="59">
        <f t="shared" si="86"/>
        <v>0</v>
      </c>
    </row>
    <row r="2798" spans="1:9" customFormat="1" x14ac:dyDescent="0.35">
      <c r="A2798" s="63">
        <f t="shared" si="87"/>
        <v>2797</v>
      </c>
      <c r="B2798" s="54" t="s">
        <v>6450</v>
      </c>
      <c r="C2798" s="55" t="s">
        <v>6451</v>
      </c>
      <c r="D2798" s="54" t="s">
        <v>6182</v>
      </c>
      <c r="E2798" s="56">
        <v>0</v>
      </c>
      <c r="F2798" s="57" t="s">
        <v>792</v>
      </c>
      <c r="G2798" s="58">
        <v>810000</v>
      </c>
      <c r="H2798" s="59">
        <v>810000</v>
      </c>
      <c r="I2798" s="59">
        <f t="shared" si="86"/>
        <v>0</v>
      </c>
    </row>
    <row r="2799" spans="1:9" customFormat="1" x14ac:dyDescent="0.35">
      <c r="A2799" s="63">
        <f t="shared" si="87"/>
        <v>2798</v>
      </c>
      <c r="B2799" s="54" t="s">
        <v>6452</v>
      </c>
      <c r="C2799" s="55" t="s">
        <v>6453</v>
      </c>
      <c r="D2799" s="54" t="s">
        <v>6454</v>
      </c>
      <c r="E2799" s="56">
        <v>0</v>
      </c>
      <c r="F2799" s="57" t="s">
        <v>977</v>
      </c>
      <c r="G2799" s="58">
        <v>0</v>
      </c>
      <c r="H2799" s="59">
        <v>0</v>
      </c>
      <c r="I2799" s="59">
        <f t="shared" si="86"/>
        <v>0</v>
      </c>
    </row>
    <row r="2800" spans="1:9" customFormat="1" x14ac:dyDescent="0.35">
      <c r="A2800" s="63">
        <f t="shared" si="87"/>
        <v>2799</v>
      </c>
      <c r="B2800" s="54" t="s">
        <v>6455</v>
      </c>
      <c r="C2800" s="55" t="s">
        <v>6456</v>
      </c>
      <c r="D2800" s="54" t="s">
        <v>6454</v>
      </c>
      <c r="E2800" s="56">
        <v>0</v>
      </c>
      <c r="F2800" s="57" t="s">
        <v>792</v>
      </c>
      <c r="G2800" s="58">
        <v>0</v>
      </c>
      <c r="H2800" s="59">
        <v>0</v>
      </c>
      <c r="I2800" s="59">
        <f t="shared" si="86"/>
        <v>0</v>
      </c>
    </row>
    <row r="2801" spans="1:9" customFormat="1" x14ac:dyDescent="0.35">
      <c r="A2801" s="63">
        <f t="shared" si="87"/>
        <v>2800</v>
      </c>
      <c r="B2801" s="54" t="s">
        <v>6457</v>
      </c>
      <c r="C2801" s="55" t="s">
        <v>6458</v>
      </c>
      <c r="D2801" s="54" t="s">
        <v>6454</v>
      </c>
      <c r="E2801" s="56">
        <v>0</v>
      </c>
      <c r="F2801" s="57" t="s">
        <v>792</v>
      </c>
      <c r="G2801" s="58">
        <v>0</v>
      </c>
      <c r="H2801" s="59">
        <v>0</v>
      </c>
      <c r="I2801" s="59">
        <f t="shared" si="86"/>
        <v>0</v>
      </c>
    </row>
    <row r="2802" spans="1:9" customFormat="1" ht="23" x14ac:dyDescent="0.35">
      <c r="A2802" s="63">
        <f t="shared" si="87"/>
        <v>2801</v>
      </c>
      <c r="B2802" s="54" t="s">
        <v>6459</v>
      </c>
      <c r="C2802" s="55" t="s">
        <v>6460</v>
      </c>
      <c r="D2802" s="54" t="s">
        <v>6454</v>
      </c>
      <c r="E2802" s="56">
        <v>0</v>
      </c>
      <c r="F2802" s="57" t="s">
        <v>792</v>
      </c>
      <c r="G2802" s="58">
        <v>0</v>
      </c>
      <c r="H2802" s="59">
        <v>0</v>
      </c>
      <c r="I2802" s="59">
        <f t="shared" si="86"/>
        <v>0</v>
      </c>
    </row>
    <row r="2803" spans="1:9" customFormat="1" x14ac:dyDescent="0.35">
      <c r="A2803" s="63">
        <f t="shared" si="87"/>
        <v>2802</v>
      </c>
      <c r="B2803" s="54" t="s">
        <v>6461</v>
      </c>
      <c r="C2803" s="55" t="s">
        <v>6462</v>
      </c>
      <c r="D2803" s="54" t="s">
        <v>6454</v>
      </c>
      <c r="E2803" s="56">
        <v>0</v>
      </c>
      <c r="F2803" s="57" t="s">
        <v>792</v>
      </c>
      <c r="G2803" s="58">
        <v>245</v>
      </c>
      <c r="H2803" s="59">
        <v>245</v>
      </c>
      <c r="I2803" s="59">
        <f t="shared" si="86"/>
        <v>0</v>
      </c>
    </row>
    <row r="2804" spans="1:9" customFormat="1" x14ac:dyDescent="0.35">
      <c r="A2804" s="63">
        <f t="shared" si="87"/>
        <v>2803</v>
      </c>
      <c r="B2804" s="54" t="s">
        <v>6463</v>
      </c>
      <c r="C2804" s="55" t="s">
        <v>6464</v>
      </c>
      <c r="D2804" s="54" t="s">
        <v>6454</v>
      </c>
      <c r="E2804" s="56">
        <v>0</v>
      </c>
      <c r="F2804" s="57" t="s">
        <v>792</v>
      </c>
      <c r="G2804" s="58">
        <v>0</v>
      </c>
      <c r="H2804" s="59">
        <v>0</v>
      </c>
      <c r="I2804" s="59">
        <f t="shared" si="86"/>
        <v>0</v>
      </c>
    </row>
    <row r="2805" spans="1:9" customFormat="1" x14ac:dyDescent="0.35">
      <c r="A2805" s="63">
        <f t="shared" si="87"/>
        <v>2804</v>
      </c>
      <c r="B2805" s="54" t="s">
        <v>6465</v>
      </c>
      <c r="C2805" s="55" t="s">
        <v>6466</v>
      </c>
      <c r="D2805" s="54" t="s">
        <v>6454</v>
      </c>
      <c r="E2805" s="56">
        <v>0</v>
      </c>
      <c r="F2805" s="57" t="s">
        <v>792</v>
      </c>
      <c r="G2805" s="58">
        <v>0</v>
      </c>
      <c r="H2805" s="59">
        <v>0</v>
      </c>
      <c r="I2805" s="59">
        <f t="shared" si="86"/>
        <v>0</v>
      </c>
    </row>
    <row r="2806" spans="1:9" customFormat="1" x14ac:dyDescent="0.35">
      <c r="A2806" s="63">
        <f t="shared" si="87"/>
        <v>2805</v>
      </c>
      <c r="B2806" s="54" t="s">
        <v>6467</v>
      </c>
      <c r="C2806" s="55" t="s">
        <v>6468</v>
      </c>
      <c r="D2806" s="54" t="s">
        <v>6454</v>
      </c>
      <c r="E2806" s="56">
        <v>0</v>
      </c>
      <c r="F2806" s="57" t="s">
        <v>792</v>
      </c>
      <c r="G2806" s="58">
        <v>0</v>
      </c>
      <c r="H2806" s="59">
        <v>0</v>
      </c>
      <c r="I2806" s="59">
        <f t="shared" si="86"/>
        <v>0</v>
      </c>
    </row>
    <row r="2807" spans="1:9" customFormat="1" x14ac:dyDescent="0.35">
      <c r="A2807" s="63">
        <f t="shared" si="87"/>
        <v>2806</v>
      </c>
      <c r="B2807" s="54" t="s">
        <v>6469</v>
      </c>
      <c r="C2807" s="55" t="s">
        <v>6470</v>
      </c>
      <c r="D2807" s="54" t="s">
        <v>6454</v>
      </c>
      <c r="E2807" s="56">
        <v>0</v>
      </c>
      <c r="F2807" s="57" t="s">
        <v>792</v>
      </c>
      <c r="G2807" s="58">
        <v>0</v>
      </c>
      <c r="H2807" s="59">
        <v>0</v>
      </c>
      <c r="I2807" s="59">
        <f t="shared" si="86"/>
        <v>0</v>
      </c>
    </row>
    <row r="2808" spans="1:9" customFormat="1" x14ac:dyDescent="0.35">
      <c r="A2808" s="63">
        <f t="shared" si="87"/>
        <v>2807</v>
      </c>
      <c r="B2808" s="54" t="s">
        <v>6471</v>
      </c>
      <c r="C2808" s="55" t="s">
        <v>6472</v>
      </c>
      <c r="D2808" s="54" t="s">
        <v>6454</v>
      </c>
      <c r="E2808" s="56">
        <v>0</v>
      </c>
      <c r="F2808" s="57" t="s">
        <v>792</v>
      </c>
      <c r="G2808" s="58">
        <v>0</v>
      </c>
      <c r="H2808" s="59">
        <v>0</v>
      </c>
      <c r="I2808" s="59">
        <f t="shared" si="86"/>
        <v>0</v>
      </c>
    </row>
    <row r="2809" spans="1:9" customFormat="1" x14ac:dyDescent="0.35">
      <c r="A2809" s="63">
        <f t="shared" si="87"/>
        <v>2808</v>
      </c>
      <c r="B2809" s="54" t="s">
        <v>6473</v>
      </c>
      <c r="C2809" s="55" t="s">
        <v>6474</v>
      </c>
      <c r="D2809" s="54" t="s">
        <v>6454</v>
      </c>
      <c r="E2809" s="56">
        <v>0</v>
      </c>
      <c r="F2809" s="57" t="s">
        <v>792</v>
      </c>
      <c r="G2809" s="58">
        <v>0</v>
      </c>
      <c r="H2809" s="59">
        <v>0</v>
      </c>
      <c r="I2809" s="59">
        <f t="shared" si="86"/>
        <v>0</v>
      </c>
    </row>
    <row r="2810" spans="1:9" customFormat="1" x14ac:dyDescent="0.35">
      <c r="A2810" s="63">
        <f t="shared" si="87"/>
        <v>2809</v>
      </c>
      <c r="B2810" s="54" t="s">
        <v>6475</v>
      </c>
      <c r="C2810" s="55" t="s">
        <v>6476</v>
      </c>
      <c r="D2810" s="54" t="s">
        <v>6454</v>
      </c>
      <c r="E2810" s="56">
        <v>0</v>
      </c>
      <c r="F2810" s="57" t="s">
        <v>792</v>
      </c>
      <c r="G2810" s="58">
        <v>0</v>
      </c>
      <c r="H2810" s="59">
        <v>0</v>
      </c>
      <c r="I2810" s="59">
        <f t="shared" si="86"/>
        <v>0</v>
      </c>
    </row>
    <row r="2811" spans="1:9" customFormat="1" x14ac:dyDescent="0.35">
      <c r="A2811" s="63">
        <f t="shared" si="87"/>
        <v>2810</v>
      </c>
      <c r="B2811" s="54" t="s">
        <v>6477</v>
      </c>
      <c r="C2811" s="55" t="s">
        <v>6478</v>
      </c>
      <c r="D2811" s="54" t="s">
        <v>6454</v>
      </c>
      <c r="E2811" s="56">
        <v>0</v>
      </c>
      <c r="F2811" s="57" t="s">
        <v>792</v>
      </c>
      <c r="G2811" s="58">
        <v>0</v>
      </c>
      <c r="H2811" s="59">
        <v>0</v>
      </c>
      <c r="I2811" s="59">
        <f t="shared" si="86"/>
        <v>0</v>
      </c>
    </row>
    <row r="2812" spans="1:9" customFormat="1" x14ac:dyDescent="0.35">
      <c r="A2812" s="63">
        <f t="shared" si="87"/>
        <v>2811</v>
      </c>
      <c r="B2812" s="54" t="s">
        <v>6479</v>
      </c>
      <c r="C2812" s="55" t="s">
        <v>6480</v>
      </c>
      <c r="D2812" s="54" t="s">
        <v>6454</v>
      </c>
      <c r="E2812" s="56">
        <v>0</v>
      </c>
      <c r="F2812" s="57" t="s">
        <v>792</v>
      </c>
      <c r="G2812" s="58">
        <v>0</v>
      </c>
      <c r="H2812" s="59">
        <v>0</v>
      </c>
      <c r="I2812" s="59">
        <f t="shared" si="86"/>
        <v>0</v>
      </c>
    </row>
    <row r="2813" spans="1:9" customFormat="1" x14ac:dyDescent="0.35">
      <c r="A2813" s="63">
        <f t="shared" si="87"/>
        <v>2812</v>
      </c>
      <c r="B2813" s="54" t="s">
        <v>6481</v>
      </c>
      <c r="C2813" s="55" t="s">
        <v>6482</v>
      </c>
      <c r="D2813" s="54" t="s">
        <v>6454</v>
      </c>
      <c r="E2813" s="56">
        <v>0</v>
      </c>
      <c r="F2813" s="57" t="s">
        <v>792</v>
      </c>
      <c r="G2813" s="58">
        <v>0</v>
      </c>
      <c r="H2813" s="59">
        <v>0</v>
      </c>
      <c r="I2813" s="59">
        <f t="shared" si="86"/>
        <v>0</v>
      </c>
    </row>
    <row r="2814" spans="1:9" customFormat="1" x14ac:dyDescent="0.35">
      <c r="A2814" s="63">
        <f t="shared" si="87"/>
        <v>2813</v>
      </c>
      <c r="B2814" s="54" t="s">
        <v>6483</v>
      </c>
      <c r="C2814" s="55" t="s">
        <v>6484</v>
      </c>
      <c r="D2814" s="54" t="s">
        <v>6454</v>
      </c>
      <c r="E2814" s="56">
        <v>0</v>
      </c>
      <c r="F2814" s="57" t="s">
        <v>792</v>
      </c>
      <c r="G2814" s="58">
        <v>0</v>
      </c>
      <c r="H2814" s="59">
        <v>0</v>
      </c>
      <c r="I2814" s="59">
        <f t="shared" si="86"/>
        <v>0</v>
      </c>
    </row>
    <row r="2815" spans="1:9" customFormat="1" x14ac:dyDescent="0.35">
      <c r="A2815" s="63">
        <f t="shared" si="87"/>
        <v>2814</v>
      </c>
      <c r="B2815" s="54" t="s">
        <v>6485</v>
      </c>
      <c r="C2815" s="55" t="s">
        <v>6486</v>
      </c>
      <c r="D2815" s="54" t="s">
        <v>6454</v>
      </c>
      <c r="E2815" s="56">
        <v>0</v>
      </c>
      <c r="F2815" s="57" t="s">
        <v>792</v>
      </c>
      <c r="G2815" s="58">
        <v>0</v>
      </c>
      <c r="H2815" s="59">
        <v>0</v>
      </c>
      <c r="I2815" s="59">
        <f t="shared" si="86"/>
        <v>0</v>
      </c>
    </row>
    <row r="2816" spans="1:9" customFormat="1" x14ac:dyDescent="0.35">
      <c r="A2816" s="63">
        <f t="shared" si="87"/>
        <v>2815</v>
      </c>
      <c r="B2816" s="54" t="s">
        <v>6487</v>
      </c>
      <c r="C2816" s="55" t="s">
        <v>6488</v>
      </c>
      <c r="D2816" s="54" t="s">
        <v>6454</v>
      </c>
      <c r="E2816" s="56">
        <v>0</v>
      </c>
      <c r="F2816" s="57" t="s">
        <v>792</v>
      </c>
      <c r="G2816" s="58">
        <v>0</v>
      </c>
      <c r="H2816" s="59">
        <v>0</v>
      </c>
      <c r="I2816" s="59">
        <f t="shared" si="86"/>
        <v>0</v>
      </c>
    </row>
    <row r="2817" spans="1:9" customFormat="1" x14ac:dyDescent="0.35">
      <c r="A2817" s="63">
        <f t="shared" si="87"/>
        <v>2816</v>
      </c>
      <c r="B2817" s="54" t="s">
        <v>6489</v>
      </c>
      <c r="C2817" s="55" t="s">
        <v>6490</v>
      </c>
      <c r="D2817" s="54" t="s">
        <v>6454</v>
      </c>
      <c r="E2817" s="56">
        <v>0</v>
      </c>
      <c r="F2817" s="57" t="s">
        <v>792</v>
      </c>
      <c r="G2817" s="58">
        <v>0</v>
      </c>
      <c r="H2817" s="59">
        <v>0</v>
      </c>
      <c r="I2817" s="59">
        <f t="shared" si="86"/>
        <v>0</v>
      </c>
    </row>
    <row r="2818" spans="1:9" customFormat="1" x14ac:dyDescent="0.35">
      <c r="A2818" s="63">
        <f t="shared" si="87"/>
        <v>2817</v>
      </c>
      <c r="B2818" s="54" t="s">
        <v>6491</v>
      </c>
      <c r="C2818" s="55" t="s">
        <v>6492</v>
      </c>
      <c r="D2818" s="54" t="s">
        <v>6454</v>
      </c>
      <c r="E2818" s="56">
        <v>0</v>
      </c>
      <c r="F2818" s="57" t="s">
        <v>792</v>
      </c>
      <c r="G2818" s="58">
        <v>0</v>
      </c>
      <c r="H2818" s="59">
        <v>0</v>
      </c>
      <c r="I2818" s="59">
        <f t="shared" si="86"/>
        <v>0</v>
      </c>
    </row>
    <row r="2819" spans="1:9" customFormat="1" x14ac:dyDescent="0.35">
      <c r="A2819" s="63">
        <f t="shared" si="87"/>
        <v>2818</v>
      </c>
      <c r="B2819" s="54" t="s">
        <v>6493</v>
      </c>
      <c r="C2819" s="55" t="s">
        <v>6494</v>
      </c>
      <c r="D2819" s="54" t="s">
        <v>6454</v>
      </c>
      <c r="E2819" s="56">
        <v>0</v>
      </c>
      <c r="F2819" s="57" t="s">
        <v>792</v>
      </c>
      <c r="G2819" s="58">
        <v>0</v>
      </c>
      <c r="H2819" s="59">
        <v>0</v>
      </c>
      <c r="I2819" s="59">
        <f t="shared" ref="I2819:I2882" si="88">H2819*E2819</f>
        <v>0</v>
      </c>
    </row>
    <row r="2820" spans="1:9" customFormat="1" x14ac:dyDescent="0.35">
      <c r="A2820" s="63">
        <f t="shared" ref="A2820:A2883" si="89">A2819+1</f>
        <v>2819</v>
      </c>
      <c r="B2820" s="54" t="s">
        <v>6495</v>
      </c>
      <c r="C2820" s="55" t="s">
        <v>6496</v>
      </c>
      <c r="D2820" s="54" t="s">
        <v>6454</v>
      </c>
      <c r="E2820" s="56">
        <v>0</v>
      </c>
      <c r="F2820" s="57" t="s">
        <v>792</v>
      </c>
      <c r="G2820" s="58">
        <v>0</v>
      </c>
      <c r="H2820" s="59">
        <v>0</v>
      </c>
      <c r="I2820" s="59">
        <f t="shared" si="88"/>
        <v>0</v>
      </c>
    </row>
    <row r="2821" spans="1:9" customFormat="1" x14ac:dyDescent="0.35">
      <c r="A2821" s="63">
        <f t="shared" si="89"/>
        <v>2820</v>
      </c>
      <c r="B2821" s="54" t="s">
        <v>6497</v>
      </c>
      <c r="C2821" s="55" t="s">
        <v>6498</v>
      </c>
      <c r="D2821" s="54" t="s">
        <v>6454</v>
      </c>
      <c r="E2821" s="56">
        <v>0</v>
      </c>
      <c r="F2821" s="57" t="s">
        <v>792</v>
      </c>
      <c r="G2821" s="58">
        <v>0</v>
      </c>
      <c r="H2821" s="59">
        <v>0</v>
      </c>
      <c r="I2821" s="59">
        <f t="shared" si="88"/>
        <v>0</v>
      </c>
    </row>
    <row r="2822" spans="1:9" customFormat="1" x14ac:dyDescent="0.35">
      <c r="A2822" s="63">
        <f t="shared" si="89"/>
        <v>2821</v>
      </c>
      <c r="B2822" s="54" t="s">
        <v>6499</v>
      </c>
      <c r="C2822" s="55" t="s">
        <v>6500</v>
      </c>
      <c r="D2822" s="54" t="s">
        <v>6454</v>
      </c>
      <c r="E2822" s="56">
        <v>0</v>
      </c>
      <c r="F2822" s="57" t="s">
        <v>792</v>
      </c>
      <c r="G2822" s="58">
        <v>0</v>
      </c>
      <c r="H2822" s="59">
        <v>0</v>
      </c>
      <c r="I2822" s="59">
        <f t="shared" si="88"/>
        <v>0</v>
      </c>
    </row>
    <row r="2823" spans="1:9" customFormat="1" ht="23" x14ac:dyDescent="0.35">
      <c r="A2823" s="63">
        <f t="shared" si="89"/>
        <v>2822</v>
      </c>
      <c r="B2823" s="54" t="s">
        <v>6501</v>
      </c>
      <c r="C2823" s="55" t="s">
        <v>6502</v>
      </c>
      <c r="D2823" s="54" t="s">
        <v>6454</v>
      </c>
      <c r="E2823" s="56">
        <v>0</v>
      </c>
      <c r="F2823" s="57" t="s">
        <v>792</v>
      </c>
      <c r="G2823" s="58">
        <v>0</v>
      </c>
      <c r="H2823" s="59">
        <v>0</v>
      </c>
      <c r="I2823" s="59">
        <f t="shared" si="88"/>
        <v>0</v>
      </c>
    </row>
    <row r="2824" spans="1:9" customFormat="1" ht="23" x14ac:dyDescent="0.35">
      <c r="A2824" s="63">
        <f t="shared" si="89"/>
        <v>2823</v>
      </c>
      <c r="B2824" s="54" t="s">
        <v>6503</v>
      </c>
      <c r="C2824" s="55" t="s">
        <v>6504</v>
      </c>
      <c r="D2824" s="54" t="s">
        <v>6454</v>
      </c>
      <c r="E2824" s="56">
        <v>0</v>
      </c>
      <c r="F2824" s="57" t="s">
        <v>792</v>
      </c>
      <c r="G2824" s="58">
        <v>0</v>
      </c>
      <c r="H2824" s="59">
        <v>0</v>
      </c>
      <c r="I2824" s="59">
        <f t="shared" si="88"/>
        <v>0</v>
      </c>
    </row>
    <row r="2825" spans="1:9" customFormat="1" x14ac:dyDescent="0.35">
      <c r="A2825" s="63">
        <f t="shared" si="89"/>
        <v>2824</v>
      </c>
      <c r="B2825" s="54" t="s">
        <v>6505</v>
      </c>
      <c r="C2825" s="55" t="s">
        <v>6506</v>
      </c>
      <c r="D2825" s="54" t="s">
        <v>6454</v>
      </c>
      <c r="E2825" s="56">
        <v>0</v>
      </c>
      <c r="F2825" s="57" t="s">
        <v>792</v>
      </c>
      <c r="G2825" s="58">
        <v>0</v>
      </c>
      <c r="H2825" s="59">
        <v>0</v>
      </c>
      <c r="I2825" s="59">
        <f t="shared" si="88"/>
        <v>0</v>
      </c>
    </row>
    <row r="2826" spans="1:9" customFormat="1" ht="23" x14ac:dyDescent="0.35">
      <c r="A2826" s="63">
        <f t="shared" si="89"/>
        <v>2825</v>
      </c>
      <c r="B2826" s="54" t="s">
        <v>6507</v>
      </c>
      <c r="C2826" s="55" t="s">
        <v>6508</v>
      </c>
      <c r="D2826" s="54" t="s">
        <v>6454</v>
      </c>
      <c r="E2826" s="56">
        <v>0</v>
      </c>
      <c r="F2826" s="57" t="s">
        <v>878</v>
      </c>
      <c r="G2826" s="58">
        <v>0</v>
      </c>
      <c r="H2826" s="59">
        <v>0</v>
      </c>
      <c r="I2826" s="59">
        <f t="shared" si="88"/>
        <v>0</v>
      </c>
    </row>
    <row r="2827" spans="1:9" customFormat="1" ht="23" x14ac:dyDescent="0.35">
      <c r="A2827" s="63">
        <f t="shared" si="89"/>
        <v>2826</v>
      </c>
      <c r="B2827" s="54" t="s">
        <v>6509</v>
      </c>
      <c r="C2827" s="55" t="s">
        <v>6510</v>
      </c>
      <c r="D2827" s="54" t="s">
        <v>6454</v>
      </c>
      <c r="E2827" s="56">
        <v>0</v>
      </c>
      <c r="F2827" s="57" t="s">
        <v>878</v>
      </c>
      <c r="G2827" s="58">
        <v>0</v>
      </c>
      <c r="H2827" s="59">
        <v>0</v>
      </c>
      <c r="I2827" s="59">
        <f t="shared" si="88"/>
        <v>0</v>
      </c>
    </row>
    <row r="2828" spans="1:9" customFormat="1" x14ac:dyDescent="0.35">
      <c r="A2828" s="63">
        <f t="shared" si="89"/>
        <v>2827</v>
      </c>
      <c r="B2828" s="54" t="s">
        <v>6511</v>
      </c>
      <c r="C2828" s="55" t="s">
        <v>6512</v>
      </c>
      <c r="D2828" s="54" t="s">
        <v>6454</v>
      </c>
      <c r="E2828" s="56">
        <v>0</v>
      </c>
      <c r="F2828" s="57" t="s">
        <v>792</v>
      </c>
      <c r="G2828" s="58">
        <v>0</v>
      </c>
      <c r="H2828" s="59">
        <v>0</v>
      </c>
      <c r="I2828" s="59">
        <f t="shared" si="88"/>
        <v>0</v>
      </c>
    </row>
    <row r="2829" spans="1:9" customFormat="1" x14ac:dyDescent="0.35">
      <c r="A2829" s="63">
        <f t="shared" si="89"/>
        <v>2828</v>
      </c>
      <c r="B2829" s="54" t="s">
        <v>6513</v>
      </c>
      <c r="C2829" s="55" t="s">
        <v>6514</v>
      </c>
      <c r="D2829" s="54" t="s">
        <v>6454</v>
      </c>
      <c r="E2829" s="56">
        <v>0</v>
      </c>
      <c r="F2829" s="57" t="s">
        <v>792</v>
      </c>
      <c r="G2829" s="58">
        <v>0</v>
      </c>
      <c r="H2829" s="59">
        <v>0</v>
      </c>
      <c r="I2829" s="59">
        <f t="shared" si="88"/>
        <v>0</v>
      </c>
    </row>
    <row r="2830" spans="1:9" customFormat="1" x14ac:dyDescent="0.35">
      <c r="A2830" s="63">
        <f t="shared" si="89"/>
        <v>2829</v>
      </c>
      <c r="B2830" s="54" t="s">
        <v>6515</v>
      </c>
      <c r="C2830" s="55" t="s">
        <v>6516</v>
      </c>
      <c r="D2830" s="54" t="s">
        <v>6454</v>
      </c>
      <c r="E2830" s="56">
        <v>0</v>
      </c>
      <c r="F2830" s="57" t="s">
        <v>792</v>
      </c>
      <c r="G2830" s="58">
        <v>0</v>
      </c>
      <c r="H2830" s="59">
        <v>0</v>
      </c>
      <c r="I2830" s="59">
        <f t="shared" si="88"/>
        <v>0</v>
      </c>
    </row>
    <row r="2831" spans="1:9" customFormat="1" x14ac:dyDescent="0.35">
      <c r="A2831" s="63">
        <f t="shared" si="89"/>
        <v>2830</v>
      </c>
      <c r="B2831" s="54" t="s">
        <v>6517</v>
      </c>
      <c r="C2831" s="55" t="s">
        <v>6518</v>
      </c>
      <c r="D2831" s="54" t="s">
        <v>6454</v>
      </c>
      <c r="E2831" s="56">
        <v>0</v>
      </c>
      <c r="F2831" s="57" t="s">
        <v>792</v>
      </c>
      <c r="G2831" s="58">
        <v>0</v>
      </c>
      <c r="H2831" s="59">
        <v>0</v>
      </c>
      <c r="I2831" s="59">
        <f t="shared" si="88"/>
        <v>0</v>
      </c>
    </row>
    <row r="2832" spans="1:9" customFormat="1" x14ac:dyDescent="0.35">
      <c r="A2832" s="63">
        <f t="shared" si="89"/>
        <v>2831</v>
      </c>
      <c r="B2832" s="54" t="s">
        <v>6519</v>
      </c>
      <c r="C2832" s="55" t="s">
        <v>6520</v>
      </c>
      <c r="D2832" s="54" t="s">
        <v>6454</v>
      </c>
      <c r="E2832" s="56">
        <v>0</v>
      </c>
      <c r="F2832" s="57" t="s">
        <v>792</v>
      </c>
      <c r="G2832" s="58">
        <v>0</v>
      </c>
      <c r="H2832" s="59">
        <v>0</v>
      </c>
      <c r="I2832" s="59">
        <f t="shared" si="88"/>
        <v>0</v>
      </c>
    </row>
    <row r="2833" spans="1:9" customFormat="1" x14ac:dyDescent="0.35">
      <c r="A2833" s="63">
        <f t="shared" si="89"/>
        <v>2832</v>
      </c>
      <c r="B2833" s="54" t="s">
        <v>6521</v>
      </c>
      <c r="C2833" s="55" t="s">
        <v>6522</v>
      </c>
      <c r="D2833" s="54" t="s">
        <v>6454</v>
      </c>
      <c r="E2833" s="56">
        <v>0</v>
      </c>
      <c r="F2833" s="57" t="s">
        <v>792</v>
      </c>
      <c r="G2833" s="58">
        <v>0</v>
      </c>
      <c r="H2833" s="59">
        <v>0</v>
      </c>
      <c r="I2833" s="59">
        <f t="shared" si="88"/>
        <v>0</v>
      </c>
    </row>
    <row r="2834" spans="1:9" customFormat="1" x14ac:dyDescent="0.35">
      <c r="A2834" s="63">
        <f t="shared" si="89"/>
        <v>2833</v>
      </c>
      <c r="B2834" s="54" t="s">
        <v>6523</v>
      </c>
      <c r="C2834" s="55" t="s">
        <v>6524</v>
      </c>
      <c r="D2834" s="54" t="s">
        <v>6454</v>
      </c>
      <c r="E2834" s="56">
        <v>0</v>
      </c>
      <c r="F2834" s="57" t="s">
        <v>792</v>
      </c>
      <c r="G2834" s="58">
        <v>0</v>
      </c>
      <c r="H2834" s="59">
        <v>0</v>
      </c>
      <c r="I2834" s="59">
        <f t="shared" si="88"/>
        <v>0</v>
      </c>
    </row>
    <row r="2835" spans="1:9" customFormat="1" x14ac:dyDescent="0.35">
      <c r="A2835" s="63">
        <f t="shared" si="89"/>
        <v>2834</v>
      </c>
      <c r="B2835" s="54" t="s">
        <v>6525</v>
      </c>
      <c r="C2835" s="55" t="s">
        <v>6526</v>
      </c>
      <c r="D2835" s="54" t="s">
        <v>6454</v>
      </c>
      <c r="E2835" s="56">
        <v>0</v>
      </c>
      <c r="F2835" s="57" t="s">
        <v>792</v>
      </c>
      <c r="G2835" s="58">
        <v>0</v>
      </c>
      <c r="H2835" s="59">
        <v>0</v>
      </c>
      <c r="I2835" s="59">
        <f t="shared" si="88"/>
        <v>0</v>
      </c>
    </row>
    <row r="2836" spans="1:9" customFormat="1" x14ac:dyDescent="0.35">
      <c r="A2836" s="63">
        <f t="shared" si="89"/>
        <v>2835</v>
      </c>
      <c r="B2836" s="54" t="s">
        <v>6527</v>
      </c>
      <c r="C2836" s="55" t="s">
        <v>6528</v>
      </c>
      <c r="D2836" s="54" t="s">
        <v>6454</v>
      </c>
      <c r="E2836" s="56">
        <v>0</v>
      </c>
      <c r="F2836" s="57" t="s">
        <v>792</v>
      </c>
      <c r="G2836" s="58">
        <v>0</v>
      </c>
      <c r="H2836" s="59">
        <v>0</v>
      </c>
      <c r="I2836" s="59">
        <f t="shared" si="88"/>
        <v>0</v>
      </c>
    </row>
    <row r="2837" spans="1:9" customFormat="1" x14ac:dyDescent="0.35">
      <c r="A2837" s="63">
        <f t="shared" si="89"/>
        <v>2836</v>
      </c>
      <c r="B2837" s="54" t="s">
        <v>6529</v>
      </c>
      <c r="C2837" s="55" t="s">
        <v>6530</v>
      </c>
      <c r="D2837" s="54" t="s">
        <v>6454</v>
      </c>
      <c r="E2837" s="56">
        <v>0</v>
      </c>
      <c r="F2837" s="57" t="s">
        <v>792</v>
      </c>
      <c r="G2837" s="58">
        <v>0</v>
      </c>
      <c r="H2837" s="59">
        <v>0</v>
      </c>
      <c r="I2837" s="59">
        <f t="shared" si="88"/>
        <v>0</v>
      </c>
    </row>
    <row r="2838" spans="1:9" customFormat="1" x14ac:dyDescent="0.35">
      <c r="A2838" s="63">
        <f t="shared" si="89"/>
        <v>2837</v>
      </c>
      <c r="B2838" s="54" t="s">
        <v>6531</v>
      </c>
      <c r="C2838" s="55" t="s">
        <v>6532</v>
      </c>
      <c r="D2838" s="54" t="s">
        <v>6454</v>
      </c>
      <c r="E2838" s="56">
        <v>0</v>
      </c>
      <c r="F2838" s="57" t="s">
        <v>792</v>
      </c>
      <c r="G2838" s="58">
        <v>0</v>
      </c>
      <c r="H2838" s="59">
        <v>0</v>
      </c>
      <c r="I2838" s="59">
        <f t="shared" si="88"/>
        <v>0</v>
      </c>
    </row>
    <row r="2839" spans="1:9" customFormat="1" x14ac:dyDescent="0.35">
      <c r="A2839" s="63">
        <f t="shared" si="89"/>
        <v>2838</v>
      </c>
      <c r="B2839" s="54" t="s">
        <v>6533</v>
      </c>
      <c r="C2839" s="55" t="s">
        <v>6534</v>
      </c>
      <c r="D2839" s="54" t="s">
        <v>6454</v>
      </c>
      <c r="E2839" s="56">
        <v>0</v>
      </c>
      <c r="F2839" s="57" t="s">
        <v>792</v>
      </c>
      <c r="G2839" s="58">
        <v>1000</v>
      </c>
      <c r="H2839" s="59">
        <v>1000</v>
      </c>
      <c r="I2839" s="59">
        <f t="shared" si="88"/>
        <v>0</v>
      </c>
    </row>
    <row r="2840" spans="1:9" customFormat="1" x14ac:dyDescent="0.35">
      <c r="A2840" s="63">
        <f t="shared" si="89"/>
        <v>2839</v>
      </c>
      <c r="B2840" s="54" t="s">
        <v>6535</v>
      </c>
      <c r="C2840" s="55" t="s">
        <v>6536</v>
      </c>
      <c r="D2840" s="54" t="s">
        <v>6454</v>
      </c>
      <c r="E2840" s="56">
        <v>0</v>
      </c>
      <c r="F2840" s="57" t="s">
        <v>792</v>
      </c>
      <c r="G2840" s="58">
        <v>2200</v>
      </c>
      <c r="H2840" s="59">
        <v>2200</v>
      </c>
      <c r="I2840" s="59">
        <f t="shared" si="88"/>
        <v>0</v>
      </c>
    </row>
    <row r="2841" spans="1:9" customFormat="1" x14ac:dyDescent="0.35">
      <c r="A2841" s="63">
        <f t="shared" si="89"/>
        <v>2840</v>
      </c>
      <c r="B2841" s="54" t="s">
        <v>6537</v>
      </c>
      <c r="C2841" s="55" t="s">
        <v>6538</v>
      </c>
      <c r="D2841" s="54" t="s">
        <v>6454</v>
      </c>
      <c r="E2841" s="56">
        <v>0</v>
      </c>
      <c r="F2841" s="57" t="s">
        <v>792</v>
      </c>
      <c r="G2841" s="58">
        <v>0</v>
      </c>
      <c r="H2841" s="59">
        <v>0</v>
      </c>
      <c r="I2841" s="59">
        <f t="shared" si="88"/>
        <v>0</v>
      </c>
    </row>
    <row r="2842" spans="1:9" customFormat="1" x14ac:dyDescent="0.35">
      <c r="A2842" s="63">
        <f t="shared" si="89"/>
        <v>2841</v>
      </c>
      <c r="B2842" s="54" t="s">
        <v>6539</v>
      </c>
      <c r="C2842" s="55" t="s">
        <v>6540</v>
      </c>
      <c r="D2842" s="54" t="s">
        <v>6454</v>
      </c>
      <c r="E2842" s="56">
        <v>0</v>
      </c>
      <c r="F2842" s="57" t="s">
        <v>977</v>
      </c>
      <c r="G2842" s="58">
        <v>0</v>
      </c>
      <c r="H2842" s="59">
        <v>0</v>
      </c>
      <c r="I2842" s="59">
        <f t="shared" si="88"/>
        <v>0</v>
      </c>
    </row>
    <row r="2843" spans="1:9" customFormat="1" x14ac:dyDescent="0.35">
      <c r="A2843" s="63">
        <f t="shared" si="89"/>
        <v>2842</v>
      </c>
      <c r="B2843" s="54" t="s">
        <v>6541</v>
      </c>
      <c r="C2843" s="55" t="s">
        <v>6542</v>
      </c>
      <c r="D2843" s="54" t="s">
        <v>6454</v>
      </c>
      <c r="E2843" s="56">
        <v>0</v>
      </c>
      <c r="F2843" s="57" t="s">
        <v>878</v>
      </c>
      <c r="G2843" s="58">
        <v>0</v>
      </c>
      <c r="H2843" s="59">
        <v>0</v>
      </c>
      <c r="I2843" s="59">
        <f t="shared" si="88"/>
        <v>0</v>
      </c>
    </row>
    <row r="2844" spans="1:9" customFormat="1" x14ac:dyDescent="0.35">
      <c r="A2844" s="63">
        <f t="shared" si="89"/>
        <v>2843</v>
      </c>
      <c r="B2844" s="54" t="s">
        <v>6543</v>
      </c>
      <c r="C2844" s="55" t="s">
        <v>6544</v>
      </c>
      <c r="D2844" s="54" t="s">
        <v>6454</v>
      </c>
      <c r="E2844" s="56">
        <v>0</v>
      </c>
      <c r="F2844" s="57" t="s">
        <v>792</v>
      </c>
      <c r="G2844" s="58">
        <v>0</v>
      </c>
      <c r="H2844" s="59">
        <v>0</v>
      </c>
      <c r="I2844" s="59">
        <f t="shared" si="88"/>
        <v>0</v>
      </c>
    </row>
    <row r="2845" spans="1:9" customFormat="1" x14ac:dyDescent="0.35">
      <c r="A2845" s="63">
        <f t="shared" si="89"/>
        <v>2844</v>
      </c>
      <c r="B2845" s="54" t="s">
        <v>6545</v>
      </c>
      <c r="C2845" s="55" t="s">
        <v>6546</v>
      </c>
      <c r="D2845" s="54" t="s">
        <v>6454</v>
      </c>
      <c r="E2845" s="56">
        <v>0</v>
      </c>
      <c r="F2845" s="57" t="s">
        <v>792</v>
      </c>
      <c r="G2845" s="58">
        <v>0</v>
      </c>
      <c r="H2845" s="59">
        <v>0</v>
      </c>
      <c r="I2845" s="59">
        <f t="shared" si="88"/>
        <v>0</v>
      </c>
    </row>
    <row r="2846" spans="1:9" customFormat="1" x14ac:dyDescent="0.35">
      <c r="A2846" s="63">
        <f t="shared" si="89"/>
        <v>2845</v>
      </c>
      <c r="B2846" s="54" t="s">
        <v>6547</v>
      </c>
      <c r="C2846" s="55" t="s">
        <v>6548</v>
      </c>
      <c r="D2846" s="54" t="s">
        <v>6454</v>
      </c>
      <c r="E2846" s="56">
        <v>0</v>
      </c>
      <c r="F2846" s="57" t="s">
        <v>792</v>
      </c>
      <c r="G2846" s="58">
        <v>0</v>
      </c>
      <c r="H2846" s="59">
        <v>0</v>
      </c>
      <c r="I2846" s="59">
        <f t="shared" si="88"/>
        <v>0</v>
      </c>
    </row>
    <row r="2847" spans="1:9" customFormat="1" x14ac:dyDescent="0.35">
      <c r="A2847" s="63">
        <f t="shared" si="89"/>
        <v>2846</v>
      </c>
      <c r="B2847" s="54" t="s">
        <v>6549</v>
      </c>
      <c r="C2847" s="55" t="s">
        <v>6550</v>
      </c>
      <c r="D2847" s="54" t="s">
        <v>6454</v>
      </c>
      <c r="E2847" s="56">
        <v>0</v>
      </c>
      <c r="F2847" s="57" t="s">
        <v>792</v>
      </c>
      <c r="G2847" s="58">
        <v>0</v>
      </c>
      <c r="H2847" s="59">
        <v>0</v>
      </c>
      <c r="I2847" s="59">
        <f t="shared" si="88"/>
        <v>0</v>
      </c>
    </row>
    <row r="2848" spans="1:9" customFormat="1" x14ac:dyDescent="0.35">
      <c r="A2848" s="63">
        <f t="shared" si="89"/>
        <v>2847</v>
      </c>
      <c r="B2848" s="54" t="s">
        <v>6551</v>
      </c>
      <c r="C2848" s="55" t="s">
        <v>6552</v>
      </c>
      <c r="D2848" s="54" t="s">
        <v>6454</v>
      </c>
      <c r="E2848" s="56">
        <v>0</v>
      </c>
      <c r="F2848" s="57" t="s">
        <v>792</v>
      </c>
      <c r="G2848" s="58">
        <v>0</v>
      </c>
      <c r="H2848" s="59">
        <v>0</v>
      </c>
      <c r="I2848" s="59">
        <f t="shared" si="88"/>
        <v>0</v>
      </c>
    </row>
    <row r="2849" spans="1:9" customFormat="1" x14ac:dyDescent="0.35">
      <c r="A2849" s="63">
        <f t="shared" si="89"/>
        <v>2848</v>
      </c>
      <c r="B2849" s="54" t="s">
        <v>6553</v>
      </c>
      <c r="C2849" s="55" t="s">
        <v>6554</v>
      </c>
      <c r="D2849" s="54" t="s">
        <v>6454</v>
      </c>
      <c r="E2849" s="56">
        <v>0</v>
      </c>
      <c r="F2849" s="57" t="s">
        <v>792</v>
      </c>
      <c r="G2849" s="58">
        <v>0</v>
      </c>
      <c r="H2849" s="59">
        <v>0</v>
      </c>
      <c r="I2849" s="59">
        <f t="shared" si="88"/>
        <v>0</v>
      </c>
    </row>
    <row r="2850" spans="1:9" customFormat="1" x14ac:dyDescent="0.35">
      <c r="A2850" s="63">
        <f t="shared" si="89"/>
        <v>2849</v>
      </c>
      <c r="B2850" s="54" t="s">
        <v>6555</v>
      </c>
      <c r="C2850" s="55" t="s">
        <v>6556</v>
      </c>
      <c r="D2850" s="54" t="s">
        <v>6454</v>
      </c>
      <c r="E2850" s="56">
        <v>0</v>
      </c>
      <c r="F2850" s="57" t="s">
        <v>792</v>
      </c>
      <c r="G2850" s="58">
        <v>0</v>
      </c>
      <c r="H2850" s="59">
        <v>0</v>
      </c>
      <c r="I2850" s="59">
        <f t="shared" si="88"/>
        <v>0</v>
      </c>
    </row>
    <row r="2851" spans="1:9" customFormat="1" x14ac:dyDescent="0.35">
      <c r="A2851" s="63">
        <f t="shared" si="89"/>
        <v>2850</v>
      </c>
      <c r="B2851" s="54" t="s">
        <v>6557</v>
      </c>
      <c r="C2851" s="55" t="s">
        <v>6558</v>
      </c>
      <c r="D2851" s="54" t="s">
        <v>6454</v>
      </c>
      <c r="E2851" s="56">
        <v>0</v>
      </c>
      <c r="F2851" s="57" t="s">
        <v>792</v>
      </c>
      <c r="G2851" s="58">
        <v>0</v>
      </c>
      <c r="H2851" s="59">
        <v>0</v>
      </c>
      <c r="I2851" s="59">
        <f t="shared" si="88"/>
        <v>0</v>
      </c>
    </row>
    <row r="2852" spans="1:9" customFormat="1" x14ac:dyDescent="0.35">
      <c r="A2852" s="63">
        <f t="shared" si="89"/>
        <v>2851</v>
      </c>
      <c r="B2852" s="54" t="s">
        <v>6559</v>
      </c>
      <c r="C2852" s="55" t="s">
        <v>6560</v>
      </c>
      <c r="D2852" s="54" t="s">
        <v>6454</v>
      </c>
      <c r="E2852" s="56">
        <v>0</v>
      </c>
      <c r="F2852" s="57" t="s">
        <v>792</v>
      </c>
      <c r="G2852" s="58">
        <v>0</v>
      </c>
      <c r="H2852" s="59">
        <v>0</v>
      </c>
      <c r="I2852" s="59">
        <f t="shared" si="88"/>
        <v>0</v>
      </c>
    </row>
    <row r="2853" spans="1:9" customFormat="1" x14ac:dyDescent="0.35">
      <c r="A2853" s="63">
        <f t="shared" si="89"/>
        <v>2852</v>
      </c>
      <c r="B2853" s="54" t="s">
        <v>6561</v>
      </c>
      <c r="C2853" s="55" t="s">
        <v>6562</v>
      </c>
      <c r="D2853" s="54" t="s">
        <v>6454</v>
      </c>
      <c r="E2853" s="56">
        <v>0</v>
      </c>
      <c r="F2853" s="57" t="s">
        <v>792</v>
      </c>
      <c r="G2853" s="58">
        <v>300</v>
      </c>
      <c r="H2853" s="59">
        <v>300</v>
      </c>
      <c r="I2853" s="59">
        <f t="shared" si="88"/>
        <v>0</v>
      </c>
    </row>
    <row r="2854" spans="1:9" customFormat="1" x14ac:dyDescent="0.35">
      <c r="A2854" s="63">
        <f t="shared" si="89"/>
        <v>2853</v>
      </c>
      <c r="B2854" s="54" t="s">
        <v>6563</v>
      </c>
      <c r="C2854" s="55" t="s">
        <v>6564</v>
      </c>
      <c r="D2854" s="54" t="s">
        <v>6454</v>
      </c>
      <c r="E2854" s="56">
        <v>0</v>
      </c>
      <c r="F2854" s="57" t="s">
        <v>792</v>
      </c>
      <c r="G2854" s="58">
        <v>0</v>
      </c>
      <c r="H2854" s="59">
        <v>0</v>
      </c>
      <c r="I2854" s="59">
        <f t="shared" si="88"/>
        <v>0</v>
      </c>
    </row>
    <row r="2855" spans="1:9" customFormat="1" x14ac:dyDescent="0.35">
      <c r="A2855" s="63">
        <f t="shared" si="89"/>
        <v>2854</v>
      </c>
      <c r="B2855" s="54" t="s">
        <v>6565</v>
      </c>
      <c r="C2855" s="55" t="s">
        <v>6566</v>
      </c>
      <c r="D2855" s="54" t="s">
        <v>6454</v>
      </c>
      <c r="E2855" s="56">
        <v>0</v>
      </c>
      <c r="F2855" s="57" t="s">
        <v>792</v>
      </c>
      <c r="G2855" s="58">
        <v>0</v>
      </c>
      <c r="H2855" s="59">
        <v>0</v>
      </c>
      <c r="I2855" s="59">
        <f t="shared" si="88"/>
        <v>0</v>
      </c>
    </row>
    <row r="2856" spans="1:9" customFormat="1" x14ac:dyDescent="0.35">
      <c r="A2856" s="63">
        <f t="shared" si="89"/>
        <v>2855</v>
      </c>
      <c r="B2856" s="54" t="s">
        <v>6567</v>
      </c>
      <c r="C2856" s="55" t="s">
        <v>6568</v>
      </c>
      <c r="D2856" s="54" t="s">
        <v>6454</v>
      </c>
      <c r="E2856" s="56">
        <v>0</v>
      </c>
      <c r="F2856" s="57" t="s">
        <v>792</v>
      </c>
      <c r="G2856" s="58">
        <v>0</v>
      </c>
      <c r="H2856" s="59">
        <v>0</v>
      </c>
      <c r="I2856" s="59">
        <f t="shared" si="88"/>
        <v>0</v>
      </c>
    </row>
    <row r="2857" spans="1:9" customFormat="1" x14ac:dyDescent="0.35">
      <c r="A2857" s="63">
        <f t="shared" si="89"/>
        <v>2856</v>
      </c>
      <c r="B2857" s="54" t="s">
        <v>6569</v>
      </c>
      <c r="C2857" s="55" t="s">
        <v>6570</v>
      </c>
      <c r="D2857" s="54" t="s">
        <v>6454</v>
      </c>
      <c r="E2857" s="56">
        <v>0</v>
      </c>
      <c r="F2857" s="57" t="s">
        <v>792</v>
      </c>
      <c r="G2857" s="58">
        <v>0</v>
      </c>
      <c r="H2857" s="59">
        <v>0</v>
      </c>
      <c r="I2857" s="59">
        <f t="shared" si="88"/>
        <v>0</v>
      </c>
    </row>
    <row r="2858" spans="1:9" customFormat="1" x14ac:dyDescent="0.35">
      <c r="A2858" s="63">
        <f t="shared" si="89"/>
        <v>2857</v>
      </c>
      <c r="B2858" s="54" t="s">
        <v>6571</v>
      </c>
      <c r="C2858" s="55" t="s">
        <v>6572</v>
      </c>
      <c r="D2858" s="54" t="s">
        <v>6454</v>
      </c>
      <c r="E2858" s="56">
        <v>0</v>
      </c>
      <c r="F2858" s="57" t="s">
        <v>1217</v>
      </c>
      <c r="G2858" s="58">
        <v>0</v>
      </c>
      <c r="H2858" s="59">
        <v>0</v>
      </c>
      <c r="I2858" s="59">
        <f t="shared" si="88"/>
        <v>0</v>
      </c>
    </row>
    <row r="2859" spans="1:9" customFormat="1" x14ac:dyDescent="0.35">
      <c r="A2859" s="63">
        <f t="shared" si="89"/>
        <v>2858</v>
      </c>
      <c r="B2859" s="54" t="s">
        <v>6573</v>
      </c>
      <c r="C2859" s="55" t="s">
        <v>6574</v>
      </c>
      <c r="D2859" s="54" t="s">
        <v>6454</v>
      </c>
      <c r="E2859" s="56">
        <v>0</v>
      </c>
      <c r="F2859" s="57" t="s">
        <v>792</v>
      </c>
      <c r="G2859" s="58">
        <v>0</v>
      </c>
      <c r="H2859" s="59">
        <v>0</v>
      </c>
      <c r="I2859" s="59">
        <f t="shared" si="88"/>
        <v>0</v>
      </c>
    </row>
    <row r="2860" spans="1:9" customFormat="1" x14ac:dyDescent="0.35">
      <c r="A2860" s="63">
        <f t="shared" si="89"/>
        <v>2859</v>
      </c>
      <c r="B2860" s="54" t="s">
        <v>6575</v>
      </c>
      <c r="C2860" s="55" t="s">
        <v>6576</v>
      </c>
      <c r="D2860" s="54" t="s">
        <v>6454</v>
      </c>
      <c r="E2860" s="56">
        <v>0</v>
      </c>
      <c r="F2860" s="57" t="s">
        <v>1217</v>
      </c>
      <c r="G2860" s="58">
        <v>0</v>
      </c>
      <c r="H2860" s="59">
        <v>0</v>
      </c>
      <c r="I2860" s="59">
        <f t="shared" si="88"/>
        <v>0</v>
      </c>
    </row>
    <row r="2861" spans="1:9" customFormat="1" x14ac:dyDescent="0.35">
      <c r="A2861" s="63">
        <f t="shared" si="89"/>
        <v>2860</v>
      </c>
      <c r="B2861" s="54" t="s">
        <v>6577</v>
      </c>
      <c r="C2861" s="55" t="s">
        <v>6578</v>
      </c>
      <c r="D2861" s="54" t="s">
        <v>6454</v>
      </c>
      <c r="E2861" s="56">
        <v>0</v>
      </c>
      <c r="F2861" s="57" t="s">
        <v>1003</v>
      </c>
      <c r="G2861" s="58">
        <v>0</v>
      </c>
      <c r="H2861" s="59">
        <v>0</v>
      </c>
      <c r="I2861" s="59">
        <f t="shared" si="88"/>
        <v>0</v>
      </c>
    </row>
    <row r="2862" spans="1:9" customFormat="1" ht="23" x14ac:dyDescent="0.35">
      <c r="A2862" s="63">
        <f t="shared" si="89"/>
        <v>2861</v>
      </c>
      <c r="B2862" s="54" t="s">
        <v>6579</v>
      </c>
      <c r="C2862" s="55" t="s">
        <v>6580</v>
      </c>
      <c r="D2862" s="54" t="s">
        <v>6454</v>
      </c>
      <c r="E2862" s="56">
        <v>0</v>
      </c>
      <c r="F2862" s="57" t="s">
        <v>792</v>
      </c>
      <c r="G2862" s="58">
        <v>0</v>
      </c>
      <c r="H2862" s="59">
        <v>0</v>
      </c>
      <c r="I2862" s="59">
        <f t="shared" si="88"/>
        <v>0</v>
      </c>
    </row>
    <row r="2863" spans="1:9" customFormat="1" ht="23" x14ac:dyDescent="0.35">
      <c r="A2863" s="63">
        <f t="shared" si="89"/>
        <v>2862</v>
      </c>
      <c r="B2863" s="54" t="s">
        <v>6581</v>
      </c>
      <c r="C2863" s="55" t="s">
        <v>6582</v>
      </c>
      <c r="D2863" s="54" t="s">
        <v>6454</v>
      </c>
      <c r="E2863" s="56">
        <v>0</v>
      </c>
      <c r="F2863" s="57" t="s">
        <v>792</v>
      </c>
      <c r="G2863" s="58">
        <v>0</v>
      </c>
      <c r="H2863" s="59">
        <v>0</v>
      </c>
      <c r="I2863" s="59">
        <f t="shared" si="88"/>
        <v>0</v>
      </c>
    </row>
    <row r="2864" spans="1:9" customFormat="1" ht="23" x14ac:dyDescent="0.35">
      <c r="A2864" s="63">
        <f t="shared" si="89"/>
        <v>2863</v>
      </c>
      <c r="B2864" s="54" t="s">
        <v>6583</v>
      </c>
      <c r="C2864" s="55" t="s">
        <v>6584</v>
      </c>
      <c r="D2864" s="54" t="s">
        <v>6454</v>
      </c>
      <c r="E2864" s="56">
        <v>0</v>
      </c>
      <c r="F2864" s="57" t="s">
        <v>792</v>
      </c>
      <c r="G2864" s="58">
        <v>0</v>
      </c>
      <c r="H2864" s="59">
        <v>0</v>
      </c>
      <c r="I2864" s="59">
        <f t="shared" si="88"/>
        <v>0</v>
      </c>
    </row>
    <row r="2865" spans="1:9" customFormat="1" ht="23" x14ac:dyDescent="0.35">
      <c r="A2865" s="63">
        <f t="shared" si="89"/>
        <v>2864</v>
      </c>
      <c r="B2865" s="54" t="s">
        <v>6585</v>
      </c>
      <c r="C2865" s="55" t="s">
        <v>6586</v>
      </c>
      <c r="D2865" s="54" t="s">
        <v>6454</v>
      </c>
      <c r="E2865" s="56">
        <v>0</v>
      </c>
      <c r="F2865" s="57" t="s">
        <v>792</v>
      </c>
      <c r="G2865" s="58">
        <v>0</v>
      </c>
      <c r="H2865" s="59">
        <v>0</v>
      </c>
      <c r="I2865" s="59">
        <f t="shared" si="88"/>
        <v>0</v>
      </c>
    </row>
    <row r="2866" spans="1:9" customFormat="1" ht="23" x14ac:dyDescent="0.35">
      <c r="A2866" s="63">
        <f t="shared" si="89"/>
        <v>2865</v>
      </c>
      <c r="B2866" s="54" t="s">
        <v>6587</v>
      </c>
      <c r="C2866" s="55" t="s">
        <v>6588</v>
      </c>
      <c r="D2866" s="54" t="s">
        <v>6454</v>
      </c>
      <c r="E2866" s="56">
        <v>0</v>
      </c>
      <c r="F2866" s="57" t="s">
        <v>792</v>
      </c>
      <c r="G2866" s="58">
        <v>0</v>
      </c>
      <c r="H2866" s="59">
        <v>0</v>
      </c>
      <c r="I2866" s="59">
        <f t="shared" si="88"/>
        <v>0</v>
      </c>
    </row>
    <row r="2867" spans="1:9" customFormat="1" ht="23" x14ac:dyDescent="0.35">
      <c r="A2867" s="63">
        <f t="shared" si="89"/>
        <v>2866</v>
      </c>
      <c r="B2867" s="54" t="s">
        <v>6589</v>
      </c>
      <c r="C2867" s="55" t="s">
        <v>6590</v>
      </c>
      <c r="D2867" s="54" t="s">
        <v>6454</v>
      </c>
      <c r="E2867" s="56">
        <v>0</v>
      </c>
      <c r="F2867" s="57" t="s">
        <v>792</v>
      </c>
      <c r="G2867" s="58">
        <v>0</v>
      </c>
      <c r="H2867" s="59">
        <v>0</v>
      </c>
      <c r="I2867" s="59">
        <f t="shared" si="88"/>
        <v>0</v>
      </c>
    </row>
    <row r="2868" spans="1:9" customFormat="1" ht="23" x14ac:dyDescent="0.35">
      <c r="A2868" s="63">
        <f t="shared" si="89"/>
        <v>2867</v>
      </c>
      <c r="B2868" s="54" t="s">
        <v>6591</v>
      </c>
      <c r="C2868" s="55" t="s">
        <v>6592</v>
      </c>
      <c r="D2868" s="54" t="s">
        <v>6454</v>
      </c>
      <c r="E2868" s="56">
        <v>0</v>
      </c>
      <c r="F2868" s="57" t="s">
        <v>792</v>
      </c>
      <c r="G2868" s="58">
        <v>0</v>
      </c>
      <c r="H2868" s="59">
        <v>0</v>
      </c>
      <c r="I2868" s="59">
        <f t="shared" si="88"/>
        <v>0</v>
      </c>
    </row>
    <row r="2869" spans="1:9" customFormat="1" ht="23" x14ac:dyDescent="0.35">
      <c r="A2869" s="63">
        <f t="shared" si="89"/>
        <v>2868</v>
      </c>
      <c r="B2869" s="54" t="s">
        <v>6593</v>
      </c>
      <c r="C2869" s="55" t="s">
        <v>6594</v>
      </c>
      <c r="D2869" s="54" t="s">
        <v>6454</v>
      </c>
      <c r="E2869" s="56">
        <v>0</v>
      </c>
      <c r="F2869" s="57" t="s">
        <v>792</v>
      </c>
      <c r="G2869" s="58">
        <v>0</v>
      </c>
      <c r="H2869" s="59">
        <v>0</v>
      </c>
      <c r="I2869" s="59">
        <f t="shared" si="88"/>
        <v>0</v>
      </c>
    </row>
    <row r="2870" spans="1:9" customFormat="1" ht="23" x14ac:dyDescent="0.35">
      <c r="A2870" s="63">
        <f t="shared" si="89"/>
        <v>2869</v>
      </c>
      <c r="B2870" s="54" t="s">
        <v>6595</v>
      </c>
      <c r="C2870" s="55" t="s">
        <v>6596</v>
      </c>
      <c r="D2870" s="54" t="s">
        <v>6454</v>
      </c>
      <c r="E2870" s="56">
        <v>0</v>
      </c>
      <c r="F2870" s="57" t="s">
        <v>792</v>
      </c>
      <c r="G2870" s="58">
        <v>0</v>
      </c>
      <c r="H2870" s="59">
        <v>0</v>
      </c>
      <c r="I2870" s="59">
        <f t="shared" si="88"/>
        <v>0</v>
      </c>
    </row>
    <row r="2871" spans="1:9" customFormat="1" x14ac:dyDescent="0.35">
      <c r="A2871" s="63">
        <f t="shared" si="89"/>
        <v>2870</v>
      </c>
      <c r="B2871" s="54" t="s">
        <v>6597</v>
      </c>
      <c r="C2871" s="55" t="s">
        <v>6598</v>
      </c>
      <c r="D2871" s="54" t="s">
        <v>6454</v>
      </c>
      <c r="E2871" s="56">
        <v>0</v>
      </c>
      <c r="F2871" s="57" t="s">
        <v>792</v>
      </c>
      <c r="G2871" s="58">
        <v>0</v>
      </c>
      <c r="H2871" s="59">
        <v>0</v>
      </c>
      <c r="I2871" s="59">
        <f t="shared" si="88"/>
        <v>0</v>
      </c>
    </row>
    <row r="2872" spans="1:9" customFormat="1" x14ac:dyDescent="0.35">
      <c r="A2872" s="63">
        <f t="shared" si="89"/>
        <v>2871</v>
      </c>
      <c r="B2872" s="54" t="s">
        <v>6599</v>
      </c>
      <c r="C2872" s="55" t="s">
        <v>6600</v>
      </c>
      <c r="D2872" s="54" t="s">
        <v>6454</v>
      </c>
      <c r="E2872" s="56">
        <v>0</v>
      </c>
      <c r="F2872" s="57" t="s">
        <v>792</v>
      </c>
      <c r="G2872" s="58">
        <v>0</v>
      </c>
      <c r="H2872" s="59">
        <v>0</v>
      </c>
      <c r="I2872" s="59">
        <f t="shared" si="88"/>
        <v>0</v>
      </c>
    </row>
    <row r="2873" spans="1:9" customFormat="1" x14ac:dyDescent="0.35">
      <c r="A2873" s="63">
        <f t="shared" si="89"/>
        <v>2872</v>
      </c>
      <c r="B2873" s="54" t="s">
        <v>6601</v>
      </c>
      <c r="C2873" s="55" t="s">
        <v>6602</v>
      </c>
      <c r="D2873" s="54" t="s">
        <v>6603</v>
      </c>
      <c r="E2873" s="56">
        <v>0</v>
      </c>
      <c r="F2873" s="57" t="s">
        <v>878</v>
      </c>
      <c r="G2873" s="58">
        <v>88500</v>
      </c>
      <c r="H2873" s="59">
        <v>130000</v>
      </c>
      <c r="I2873" s="59">
        <f t="shared" si="88"/>
        <v>0</v>
      </c>
    </row>
    <row r="2874" spans="1:9" customFormat="1" x14ac:dyDescent="0.35">
      <c r="A2874" s="63">
        <f t="shared" si="89"/>
        <v>2873</v>
      </c>
      <c r="B2874" s="54" t="s">
        <v>6604</v>
      </c>
      <c r="C2874" s="55" t="s">
        <v>6605</v>
      </c>
      <c r="D2874" s="54" t="s">
        <v>6603</v>
      </c>
      <c r="E2874" s="56">
        <v>0</v>
      </c>
      <c r="F2874" s="57" t="s">
        <v>792</v>
      </c>
      <c r="G2874" s="58">
        <v>53500</v>
      </c>
      <c r="H2874" s="59">
        <v>75000</v>
      </c>
      <c r="I2874" s="59">
        <f t="shared" si="88"/>
        <v>0</v>
      </c>
    </row>
    <row r="2875" spans="1:9" customFormat="1" x14ac:dyDescent="0.35">
      <c r="A2875" s="63">
        <f t="shared" si="89"/>
        <v>2874</v>
      </c>
      <c r="B2875" s="54" t="s">
        <v>6606</v>
      </c>
      <c r="C2875" s="55" t="s">
        <v>6607</v>
      </c>
      <c r="D2875" s="54" t="s">
        <v>6603</v>
      </c>
      <c r="E2875" s="56">
        <v>0</v>
      </c>
      <c r="F2875" s="57" t="s">
        <v>792</v>
      </c>
      <c r="G2875" s="58">
        <v>0</v>
      </c>
      <c r="H2875" s="59">
        <v>72500</v>
      </c>
      <c r="I2875" s="59">
        <f t="shared" si="88"/>
        <v>0</v>
      </c>
    </row>
    <row r="2876" spans="1:9" customFormat="1" x14ac:dyDescent="0.35">
      <c r="A2876" s="63">
        <f t="shared" si="89"/>
        <v>2875</v>
      </c>
      <c r="B2876" s="54" t="s">
        <v>6608</v>
      </c>
      <c r="C2876" s="55" t="s">
        <v>6609</v>
      </c>
      <c r="D2876" s="54" t="s">
        <v>6603</v>
      </c>
      <c r="E2876" s="56">
        <v>0</v>
      </c>
      <c r="F2876" s="57" t="s">
        <v>792</v>
      </c>
      <c r="G2876" s="58">
        <v>93000</v>
      </c>
      <c r="H2876" s="59">
        <v>130500</v>
      </c>
      <c r="I2876" s="59">
        <f t="shared" si="88"/>
        <v>0</v>
      </c>
    </row>
    <row r="2877" spans="1:9" customFormat="1" x14ac:dyDescent="0.35">
      <c r="A2877" s="63">
        <f t="shared" si="89"/>
        <v>2876</v>
      </c>
      <c r="B2877" s="54" t="s">
        <v>6610</v>
      </c>
      <c r="C2877" s="55" t="s">
        <v>6611</v>
      </c>
      <c r="D2877" s="54" t="s">
        <v>6603</v>
      </c>
      <c r="E2877" s="56">
        <v>0</v>
      </c>
      <c r="F2877" s="57" t="s">
        <v>792</v>
      </c>
      <c r="G2877" s="58">
        <v>240000</v>
      </c>
      <c r="H2877" s="59">
        <v>336000</v>
      </c>
      <c r="I2877" s="59">
        <f t="shared" si="88"/>
        <v>0</v>
      </c>
    </row>
    <row r="2878" spans="1:9" customFormat="1" x14ac:dyDescent="0.35">
      <c r="A2878" s="63">
        <f t="shared" si="89"/>
        <v>2877</v>
      </c>
      <c r="B2878" s="54" t="s">
        <v>6612</v>
      </c>
      <c r="C2878" s="55" t="s">
        <v>6613</v>
      </c>
      <c r="D2878" s="54" t="s">
        <v>6603</v>
      </c>
      <c r="E2878" s="56">
        <v>0</v>
      </c>
      <c r="F2878" s="57" t="s">
        <v>878</v>
      </c>
      <c r="G2878" s="58">
        <v>290000</v>
      </c>
      <c r="H2878" s="59">
        <v>406000</v>
      </c>
      <c r="I2878" s="59">
        <f t="shared" si="88"/>
        <v>0</v>
      </c>
    </row>
    <row r="2879" spans="1:9" customFormat="1" x14ac:dyDescent="0.35">
      <c r="A2879" s="63">
        <f t="shared" si="89"/>
        <v>2878</v>
      </c>
      <c r="B2879" s="54" t="s">
        <v>6614</v>
      </c>
      <c r="C2879" s="55" t="s">
        <v>6615</v>
      </c>
      <c r="D2879" s="54" t="s">
        <v>6603</v>
      </c>
      <c r="E2879" s="56">
        <v>0</v>
      </c>
      <c r="F2879" s="57" t="s">
        <v>1376</v>
      </c>
      <c r="G2879" s="58">
        <v>0</v>
      </c>
      <c r="H2879" s="59">
        <v>0</v>
      </c>
      <c r="I2879" s="59">
        <f t="shared" si="88"/>
        <v>0</v>
      </c>
    </row>
    <row r="2880" spans="1:9" customFormat="1" x14ac:dyDescent="0.35">
      <c r="A2880" s="63">
        <f t="shared" si="89"/>
        <v>2879</v>
      </c>
      <c r="B2880" s="54" t="s">
        <v>6616</v>
      </c>
      <c r="C2880" s="55" t="s">
        <v>6617</v>
      </c>
      <c r="D2880" s="54" t="s">
        <v>6603</v>
      </c>
      <c r="E2880" s="56">
        <v>0</v>
      </c>
      <c r="F2880" s="57" t="s">
        <v>974</v>
      </c>
      <c r="G2880" s="58">
        <v>31000</v>
      </c>
      <c r="H2880" s="59">
        <v>0</v>
      </c>
      <c r="I2880" s="59">
        <f t="shared" si="88"/>
        <v>0</v>
      </c>
    </row>
    <row r="2881" spans="1:9" customFormat="1" x14ac:dyDescent="0.35">
      <c r="A2881" s="63">
        <f t="shared" si="89"/>
        <v>2880</v>
      </c>
      <c r="B2881" s="54" t="s">
        <v>6618</v>
      </c>
      <c r="C2881" s="55" t="s">
        <v>6619</v>
      </c>
      <c r="D2881" s="54" t="s">
        <v>6603</v>
      </c>
      <c r="E2881" s="56">
        <v>0</v>
      </c>
      <c r="F2881" s="57" t="s">
        <v>974</v>
      </c>
      <c r="G2881" s="58">
        <v>29000</v>
      </c>
      <c r="H2881" s="59">
        <v>0</v>
      </c>
      <c r="I2881" s="59">
        <f t="shared" si="88"/>
        <v>0</v>
      </c>
    </row>
    <row r="2882" spans="1:9" customFormat="1" x14ac:dyDescent="0.35">
      <c r="A2882" s="63">
        <f t="shared" si="89"/>
        <v>2881</v>
      </c>
      <c r="B2882" s="54" t="s">
        <v>6620</v>
      </c>
      <c r="C2882" s="55" t="s">
        <v>6621</v>
      </c>
      <c r="D2882" s="54" t="s">
        <v>6603</v>
      </c>
      <c r="E2882" s="56">
        <v>0</v>
      </c>
      <c r="F2882" s="57" t="s">
        <v>792</v>
      </c>
      <c r="G2882" s="58">
        <v>16822.34</v>
      </c>
      <c r="H2882" s="59">
        <v>23000</v>
      </c>
      <c r="I2882" s="59">
        <f t="shared" si="88"/>
        <v>0</v>
      </c>
    </row>
    <row r="2883" spans="1:9" customFormat="1" x14ac:dyDescent="0.35">
      <c r="A2883" s="63">
        <f t="shared" si="89"/>
        <v>2882</v>
      </c>
      <c r="B2883" s="54" t="s">
        <v>6622</v>
      </c>
      <c r="C2883" s="55" t="s">
        <v>6623</v>
      </c>
      <c r="D2883" s="54" t="s">
        <v>6603</v>
      </c>
      <c r="E2883" s="56">
        <v>0</v>
      </c>
      <c r="F2883" s="57" t="s">
        <v>792</v>
      </c>
      <c r="G2883" s="58">
        <v>50000</v>
      </c>
      <c r="H2883" s="59">
        <v>75000</v>
      </c>
      <c r="I2883" s="59">
        <f t="shared" ref="I2883:I2946" si="90">H2883*E2883</f>
        <v>0</v>
      </c>
    </row>
    <row r="2884" spans="1:9" customFormat="1" x14ac:dyDescent="0.35">
      <c r="A2884" s="63">
        <f t="shared" ref="A2884:A2947" si="91">A2883+1</f>
        <v>2883</v>
      </c>
      <c r="B2884" s="54" t="s">
        <v>6624</v>
      </c>
      <c r="C2884" s="55" t="s">
        <v>6625</v>
      </c>
      <c r="D2884" s="54" t="s">
        <v>6603</v>
      </c>
      <c r="E2884" s="56">
        <v>0</v>
      </c>
      <c r="F2884" s="57" t="s">
        <v>792</v>
      </c>
      <c r="G2884" s="58">
        <v>0</v>
      </c>
      <c r="H2884" s="59">
        <v>217500</v>
      </c>
      <c r="I2884" s="59">
        <f t="shared" si="90"/>
        <v>0</v>
      </c>
    </row>
    <row r="2885" spans="1:9" customFormat="1" x14ac:dyDescent="0.35">
      <c r="A2885" s="63">
        <f t="shared" si="91"/>
        <v>2884</v>
      </c>
      <c r="B2885" s="54" t="s">
        <v>6626</v>
      </c>
      <c r="C2885" s="55" t="s">
        <v>6627</v>
      </c>
      <c r="D2885" s="54" t="s">
        <v>6603</v>
      </c>
      <c r="E2885" s="56">
        <v>0</v>
      </c>
      <c r="F2885" s="57" t="s">
        <v>792</v>
      </c>
      <c r="G2885" s="58">
        <v>1288550</v>
      </c>
      <c r="H2885" s="59">
        <v>1850000</v>
      </c>
      <c r="I2885" s="59">
        <f t="shared" si="90"/>
        <v>0</v>
      </c>
    </row>
    <row r="2886" spans="1:9" customFormat="1" ht="23" x14ac:dyDescent="0.35">
      <c r="A2886" s="63">
        <f t="shared" si="91"/>
        <v>2885</v>
      </c>
      <c r="B2886" s="54" t="s">
        <v>6628</v>
      </c>
      <c r="C2886" s="55" t="s">
        <v>6629</v>
      </c>
      <c r="D2886" s="54" t="s">
        <v>6603</v>
      </c>
      <c r="E2886" s="56">
        <v>0</v>
      </c>
      <c r="F2886" s="57" t="s">
        <v>792</v>
      </c>
      <c r="G2886" s="58">
        <v>7720</v>
      </c>
      <c r="H2886" s="59">
        <v>7720</v>
      </c>
      <c r="I2886" s="59">
        <f t="shared" si="90"/>
        <v>0</v>
      </c>
    </row>
    <row r="2887" spans="1:9" customFormat="1" x14ac:dyDescent="0.35">
      <c r="A2887" s="63">
        <f t="shared" si="91"/>
        <v>2886</v>
      </c>
      <c r="B2887" s="54" t="s">
        <v>6630</v>
      </c>
      <c r="C2887" s="55" t="s">
        <v>6631</v>
      </c>
      <c r="D2887" s="54" t="s">
        <v>6603</v>
      </c>
      <c r="E2887" s="56">
        <v>0</v>
      </c>
      <c r="F2887" s="57" t="s">
        <v>792</v>
      </c>
      <c r="G2887" s="58">
        <v>308151</v>
      </c>
      <c r="H2887" s="59">
        <v>450000</v>
      </c>
      <c r="I2887" s="59">
        <f t="shared" si="90"/>
        <v>0</v>
      </c>
    </row>
    <row r="2888" spans="1:9" customFormat="1" x14ac:dyDescent="0.35">
      <c r="A2888" s="63">
        <f t="shared" si="91"/>
        <v>2887</v>
      </c>
      <c r="B2888" s="54" t="s">
        <v>6632</v>
      </c>
      <c r="C2888" s="55" t="s">
        <v>6633</v>
      </c>
      <c r="D2888" s="54" t="s">
        <v>6603</v>
      </c>
      <c r="E2888" s="56">
        <v>0</v>
      </c>
      <c r="F2888" s="57" t="s">
        <v>792</v>
      </c>
      <c r="G2888" s="58">
        <v>65000</v>
      </c>
      <c r="H2888" s="59">
        <v>94250</v>
      </c>
      <c r="I2888" s="59">
        <f t="shared" si="90"/>
        <v>0</v>
      </c>
    </row>
    <row r="2889" spans="1:9" customFormat="1" x14ac:dyDescent="0.35">
      <c r="A2889" s="63">
        <f t="shared" si="91"/>
        <v>2888</v>
      </c>
      <c r="B2889" s="54" t="s">
        <v>6634</v>
      </c>
      <c r="C2889" s="55" t="s">
        <v>6635</v>
      </c>
      <c r="D2889" s="54" t="s">
        <v>6603</v>
      </c>
      <c r="E2889" s="56">
        <v>0</v>
      </c>
      <c r="F2889" s="57" t="s">
        <v>792</v>
      </c>
      <c r="G2889" s="58">
        <v>65000</v>
      </c>
      <c r="H2889" s="59">
        <v>94250</v>
      </c>
      <c r="I2889" s="59">
        <f t="shared" si="90"/>
        <v>0</v>
      </c>
    </row>
    <row r="2890" spans="1:9" customFormat="1" x14ac:dyDescent="0.35">
      <c r="A2890" s="63">
        <f t="shared" si="91"/>
        <v>2889</v>
      </c>
      <c r="B2890" s="54" t="s">
        <v>6636</v>
      </c>
      <c r="C2890" s="55" t="s">
        <v>6637</v>
      </c>
      <c r="D2890" s="54" t="s">
        <v>6603</v>
      </c>
      <c r="E2890" s="56">
        <v>0</v>
      </c>
      <c r="F2890" s="57" t="s">
        <v>792</v>
      </c>
      <c r="G2890" s="58">
        <v>65000</v>
      </c>
      <c r="H2890" s="59">
        <v>94250</v>
      </c>
      <c r="I2890" s="59">
        <f t="shared" si="90"/>
        <v>0</v>
      </c>
    </row>
    <row r="2891" spans="1:9" customFormat="1" x14ac:dyDescent="0.35">
      <c r="A2891" s="63">
        <f t="shared" si="91"/>
        <v>2890</v>
      </c>
      <c r="B2891" s="54" t="s">
        <v>6638</v>
      </c>
      <c r="C2891" s="55" t="s">
        <v>6639</v>
      </c>
      <c r="D2891" s="54" t="s">
        <v>6603</v>
      </c>
      <c r="E2891" s="56">
        <v>0</v>
      </c>
      <c r="F2891" s="57" t="s">
        <v>792</v>
      </c>
      <c r="G2891" s="58">
        <v>65000</v>
      </c>
      <c r="H2891" s="59">
        <v>94250</v>
      </c>
      <c r="I2891" s="59">
        <f t="shared" si="90"/>
        <v>0</v>
      </c>
    </row>
    <row r="2892" spans="1:9" customFormat="1" x14ac:dyDescent="0.35">
      <c r="A2892" s="63">
        <f t="shared" si="91"/>
        <v>2891</v>
      </c>
      <c r="B2892" s="54" t="s">
        <v>6640</v>
      </c>
      <c r="C2892" s="55" t="s">
        <v>6641</v>
      </c>
      <c r="D2892" s="54" t="s">
        <v>6603</v>
      </c>
      <c r="E2892" s="56">
        <v>0</v>
      </c>
      <c r="F2892" s="57" t="s">
        <v>792</v>
      </c>
      <c r="G2892" s="58">
        <v>0</v>
      </c>
      <c r="H2892" s="59">
        <v>90000</v>
      </c>
      <c r="I2892" s="59">
        <f t="shared" si="90"/>
        <v>0</v>
      </c>
    </row>
    <row r="2893" spans="1:9" customFormat="1" ht="23" x14ac:dyDescent="0.35">
      <c r="A2893" s="63">
        <f t="shared" si="91"/>
        <v>2892</v>
      </c>
      <c r="B2893" s="54" t="s">
        <v>6642</v>
      </c>
      <c r="C2893" s="55" t="s">
        <v>6643</v>
      </c>
      <c r="D2893" s="54" t="s">
        <v>6603</v>
      </c>
      <c r="E2893" s="56">
        <v>0</v>
      </c>
      <c r="F2893" s="57" t="s">
        <v>792</v>
      </c>
      <c r="G2893" s="58">
        <v>0</v>
      </c>
      <c r="H2893" s="59">
        <v>14000</v>
      </c>
      <c r="I2893" s="59">
        <f t="shared" si="90"/>
        <v>0</v>
      </c>
    </row>
    <row r="2894" spans="1:9" customFormat="1" x14ac:dyDescent="0.35">
      <c r="A2894" s="63">
        <f t="shared" si="91"/>
        <v>2893</v>
      </c>
      <c r="B2894" s="54" t="s">
        <v>6644</v>
      </c>
      <c r="C2894" s="55" t="s">
        <v>6645</v>
      </c>
      <c r="D2894" s="54" t="s">
        <v>6603</v>
      </c>
      <c r="E2894" s="56">
        <v>0</v>
      </c>
      <c r="F2894" s="57" t="s">
        <v>844</v>
      </c>
      <c r="G2894" s="58">
        <v>1969375</v>
      </c>
      <c r="H2894" s="59">
        <v>3025000</v>
      </c>
      <c r="I2894" s="59">
        <f t="shared" si="90"/>
        <v>0</v>
      </c>
    </row>
    <row r="2895" spans="1:9" customFormat="1" x14ac:dyDescent="0.35">
      <c r="A2895" s="63">
        <f t="shared" si="91"/>
        <v>2894</v>
      </c>
      <c r="B2895" s="54" t="s">
        <v>6646</v>
      </c>
      <c r="C2895" s="55" t="s">
        <v>6647</v>
      </c>
      <c r="D2895" s="54" t="s">
        <v>6603</v>
      </c>
      <c r="E2895" s="56">
        <v>0</v>
      </c>
      <c r="F2895" s="57" t="s">
        <v>844</v>
      </c>
      <c r="G2895" s="58">
        <v>25000</v>
      </c>
      <c r="H2895" s="59">
        <v>25000</v>
      </c>
      <c r="I2895" s="59">
        <f t="shared" si="90"/>
        <v>0</v>
      </c>
    </row>
    <row r="2896" spans="1:9" customFormat="1" x14ac:dyDescent="0.35">
      <c r="A2896" s="63">
        <f t="shared" si="91"/>
        <v>2895</v>
      </c>
      <c r="B2896" s="54" t="s">
        <v>6648</v>
      </c>
      <c r="C2896" s="55" t="s">
        <v>6649</v>
      </c>
      <c r="D2896" s="54" t="s">
        <v>6603</v>
      </c>
      <c r="E2896" s="56">
        <v>0</v>
      </c>
      <c r="F2896" s="57" t="s">
        <v>844</v>
      </c>
      <c r="G2896" s="58">
        <v>10000</v>
      </c>
      <c r="H2896" s="59">
        <v>10000</v>
      </c>
      <c r="I2896" s="59">
        <f t="shared" si="90"/>
        <v>0</v>
      </c>
    </row>
    <row r="2897" spans="1:9" customFormat="1" x14ac:dyDescent="0.35">
      <c r="A2897" s="63">
        <f t="shared" si="91"/>
        <v>2896</v>
      </c>
      <c r="B2897" s="54" t="s">
        <v>6650</v>
      </c>
      <c r="C2897" s="55" t="s">
        <v>6651</v>
      </c>
      <c r="D2897" s="54" t="s">
        <v>6603</v>
      </c>
      <c r="E2897" s="56">
        <v>0</v>
      </c>
      <c r="F2897" s="57" t="s">
        <v>844</v>
      </c>
      <c r="G2897" s="58">
        <v>10000</v>
      </c>
      <c r="H2897" s="59">
        <v>10000</v>
      </c>
      <c r="I2897" s="59">
        <f t="shared" si="90"/>
        <v>0</v>
      </c>
    </row>
    <row r="2898" spans="1:9" customFormat="1" x14ac:dyDescent="0.35">
      <c r="A2898" s="63">
        <f t="shared" si="91"/>
        <v>2897</v>
      </c>
      <c r="B2898" s="54" t="s">
        <v>6652</v>
      </c>
      <c r="C2898" s="55" t="s">
        <v>6653</v>
      </c>
      <c r="D2898" s="54" t="s">
        <v>6603</v>
      </c>
      <c r="E2898" s="56">
        <v>0</v>
      </c>
      <c r="F2898" s="57" t="s">
        <v>792</v>
      </c>
      <c r="G2898" s="58">
        <v>130000</v>
      </c>
      <c r="H2898" s="59">
        <v>200000</v>
      </c>
      <c r="I2898" s="59">
        <f t="shared" si="90"/>
        <v>0</v>
      </c>
    </row>
    <row r="2899" spans="1:9" customFormat="1" x14ac:dyDescent="0.35">
      <c r="A2899" s="63">
        <f t="shared" si="91"/>
        <v>2898</v>
      </c>
      <c r="B2899" s="54" t="s">
        <v>6654</v>
      </c>
      <c r="C2899" s="55" t="s">
        <v>6655</v>
      </c>
      <c r="D2899" s="54" t="s">
        <v>6603</v>
      </c>
      <c r="E2899" s="56">
        <v>0</v>
      </c>
      <c r="F2899" s="57" t="s">
        <v>792</v>
      </c>
      <c r="G2899" s="58">
        <v>32751</v>
      </c>
      <c r="H2899" s="59">
        <v>46200</v>
      </c>
      <c r="I2899" s="59">
        <f t="shared" si="90"/>
        <v>0</v>
      </c>
    </row>
    <row r="2900" spans="1:9" customFormat="1" x14ac:dyDescent="0.35">
      <c r="A2900" s="63">
        <f t="shared" si="91"/>
        <v>2899</v>
      </c>
      <c r="B2900" s="54" t="s">
        <v>6656</v>
      </c>
      <c r="C2900" s="55" t="s">
        <v>6657</v>
      </c>
      <c r="D2900" s="54" t="s">
        <v>6603</v>
      </c>
      <c r="E2900" s="56">
        <v>0</v>
      </c>
      <c r="F2900" s="57" t="s">
        <v>792</v>
      </c>
      <c r="G2900" s="58">
        <v>0</v>
      </c>
      <c r="H2900" s="59">
        <v>108750</v>
      </c>
      <c r="I2900" s="59">
        <f t="shared" si="90"/>
        <v>0</v>
      </c>
    </row>
    <row r="2901" spans="1:9" customFormat="1" x14ac:dyDescent="0.35">
      <c r="A2901" s="63">
        <f t="shared" si="91"/>
        <v>2900</v>
      </c>
      <c r="B2901" s="54" t="s">
        <v>6658</v>
      </c>
      <c r="C2901" s="55" t="s">
        <v>6659</v>
      </c>
      <c r="D2901" s="54" t="s">
        <v>6603</v>
      </c>
      <c r="E2901" s="56">
        <v>0</v>
      </c>
      <c r="F2901" s="57" t="s">
        <v>1217</v>
      </c>
      <c r="G2901" s="58">
        <v>0</v>
      </c>
      <c r="H2901" s="59">
        <v>395000</v>
      </c>
      <c r="I2901" s="59">
        <f t="shared" si="90"/>
        <v>0</v>
      </c>
    </row>
    <row r="2902" spans="1:9" customFormat="1" x14ac:dyDescent="0.35">
      <c r="A2902" s="63">
        <f t="shared" si="91"/>
        <v>2901</v>
      </c>
      <c r="B2902" s="54" t="s">
        <v>6660</v>
      </c>
      <c r="C2902" s="55" t="s">
        <v>6661</v>
      </c>
      <c r="D2902" s="54" t="s">
        <v>6603</v>
      </c>
      <c r="E2902" s="56">
        <v>0</v>
      </c>
      <c r="F2902" s="57" t="s">
        <v>792</v>
      </c>
      <c r="G2902" s="58">
        <v>265000</v>
      </c>
      <c r="H2902" s="59">
        <v>265000</v>
      </c>
      <c r="I2902" s="59">
        <f t="shared" si="90"/>
        <v>0</v>
      </c>
    </row>
    <row r="2903" spans="1:9" customFormat="1" x14ac:dyDescent="0.35">
      <c r="A2903" s="63">
        <f t="shared" si="91"/>
        <v>2902</v>
      </c>
      <c r="B2903" s="54" t="s">
        <v>6662</v>
      </c>
      <c r="C2903" s="55" t="s">
        <v>6663</v>
      </c>
      <c r="D2903" s="54" t="s">
        <v>6603</v>
      </c>
      <c r="E2903" s="56">
        <v>0</v>
      </c>
      <c r="F2903" s="57" t="s">
        <v>792</v>
      </c>
      <c r="G2903" s="58">
        <v>265400</v>
      </c>
      <c r="H2903" s="59">
        <v>514750</v>
      </c>
      <c r="I2903" s="59">
        <f t="shared" si="90"/>
        <v>0</v>
      </c>
    </row>
    <row r="2904" spans="1:9" customFormat="1" x14ac:dyDescent="0.35">
      <c r="A2904" s="63">
        <f t="shared" si="91"/>
        <v>2903</v>
      </c>
      <c r="B2904" s="54" t="s">
        <v>6664</v>
      </c>
      <c r="C2904" s="55" t="s">
        <v>6665</v>
      </c>
      <c r="D2904" s="54" t="s">
        <v>6603</v>
      </c>
      <c r="E2904" s="56">
        <v>0</v>
      </c>
      <c r="F2904" s="57" t="s">
        <v>792</v>
      </c>
      <c r="G2904" s="58">
        <v>0</v>
      </c>
      <c r="H2904" s="59">
        <v>33350</v>
      </c>
      <c r="I2904" s="59">
        <f t="shared" si="90"/>
        <v>0</v>
      </c>
    </row>
    <row r="2905" spans="1:9" customFormat="1" x14ac:dyDescent="0.35">
      <c r="A2905" s="63">
        <f t="shared" si="91"/>
        <v>2904</v>
      </c>
      <c r="B2905" s="54" t="s">
        <v>6666</v>
      </c>
      <c r="C2905" s="55" t="s">
        <v>6667</v>
      </c>
      <c r="D2905" s="54" t="s">
        <v>6603</v>
      </c>
      <c r="E2905" s="56">
        <v>0</v>
      </c>
      <c r="F2905" s="57" t="s">
        <v>878</v>
      </c>
      <c r="G2905" s="58">
        <v>0</v>
      </c>
      <c r="H2905" s="59">
        <v>690000</v>
      </c>
      <c r="I2905" s="59">
        <f t="shared" si="90"/>
        <v>0</v>
      </c>
    </row>
    <row r="2906" spans="1:9" customFormat="1" x14ac:dyDescent="0.35">
      <c r="A2906" s="63">
        <f t="shared" si="91"/>
        <v>2905</v>
      </c>
      <c r="B2906" s="54" t="s">
        <v>6668</v>
      </c>
      <c r="C2906" s="55" t="s">
        <v>6669</v>
      </c>
      <c r="D2906" s="54" t="s">
        <v>6603</v>
      </c>
      <c r="E2906" s="56">
        <v>0</v>
      </c>
      <c r="F2906" s="57" t="s">
        <v>792</v>
      </c>
      <c r="G2906" s="58">
        <v>1380000</v>
      </c>
      <c r="H2906" s="59">
        <v>2100000</v>
      </c>
      <c r="I2906" s="59">
        <f t="shared" si="90"/>
        <v>0</v>
      </c>
    </row>
    <row r="2907" spans="1:9" customFormat="1" x14ac:dyDescent="0.35">
      <c r="A2907" s="63">
        <f t="shared" si="91"/>
        <v>2906</v>
      </c>
      <c r="B2907" s="54" t="s">
        <v>6670</v>
      </c>
      <c r="C2907" s="55" t="s">
        <v>6671</v>
      </c>
      <c r="D2907" s="54" t="s">
        <v>6603</v>
      </c>
      <c r="E2907" s="56">
        <v>0</v>
      </c>
      <c r="F2907" s="57" t="s">
        <v>792</v>
      </c>
      <c r="G2907" s="58">
        <v>3500</v>
      </c>
      <c r="H2907" s="59">
        <v>3500</v>
      </c>
      <c r="I2907" s="59">
        <f t="shared" si="90"/>
        <v>0</v>
      </c>
    </row>
    <row r="2908" spans="1:9" customFormat="1" x14ac:dyDescent="0.35">
      <c r="A2908" s="63">
        <f t="shared" si="91"/>
        <v>2907</v>
      </c>
      <c r="B2908" s="54" t="s">
        <v>6672</v>
      </c>
      <c r="C2908" s="55" t="s">
        <v>6673</v>
      </c>
      <c r="D2908" s="54" t="s">
        <v>6603</v>
      </c>
      <c r="E2908" s="56">
        <v>0</v>
      </c>
      <c r="F2908" s="57" t="s">
        <v>792</v>
      </c>
      <c r="G2908" s="58">
        <v>0</v>
      </c>
      <c r="H2908" s="59">
        <v>1750000</v>
      </c>
      <c r="I2908" s="59">
        <f t="shared" si="90"/>
        <v>0</v>
      </c>
    </row>
    <row r="2909" spans="1:9" customFormat="1" ht="23" x14ac:dyDescent="0.35">
      <c r="A2909" s="63">
        <f t="shared" si="91"/>
        <v>2908</v>
      </c>
      <c r="B2909" s="54" t="s">
        <v>6674</v>
      </c>
      <c r="C2909" s="55" t="s">
        <v>6675</v>
      </c>
      <c r="D2909" s="54" t="s">
        <v>6603</v>
      </c>
      <c r="E2909" s="56">
        <v>0</v>
      </c>
      <c r="F2909" s="57" t="s">
        <v>844</v>
      </c>
      <c r="G2909" s="58">
        <v>1350000</v>
      </c>
      <c r="H2909" s="59">
        <v>0</v>
      </c>
      <c r="I2909" s="59">
        <f t="shared" si="90"/>
        <v>0</v>
      </c>
    </row>
    <row r="2910" spans="1:9" customFormat="1" x14ac:dyDescent="0.35">
      <c r="A2910" s="63">
        <f t="shared" si="91"/>
        <v>2909</v>
      </c>
      <c r="B2910" s="54" t="s">
        <v>6676</v>
      </c>
      <c r="C2910" s="55" t="s">
        <v>6677</v>
      </c>
      <c r="D2910" s="54" t="s">
        <v>6603</v>
      </c>
      <c r="E2910" s="56">
        <v>0</v>
      </c>
      <c r="F2910" s="57" t="s">
        <v>792</v>
      </c>
      <c r="G2910" s="58">
        <v>0</v>
      </c>
      <c r="H2910" s="59">
        <v>120000</v>
      </c>
      <c r="I2910" s="59">
        <f t="shared" si="90"/>
        <v>0</v>
      </c>
    </row>
    <row r="2911" spans="1:9" customFormat="1" x14ac:dyDescent="0.35">
      <c r="A2911" s="63">
        <f t="shared" si="91"/>
        <v>2910</v>
      </c>
      <c r="B2911" s="54" t="s">
        <v>6678</v>
      </c>
      <c r="C2911" s="55" t="s">
        <v>6679</v>
      </c>
      <c r="D2911" s="54" t="s">
        <v>6603</v>
      </c>
      <c r="E2911" s="56">
        <v>0</v>
      </c>
      <c r="F2911" s="57" t="s">
        <v>844</v>
      </c>
      <c r="G2911" s="58">
        <v>440000</v>
      </c>
      <c r="H2911" s="59">
        <v>535000</v>
      </c>
      <c r="I2911" s="59">
        <f t="shared" si="90"/>
        <v>0</v>
      </c>
    </row>
    <row r="2912" spans="1:9" customFormat="1" x14ac:dyDescent="0.35">
      <c r="A2912" s="63">
        <f t="shared" si="91"/>
        <v>2911</v>
      </c>
      <c r="B2912" s="54" t="s">
        <v>6680</v>
      </c>
      <c r="C2912" s="55" t="s">
        <v>6681</v>
      </c>
      <c r="D2912" s="54" t="s">
        <v>6603</v>
      </c>
      <c r="E2912" s="56">
        <v>0</v>
      </c>
      <c r="F2912" s="57" t="s">
        <v>792</v>
      </c>
      <c r="G2912" s="58">
        <v>109028</v>
      </c>
      <c r="H2912" s="59">
        <v>186000</v>
      </c>
      <c r="I2912" s="59">
        <f t="shared" si="90"/>
        <v>0</v>
      </c>
    </row>
    <row r="2913" spans="1:9" customFormat="1" x14ac:dyDescent="0.35">
      <c r="A2913" s="63">
        <f t="shared" si="91"/>
        <v>2912</v>
      </c>
      <c r="B2913" s="54" t="s">
        <v>6682</v>
      </c>
      <c r="C2913" s="55" t="s">
        <v>6683</v>
      </c>
      <c r="D2913" s="54" t="s">
        <v>6603</v>
      </c>
      <c r="E2913" s="56">
        <v>0</v>
      </c>
      <c r="F2913" s="57" t="s">
        <v>792</v>
      </c>
      <c r="G2913" s="58">
        <v>103625</v>
      </c>
      <c r="H2913" s="59">
        <v>165000</v>
      </c>
      <c r="I2913" s="59">
        <f t="shared" si="90"/>
        <v>0</v>
      </c>
    </row>
    <row r="2914" spans="1:9" customFormat="1" x14ac:dyDescent="0.35">
      <c r="A2914" s="63">
        <f t="shared" si="91"/>
        <v>2913</v>
      </c>
      <c r="B2914" s="54" t="s">
        <v>6684</v>
      </c>
      <c r="C2914" s="55" t="s">
        <v>6685</v>
      </c>
      <c r="D2914" s="54" t="s">
        <v>6603</v>
      </c>
      <c r="E2914" s="56">
        <v>0</v>
      </c>
      <c r="F2914" s="57" t="s">
        <v>792</v>
      </c>
      <c r="G2914" s="58">
        <v>148000</v>
      </c>
      <c r="H2914" s="59">
        <v>204400</v>
      </c>
      <c r="I2914" s="59">
        <f t="shared" si="90"/>
        <v>0</v>
      </c>
    </row>
    <row r="2915" spans="1:9" customFormat="1" x14ac:dyDescent="0.35">
      <c r="A2915" s="63">
        <f t="shared" si="91"/>
        <v>2914</v>
      </c>
      <c r="B2915" s="54" t="s">
        <v>6686</v>
      </c>
      <c r="C2915" s="55" t="s">
        <v>6687</v>
      </c>
      <c r="D2915" s="54" t="s">
        <v>6603</v>
      </c>
      <c r="E2915" s="56">
        <v>0</v>
      </c>
      <c r="F2915" s="57" t="s">
        <v>792</v>
      </c>
      <c r="G2915" s="58">
        <v>74400</v>
      </c>
      <c r="H2915" s="59">
        <v>120000</v>
      </c>
      <c r="I2915" s="59">
        <f t="shared" si="90"/>
        <v>0</v>
      </c>
    </row>
    <row r="2916" spans="1:9" customFormat="1" ht="23" x14ac:dyDescent="0.35">
      <c r="A2916" s="63">
        <f t="shared" si="91"/>
        <v>2915</v>
      </c>
      <c r="B2916" s="54" t="s">
        <v>6688</v>
      </c>
      <c r="C2916" s="55" t="s">
        <v>6689</v>
      </c>
      <c r="D2916" s="54" t="s">
        <v>6603</v>
      </c>
      <c r="E2916" s="56">
        <v>0</v>
      </c>
      <c r="F2916" s="57" t="s">
        <v>1010</v>
      </c>
      <c r="G2916" s="58">
        <v>250000</v>
      </c>
      <c r="H2916" s="59">
        <v>365000</v>
      </c>
      <c r="I2916" s="59">
        <f t="shared" si="90"/>
        <v>0</v>
      </c>
    </row>
    <row r="2917" spans="1:9" customFormat="1" x14ac:dyDescent="0.35">
      <c r="A2917" s="63">
        <f t="shared" si="91"/>
        <v>2916</v>
      </c>
      <c r="B2917" s="54" t="s">
        <v>6690</v>
      </c>
      <c r="C2917" s="55" t="s">
        <v>6691</v>
      </c>
      <c r="D2917" s="54" t="s">
        <v>6603</v>
      </c>
      <c r="E2917" s="56">
        <v>0</v>
      </c>
      <c r="F2917" s="57" t="s">
        <v>792</v>
      </c>
      <c r="G2917" s="58">
        <v>75000</v>
      </c>
      <c r="H2917" s="59">
        <v>75000</v>
      </c>
      <c r="I2917" s="59">
        <f t="shared" si="90"/>
        <v>0</v>
      </c>
    </row>
    <row r="2918" spans="1:9" customFormat="1" x14ac:dyDescent="0.35">
      <c r="A2918" s="63">
        <f t="shared" si="91"/>
        <v>2917</v>
      </c>
      <c r="B2918" s="54" t="s">
        <v>6692</v>
      </c>
      <c r="C2918" s="55" t="s">
        <v>6693</v>
      </c>
      <c r="D2918" s="54" t="s">
        <v>6603</v>
      </c>
      <c r="E2918" s="56">
        <v>0</v>
      </c>
      <c r="F2918" s="57" t="s">
        <v>969</v>
      </c>
      <c r="G2918" s="58">
        <v>10000</v>
      </c>
      <c r="H2918" s="59">
        <v>35000</v>
      </c>
      <c r="I2918" s="59">
        <f t="shared" si="90"/>
        <v>0</v>
      </c>
    </row>
    <row r="2919" spans="1:9" customFormat="1" x14ac:dyDescent="0.35">
      <c r="A2919" s="63">
        <f t="shared" si="91"/>
        <v>2918</v>
      </c>
      <c r="B2919" s="54" t="s">
        <v>6694</v>
      </c>
      <c r="C2919" s="55" t="s">
        <v>6695</v>
      </c>
      <c r="D2919" s="54" t="s">
        <v>6603</v>
      </c>
      <c r="E2919" s="56">
        <v>0</v>
      </c>
      <c r="F2919" s="57" t="s">
        <v>792</v>
      </c>
      <c r="G2919" s="58">
        <v>35000</v>
      </c>
      <c r="H2919" s="59">
        <v>35000</v>
      </c>
      <c r="I2919" s="59">
        <f t="shared" si="90"/>
        <v>0</v>
      </c>
    </row>
    <row r="2920" spans="1:9" customFormat="1" x14ac:dyDescent="0.35">
      <c r="A2920" s="63">
        <f t="shared" si="91"/>
        <v>2919</v>
      </c>
      <c r="B2920" s="54" t="s">
        <v>6696</v>
      </c>
      <c r="C2920" s="55" t="s">
        <v>6697</v>
      </c>
      <c r="D2920" s="54" t="s">
        <v>6603</v>
      </c>
      <c r="E2920" s="56">
        <v>0</v>
      </c>
      <c r="F2920" s="57" t="s">
        <v>969</v>
      </c>
      <c r="G2920" s="58">
        <v>13500</v>
      </c>
      <c r="H2920" s="59">
        <v>35000</v>
      </c>
      <c r="I2920" s="59">
        <f t="shared" si="90"/>
        <v>0</v>
      </c>
    </row>
    <row r="2921" spans="1:9" customFormat="1" x14ac:dyDescent="0.35">
      <c r="A2921" s="63">
        <f t="shared" si="91"/>
        <v>2920</v>
      </c>
      <c r="B2921" s="54" t="s">
        <v>6698</v>
      </c>
      <c r="C2921" s="55" t="s">
        <v>6699</v>
      </c>
      <c r="D2921" s="54" t="s">
        <v>6603</v>
      </c>
      <c r="E2921" s="56">
        <v>0</v>
      </c>
      <c r="F2921" s="57" t="s">
        <v>969</v>
      </c>
      <c r="G2921" s="58">
        <v>13500</v>
      </c>
      <c r="H2921" s="59">
        <v>35000</v>
      </c>
      <c r="I2921" s="59">
        <f t="shared" si="90"/>
        <v>0</v>
      </c>
    </row>
    <row r="2922" spans="1:9" customFormat="1" x14ac:dyDescent="0.35">
      <c r="A2922" s="63">
        <f t="shared" si="91"/>
        <v>2921</v>
      </c>
      <c r="B2922" s="54" t="s">
        <v>6700</v>
      </c>
      <c r="C2922" s="55" t="s">
        <v>6701</v>
      </c>
      <c r="D2922" s="54" t="s">
        <v>6603</v>
      </c>
      <c r="E2922" s="56">
        <v>0</v>
      </c>
      <c r="F2922" s="57" t="s">
        <v>1322</v>
      </c>
      <c r="G2922" s="58">
        <v>1250000</v>
      </c>
      <c r="H2922" s="59">
        <v>1750000</v>
      </c>
      <c r="I2922" s="59">
        <f t="shared" si="90"/>
        <v>0</v>
      </c>
    </row>
    <row r="2923" spans="1:9" customFormat="1" x14ac:dyDescent="0.35">
      <c r="A2923" s="63">
        <f t="shared" si="91"/>
        <v>2922</v>
      </c>
      <c r="B2923" s="54" t="s">
        <v>6702</v>
      </c>
      <c r="C2923" s="55" t="s">
        <v>6703</v>
      </c>
      <c r="D2923" s="54" t="s">
        <v>6603</v>
      </c>
      <c r="E2923" s="56">
        <v>0</v>
      </c>
      <c r="F2923" s="57" t="s">
        <v>844</v>
      </c>
      <c r="G2923" s="58">
        <v>224500</v>
      </c>
      <c r="H2923" s="59">
        <v>286995</v>
      </c>
      <c r="I2923" s="59">
        <f t="shared" si="90"/>
        <v>0</v>
      </c>
    </row>
    <row r="2924" spans="1:9" customFormat="1" x14ac:dyDescent="0.35">
      <c r="A2924" s="63">
        <f t="shared" si="91"/>
        <v>2923</v>
      </c>
      <c r="B2924" s="54" t="s">
        <v>6704</v>
      </c>
      <c r="C2924" s="55" t="s">
        <v>6705</v>
      </c>
      <c r="D2924" s="54" t="s">
        <v>6603</v>
      </c>
      <c r="E2924" s="56">
        <v>0</v>
      </c>
      <c r="F2924" s="57" t="s">
        <v>792</v>
      </c>
      <c r="G2924" s="58">
        <v>95000</v>
      </c>
      <c r="H2924" s="59">
        <v>130500</v>
      </c>
      <c r="I2924" s="59">
        <f t="shared" si="90"/>
        <v>0</v>
      </c>
    </row>
    <row r="2925" spans="1:9" customFormat="1" x14ac:dyDescent="0.35">
      <c r="A2925" s="63">
        <f t="shared" si="91"/>
        <v>2924</v>
      </c>
      <c r="B2925" s="54" t="s">
        <v>6706</v>
      </c>
      <c r="C2925" s="55" t="s">
        <v>6707</v>
      </c>
      <c r="D2925" s="54" t="s">
        <v>6603</v>
      </c>
      <c r="E2925" s="56">
        <v>0</v>
      </c>
      <c r="F2925" s="57" t="s">
        <v>844</v>
      </c>
      <c r="G2925" s="58">
        <v>119000</v>
      </c>
      <c r="H2925" s="59">
        <v>119000</v>
      </c>
      <c r="I2925" s="59">
        <f t="shared" si="90"/>
        <v>0</v>
      </c>
    </row>
    <row r="2926" spans="1:9" customFormat="1" x14ac:dyDescent="0.35">
      <c r="A2926" s="63">
        <f t="shared" si="91"/>
        <v>2925</v>
      </c>
      <c r="B2926" s="54" t="s">
        <v>6708</v>
      </c>
      <c r="C2926" s="55" t="s">
        <v>6709</v>
      </c>
      <c r="D2926" s="54" t="s">
        <v>6603</v>
      </c>
      <c r="E2926" s="56">
        <v>0</v>
      </c>
      <c r="F2926" s="57" t="s">
        <v>844</v>
      </c>
      <c r="G2926" s="58">
        <v>127218</v>
      </c>
      <c r="H2926" s="59">
        <v>184150</v>
      </c>
      <c r="I2926" s="59">
        <f t="shared" si="90"/>
        <v>0</v>
      </c>
    </row>
    <row r="2927" spans="1:9" customFormat="1" ht="23" x14ac:dyDescent="0.35">
      <c r="A2927" s="63">
        <f t="shared" si="91"/>
        <v>2926</v>
      </c>
      <c r="B2927" s="54" t="s">
        <v>6710</v>
      </c>
      <c r="C2927" s="55" t="s">
        <v>6711</v>
      </c>
      <c r="D2927" s="54" t="s">
        <v>6603</v>
      </c>
      <c r="E2927" s="56">
        <v>0</v>
      </c>
      <c r="F2927" s="57" t="s">
        <v>792</v>
      </c>
      <c r="G2927" s="58">
        <v>0</v>
      </c>
      <c r="H2927" s="59">
        <v>0</v>
      </c>
      <c r="I2927" s="59">
        <f t="shared" si="90"/>
        <v>0</v>
      </c>
    </row>
    <row r="2928" spans="1:9" customFormat="1" x14ac:dyDescent="0.35">
      <c r="A2928" s="63">
        <f t="shared" si="91"/>
        <v>2927</v>
      </c>
      <c r="B2928" s="54" t="s">
        <v>6712</v>
      </c>
      <c r="C2928" s="55" t="s">
        <v>6713</v>
      </c>
      <c r="D2928" s="54" t="s">
        <v>6603</v>
      </c>
      <c r="E2928" s="56">
        <v>0</v>
      </c>
      <c r="F2928" s="57" t="s">
        <v>792</v>
      </c>
      <c r="G2928" s="58">
        <v>50685</v>
      </c>
      <c r="H2928" s="59">
        <v>75600</v>
      </c>
      <c r="I2928" s="59">
        <f t="shared" si="90"/>
        <v>0</v>
      </c>
    </row>
    <row r="2929" spans="1:9" customFormat="1" x14ac:dyDescent="0.35">
      <c r="A2929" s="63">
        <f t="shared" si="91"/>
        <v>2928</v>
      </c>
      <c r="B2929" s="54" t="s">
        <v>6714</v>
      </c>
      <c r="C2929" s="55" t="s">
        <v>6715</v>
      </c>
      <c r="D2929" s="54" t="s">
        <v>6603</v>
      </c>
      <c r="E2929" s="56">
        <v>0</v>
      </c>
      <c r="F2929" s="57" t="s">
        <v>792</v>
      </c>
      <c r="G2929" s="58">
        <v>814000</v>
      </c>
      <c r="H2929" s="59">
        <v>1220000</v>
      </c>
      <c r="I2929" s="59">
        <f t="shared" si="90"/>
        <v>0</v>
      </c>
    </row>
    <row r="2930" spans="1:9" customFormat="1" x14ac:dyDescent="0.35">
      <c r="A2930" s="63">
        <f t="shared" si="91"/>
        <v>2929</v>
      </c>
      <c r="B2930" s="54" t="s">
        <v>6716</v>
      </c>
      <c r="C2930" s="55" t="s">
        <v>6717</v>
      </c>
      <c r="D2930" s="54" t="s">
        <v>6718</v>
      </c>
      <c r="E2930" s="56">
        <v>0</v>
      </c>
      <c r="F2930" s="57" t="s">
        <v>878</v>
      </c>
      <c r="G2930" s="58">
        <v>210000</v>
      </c>
      <c r="H2930" s="59">
        <v>276360</v>
      </c>
      <c r="I2930" s="59">
        <f t="shared" si="90"/>
        <v>0</v>
      </c>
    </row>
    <row r="2931" spans="1:9" customFormat="1" x14ac:dyDescent="0.35">
      <c r="A2931" s="63">
        <f t="shared" si="91"/>
        <v>2930</v>
      </c>
      <c r="B2931" s="54" t="s">
        <v>6719</v>
      </c>
      <c r="C2931" s="55" t="s">
        <v>6720</v>
      </c>
      <c r="D2931" s="54" t="s">
        <v>6718</v>
      </c>
      <c r="E2931" s="56">
        <v>0</v>
      </c>
      <c r="F2931" s="57" t="s">
        <v>878</v>
      </c>
      <c r="G2931" s="58">
        <v>102500</v>
      </c>
      <c r="H2931" s="59">
        <v>134890</v>
      </c>
      <c r="I2931" s="59">
        <f t="shared" si="90"/>
        <v>0</v>
      </c>
    </row>
    <row r="2932" spans="1:9" customFormat="1" x14ac:dyDescent="0.35">
      <c r="A2932" s="63">
        <f t="shared" si="91"/>
        <v>2931</v>
      </c>
      <c r="B2932" s="54" t="s">
        <v>6721</v>
      </c>
      <c r="C2932" s="55" t="s">
        <v>6722</v>
      </c>
      <c r="D2932" s="54" t="s">
        <v>6718</v>
      </c>
      <c r="E2932" s="56">
        <v>0</v>
      </c>
      <c r="F2932" s="57" t="s">
        <v>878</v>
      </c>
      <c r="G2932" s="58">
        <v>170000</v>
      </c>
      <c r="H2932" s="59">
        <v>223720</v>
      </c>
      <c r="I2932" s="59">
        <f t="shared" si="90"/>
        <v>0</v>
      </c>
    </row>
    <row r="2933" spans="1:9" customFormat="1" x14ac:dyDescent="0.35">
      <c r="A2933" s="63">
        <f t="shared" si="91"/>
        <v>2932</v>
      </c>
      <c r="B2933" s="54" t="s">
        <v>6723</v>
      </c>
      <c r="C2933" s="55" t="s">
        <v>6724</v>
      </c>
      <c r="D2933" s="54" t="s">
        <v>6718</v>
      </c>
      <c r="E2933" s="56">
        <v>0</v>
      </c>
      <c r="F2933" s="57" t="s">
        <v>792</v>
      </c>
      <c r="G2933" s="58">
        <v>0</v>
      </c>
      <c r="H2933" s="59">
        <v>144000</v>
      </c>
      <c r="I2933" s="59">
        <f t="shared" si="90"/>
        <v>0</v>
      </c>
    </row>
    <row r="2934" spans="1:9" customFormat="1" x14ac:dyDescent="0.35">
      <c r="A2934" s="63">
        <f t="shared" si="91"/>
        <v>2933</v>
      </c>
      <c r="B2934" s="54" t="s">
        <v>6725</v>
      </c>
      <c r="C2934" s="55" t="s">
        <v>6726</v>
      </c>
      <c r="D2934" s="54" t="s">
        <v>6718</v>
      </c>
      <c r="E2934" s="56">
        <v>0</v>
      </c>
      <c r="F2934" s="57" t="s">
        <v>792</v>
      </c>
      <c r="G2934" s="58">
        <v>150000</v>
      </c>
      <c r="H2934" s="59">
        <v>150000</v>
      </c>
      <c r="I2934" s="59">
        <f t="shared" si="90"/>
        <v>0</v>
      </c>
    </row>
    <row r="2935" spans="1:9" customFormat="1" x14ac:dyDescent="0.35">
      <c r="A2935" s="63">
        <f t="shared" si="91"/>
        <v>2934</v>
      </c>
      <c r="B2935" s="54" t="s">
        <v>6727</v>
      </c>
      <c r="C2935" s="55" t="s">
        <v>6728</v>
      </c>
      <c r="D2935" s="54" t="s">
        <v>6718</v>
      </c>
      <c r="E2935" s="56">
        <v>0</v>
      </c>
      <c r="F2935" s="57" t="s">
        <v>792</v>
      </c>
      <c r="G2935" s="58">
        <v>260000</v>
      </c>
      <c r="H2935" s="59">
        <v>260000</v>
      </c>
      <c r="I2935" s="59">
        <f t="shared" si="90"/>
        <v>0</v>
      </c>
    </row>
    <row r="2936" spans="1:9" customFormat="1" x14ac:dyDescent="0.35">
      <c r="A2936" s="63">
        <f t="shared" si="91"/>
        <v>2935</v>
      </c>
      <c r="B2936" s="54" t="s">
        <v>6729</v>
      </c>
      <c r="C2936" s="55" t="s">
        <v>6730</v>
      </c>
      <c r="D2936" s="54" t="s">
        <v>6718</v>
      </c>
      <c r="E2936" s="56">
        <v>0</v>
      </c>
      <c r="F2936" s="57" t="s">
        <v>1563</v>
      </c>
      <c r="G2936" s="58">
        <v>315000</v>
      </c>
      <c r="H2936" s="59">
        <v>315000</v>
      </c>
      <c r="I2936" s="59">
        <f t="shared" si="90"/>
        <v>0</v>
      </c>
    </row>
    <row r="2937" spans="1:9" customFormat="1" ht="23" x14ac:dyDescent="0.35">
      <c r="A2937" s="63">
        <f t="shared" si="91"/>
        <v>2936</v>
      </c>
      <c r="B2937" s="54" t="s">
        <v>6731</v>
      </c>
      <c r="C2937" s="55" t="s">
        <v>6732</v>
      </c>
      <c r="D2937" s="54" t="s">
        <v>6718</v>
      </c>
      <c r="E2937" s="56">
        <v>0</v>
      </c>
      <c r="F2937" s="57" t="s">
        <v>1217</v>
      </c>
      <c r="G2937" s="58">
        <v>1089310</v>
      </c>
      <c r="H2937" s="59">
        <v>1733400</v>
      </c>
      <c r="I2937" s="59">
        <f t="shared" si="90"/>
        <v>0</v>
      </c>
    </row>
    <row r="2938" spans="1:9" customFormat="1" x14ac:dyDescent="0.35">
      <c r="A2938" s="63">
        <f t="shared" si="91"/>
        <v>2937</v>
      </c>
      <c r="B2938" s="54" t="s">
        <v>6733</v>
      </c>
      <c r="C2938" s="55" t="s">
        <v>6734</v>
      </c>
      <c r="D2938" s="54" t="s">
        <v>6718</v>
      </c>
      <c r="E2938" s="56">
        <v>0</v>
      </c>
      <c r="F2938" s="57" t="s">
        <v>844</v>
      </c>
      <c r="G2938" s="58">
        <v>7770000</v>
      </c>
      <c r="H2938" s="59">
        <v>8645000</v>
      </c>
      <c r="I2938" s="59">
        <f t="shared" si="90"/>
        <v>0</v>
      </c>
    </row>
    <row r="2939" spans="1:9" customFormat="1" x14ac:dyDescent="0.35">
      <c r="A2939" s="63">
        <f t="shared" si="91"/>
        <v>2938</v>
      </c>
      <c r="B2939" s="54" t="s">
        <v>6735</v>
      </c>
      <c r="C2939" s="55" t="s">
        <v>6736</v>
      </c>
      <c r="D2939" s="54" t="s">
        <v>6718</v>
      </c>
      <c r="E2939" s="56">
        <v>0</v>
      </c>
      <c r="F2939" s="57" t="s">
        <v>1217</v>
      </c>
      <c r="G2939" s="58">
        <v>220000</v>
      </c>
      <c r="H2939" s="59">
        <v>1012714.316</v>
      </c>
      <c r="I2939" s="59">
        <f t="shared" si="90"/>
        <v>0</v>
      </c>
    </row>
    <row r="2940" spans="1:9" customFormat="1" x14ac:dyDescent="0.35">
      <c r="A2940" s="63">
        <f t="shared" si="91"/>
        <v>2939</v>
      </c>
      <c r="B2940" s="54" t="s">
        <v>6737</v>
      </c>
      <c r="C2940" s="55" t="s">
        <v>6738</v>
      </c>
      <c r="D2940" s="54" t="s">
        <v>6718</v>
      </c>
      <c r="E2940" s="56">
        <v>0</v>
      </c>
      <c r="F2940" s="57" t="s">
        <v>792</v>
      </c>
      <c r="G2940" s="58">
        <v>550000</v>
      </c>
      <c r="H2940" s="59">
        <v>550000</v>
      </c>
      <c r="I2940" s="59">
        <f t="shared" si="90"/>
        <v>0</v>
      </c>
    </row>
    <row r="2941" spans="1:9" customFormat="1" x14ac:dyDescent="0.35">
      <c r="A2941" s="63">
        <f t="shared" si="91"/>
        <v>2940</v>
      </c>
      <c r="B2941" s="54" t="s">
        <v>6739</v>
      </c>
      <c r="C2941" s="55" t="s">
        <v>6740</v>
      </c>
      <c r="D2941" s="54" t="s">
        <v>6718</v>
      </c>
      <c r="E2941" s="56">
        <v>0</v>
      </c>
      <c r="F2941" s="57" t="s">
        <v>792</v>
      </c>
      <c r="G2941" s="58">
        <v>435000</v>
      </c>
      <c r="H2941" s="59">
        <v>435000</v>
      </c>
      <c r="I2941" s="59">
        <f t="shared" si="90"/>
        <v>0</v>
      </c>
    </row>
    <row r="2942" spans="1:9" customFormat="1" x14ac:dyDescent="0.35">
      <c r="A2942" s="63">
        <f t="shared" si="91"/>
        <v>2941</v>
      </c>
      <c r="B2942" s="54" t="s">
        <v>6741</v>
      </c>
      <c r="C2942" s="55" t="s">
        <v>6742</v>
      </c>
      <c r="D2942" s="54" t="s">
        <v>6718</v>
      </c>
      <c r="E2942" s="56">
        <v>0</v>
      </c>
      <c r="F2942" s="57" t="s">
        <v>878</v>
      </c>
      <c r="G2942" s="58">
        <v>0</v>
      </c>
      <c r="H2942" s="59">
        <v>630000</v>
      </c>
      <c r="I2942" s="59">
        <f t="shared" si="90"/>
        <v>0</v>
      </c>
    </row>
    <row r="2943" spans="1:9" customFormat="1" x14ac:dyDescent="0.35">
      <c r="A2943" s="63">
        <f t="shared" si="91"/>
        <v>2942</v>
      </c>
      <c r="B2943" s="54" t="s">
        <v>6743</v>
      </c>
      <c r="C2943" s="55" t="s">
        <v>6744</v>
      </c>
      <c r="D2943" s="54" t="s">
        <v>6718</v>
      </c>
      <c r="E2943" s="56">
        <v>0</v>
      </c>
      <c r="F2943" s="57" t="s">
        <v>1217</v>
      </c>
      <c r="G2943" s="58">
        <v>0</v>
      </c>
      <c r="H2943" s="59">
        <v>8000000</v>
      </c>
      <c r="I2943" s="59">
        <f t="shared" si="90"/>
        <v>0</v>
      </c>
    </row>
    <row r="2944" spans="1:9" customFormat="1" x14ac:dyDescent="0.35">
      <c r="A2944" s="63">
        <f t="shared" si="91"/>
        <v>2943</v>
      </c>
      <c r="B2944" s="54" t="s">
        <v>6745</v>
      </c>
      <c r="C2944" s="55" t="s">
        <v>6746</v>
      </c>
      <c r="D2944" s="54" t="s">
        <v>6718</v>
      </c>
      <c r="E2944" s="56">
        <v>0</v>
      </c>
      <c r="F2944" s="57" t="s">
        <v>792</v>
      </c>
      <c r="G2944" s="58">
        <v>810000</v>
      </c>
      <c r="H2944" s="59">
        <v>1311628</v>
      </c>
      <c r="I2944" s="59">
        <f t="shared" si="90"/>
        <v>0</v>
      </c>
    </row>
    <row r="2945" spans="1:9" customFormat="1" x14ac:dyDescent="0.35">
      <c r="A2945" s="63">
        <f t="shared" si="91"/>
        <v>2944</v>
      </c>
      <c r="B2945" s="54" t="s">
        <v>6747</v>
      </c>
      <c r="C2945" s="55" t="s">
        <v>6748</v>
      </c>
      <c r="D2945" s="54" t="s">
        <v>6718</v>
      </c>
      <c r="E2945" s="56">
        <v>0</v>
      </c>
      <c r="F2945" s="57" t="s">
        <v>792</v>
      </c>
      <c r="G2945" s="58">
        <v>35745</v>
      </c>
      <c r="H2945" s="59">
        <v>52545</v>
      </c>
      <c r="I2945" s="59">
        <f t="shared" si="90"/>
        <v>0</v>
      </c>
    </row>
    <row r="2946" spans="1:9" customFormat="1" ht="23" x14ac:dyDescent="0.35">
      <c r="A2946" s="63">
        <f t="shared" si="91"/>
        <v>2945</v>
      </c>
      <c r="B2946" s="54" t="s">
        <v>6749</v>
      </c>
      <c r="C2946" s="55" t="s">
        <v>6750</v>
      </c>
      <c r="D2946" s="54" t="s">
        <v>6718</v>
      </c>
      <c r="E2946" s="56">
        <v>0</v>
      </c>
      <c r="F2946" s="57" t="s">
        <v>6751</v>
      </c>
      <c r="G2946" s="58">
        <v>31655</v>
      </c>
      <c r="H2946" s="59">
        <v>47000</v>
      </c>
      <c r="I2946" s="59">
        <f t="shared" si="90"/>
        <v>0</v>
      </c>
    </row>
    <row r="2947" spans="1:9" customFormat="1" x14ac:dyDescent="0.35">
      <c r="A2947" s="63">
        <f t="shared" si="91"/>
        <v>2946</v>
      </c>
      <c r="B2947" s="54" t="s">
        <v>6752</v>
      </c>
      <c r="C2947" s="55" t="s">
        <v>6753</v>
      </c>
      <c r="D2947" s="54" t="s">
        <v>6718</v>
      </c>
      <c r="E2947" s="56">
        <v>0</v>
      </c>
      <c r="F2947" s="57" t="s">
        <v>792</v>
      </c>
      <c r="G2947" s="58">
        <v>4240</v>
      </c>
      <c r="H2947" s="59">
        <v>8606</v>
      </c>
      <c r="I2947" s="59">
        <f t="shared" ref="I2947:I3010" si="92">H2947*E2947</f>
        <v>0</v>
      </c>
    </row>
    <row r="2948" spans="1:9" customFormat="1" x14ac:dyDescent="0.35">
      <c r="A2948" s="63">
        <f t="shared" ref="A2948:A3011" si="93">A2947+1</f>
        <v>2947</v>
      </c>
      <c r="B2948" s="54" t="s">
        <v>6754</v>
      </c>
      <c r="C2948" s="55" t="s">
        <v>6755</v>
      </c>
      <c r="D2948" s="54" t="s">
        <v>6718</v>
      </c>
      <c r="E2948" s="56">
        <v>0</v>
      </c>
      <c r="F2948" s="57" t="s">
        <v>1217</v>
      </c>
      <c r="G2948" s="58">
        <v>212000</v>
      </c>
      <c r="H2948" s="59">
        <v>421694</v>
      </c>
      <c r="I2948" s="59">
        <f t="shared" si="92"/>
        <v>0</v>
      </c>
    </row>
    <row r="2949" spans="1:9" customFormat="1" x14ac:dyDescent="0.35">
      <c r="A2949" s="63">
        <f t="shared" si="93"/>
        <v>2948</v>
      </c>
      <c r="B2949" s="54" t="s">
        <v>6756</v>
      </c>
      <c r="C2949" s="55" t="s">
        <v>6757</v>
      </c>
      <c r="D2949" s="54" t="s">
        <v>6718</v>
      </c>
      <c r="E2949" s="56">
        <v>0</v>
      </c>
      <c r="F2949" s="57" t="s">
        <v>792</v>
      </c>
      <c r="G2949" s="58">
        <v>69000</v>
      </c>
      <c r="H2949" s="59">
        <v>137000</v>
      </c>
      <c r="I2949" s="59">
        <f t="shared" si="92"/>
        <v>0</v>
      </c>
    </row>
    <row r="2950" spans="1:9" customFormat="1" ht="23" x14ac:dyDescent="0.35">
      <c r="A2950" s="63">
        <f t="shared" si="93"/>
        <v>2949</v>
      </c>
      <c r="B2950" s="54" t="s">
        <v>6758</v>
      </c>
      <c r="C2950" s="55" t="s">
        <v>6759</v>
      </c>
      <c r="D2950" s="54" t="s">
        <v>6718</v>
      </c>
      <c r="E2950" s="56">
        <v>0</v>
      </c>
      <c r="F2950" s="57" t="s">
        <v>6751</v>
      </c>
      <c r="G2950" s="58">
        <v>0</v>
      </c>
      <c r="H2950" s="59">
        <v>0</v>
      </c>
      <c r="I2950" s="59">
        <f t="shared" si="92"/>
        <v>0</v>
      </c>
    </row>
    <row r="2951" spans="1:9" customFormat="1" x14ac:dyDescent="0.35">
      <c r="A2951" s="63">
        <f t="shared" si="93"/>
        <v>2950</v>
      </c>
      <c r="B2951" s="54" t="s">
        <v>6760</v>
      </c>
      <c r="C2951" s="55" t="s">
        <v>6761</v>
      </c>
      <c r="D2951" s="54" t="s">
        <v>6718</v>
      </c>
      <c r="E2951" s="56">
        <v>0</v>
      </c>
      <c r="F2951" s="57" t="s">
        <v>792</v>
      </c>
      <c r="G2951" s="58">
        <v>437500</v>
      </c>
      <c r="H2951" s="59">
        <v>437500</v>
      </c>
      <c r="I2951" s="59">
        <f t="shared" si="92"/>
        <v>0</v>
      </c>
    </row>
    <row r="2952" spans="1:9" customFormat="1" x14ac:dyDescent="0.35">
      <c r="A2952" s="63">
        <f t="shared" si="93"/>
        <v>2951</v>
      </c>
      <c r="B2952" s="54" t="s">
        <v>6762</v>
      </c>
      <c r="C2952" s="55" t="s">
        <v>6763</v>
      </c>
      <c r="D2952" s="54" t="s">
        <v>6718</v>
      </c>
      <c r="E2952" s="56">
        <v>0</v>
      </c>
      <c r="F2952" s="57" t="s">
        <v>1376</v>
      </c>
      <c r="G2952" s="58">
        <v>284000</v>
      </c>
      <c r="H2952" s="59">
        <v>354858</v>
      </c>
      <c r="I2952" s="59">
        <f t="shared" si="92"/>
        <v>0</v>
      </c>
    </row>
    <row r="2953" spans="1:9" customFormat="1" ht="23" x14ac:dyDescent="0.35">
      <c r="A2953" s="63">
        <f t="shared" si="93"/>
        <v>2952</v>
      </c>
      <c r="B2953" s="54" t="s">
        <v>6764</v>
      </c>
      <c r="C2953" s="55" t="s">
        <v>6765</v>
      </c>
      <c r="D2953" s="54" t="s">
        <v>6718</v>
      </c>
      <c r="E2953" s="56">
        <v>0</v>
      </c>
      <c r="F2953" s="57" t="s">
        <v>6751</v>
      </c>
      <c r="G2953" s="58">
        <v>2235000</v>
      </c>
      <c r="H2953" s="59">
        <v>2956950</v>
      </c>
      <c r="I2953" s="59">
        <f t="shared" si="92"/>
        <v>0</v>
      </c>
    </row>
    <row r="2954" spans="1:9" customFormat="1" x14ac:dyDescent="0.35">
      <c r="A2954" s="63">
        <f t="shared" si="93"/>
        <v>2953</v>
      </c>
      <c r="B2954" s="54" t="s">
        <v>6766</v>
      </c>
      <c r="C2954" s="55" t="s">
        <v>6767</v>
      </c>
      <c r="D2954" s="54" t="s">
        <v>6718</v>
      </c>
      <c r="E2954" s="56">
        <v>0</v>
      </c>
      <c r="F2954" s="57" t="s">
        <v>6751</v>
      </c>
      <c r="G2954" s="58">
        <v>1135000</v>
      </c>
      <c r="H2954" s="59">
        <v>1509550</v>
      </c>
      <c r="I2954" s="59">
        <f t="shared" si="92"/>
        <v>0</v>
      </c>
    </row>
    <row r="2955" spans="1:9" customFormat="1" x14ac:dyDescent="0.35">
      <c r="A2955" s="63">
        <f t="shared" si="93"/>
        <v>2954</v>
      </c>
      <c r="B2955" s="54" t="s">
        <v>6768</v>
      </c>
      <c r="C2955" s="55" t="s">
        <v>6769</v>
      </c>
      <c r="D2955" s="54" t="s">
        <v>6718</v>
      </c>
      <c r="E2955" s="56">
        <v>0</v>
      </c>
      <c r="F2955" s="57" t="s">
        <v>6751</v>
      </c>
      <c r="G2955" s="58">
        <v>1670000</v>
      </c>
      <c r="H2955" s="59">
        <v>2221100</v>
      </c>
      <c r="I2955" s="59">
        <f t="shared" si="92"/>
        <v>0</v>
      </c>
    </row>
    <row r="2956" spans="1:9" customFormat="1" x14ac:dyDescent="0.35">
      <c r="A2956" s="63">
        <f t="shared" si="93"/>
        <v>2955</v>
      </c>
      <c r="B2956" s="54" t="s">
        <v>6770</v>
      </c>
      <c r="C2956" s="55" t="s">
        <v>6771</v>
      </c>
      <c r="D2956" s="54" t="s">
        <v>6718</v>
      </c>
      <c r="E2956" s="56">
        <v>0</v>
      </c>
      <c r="F2956" s="57" t="s">
        <v>6751</v>
      </c>
      <c r="G2956" s="58">
        <v>1720000</v>
      </c>
      <c r="H2956" s="59">
        <v>2287600</v>
      </c>
      <c r="I2956" s="59">
        <f t="shared" si="92"/>
        <v>0</v>
      </c>
    </row>
    <row r="2957" spans="1:9" customFormat="1" x14ac:dyDescent="0.35">
      <c r="A2957" s="63">
        <f t="shared" si="93"/>
        <v>2956</v>
      </c>
      <c r="B2957" s="54" t="s">
        <v>6772</v>
      </c>
      <c r="C2957" s="55" t="s">
        <v>6773</v>
      </c>
      <c r="D2957" s="54" t="s">
        <v>6718</v>
      </c>
      <c r="E2957" s="56">
        <v>0</v>
      </c>
      <c r="F2957" s="57" t="s">
        <v>6751</v>
      </c>
      <c r="G2957" s="58">
        <v>1080000</v>
      </c>
      <c r="H2957" s="59">
        <v>1436400</v>
      </c>
      <c r="I2957" s="59">
        <f t="shared" si="92"/>
        <v>0</v>
      </c>
    </row>
    <row r="2958" spans="1:9" customFormat="1" x14ac:dyDescent="0.35">
      <c r="A2958" s="63">
        <f t="shared" si="93"/>
        <v>2957</v>
      </c>
      <c r="B2958" s="54" t="s">
        <v>6774</v>
      </c>
      <c r="C2958" s="55" t="s">
        <v>6775</v>
      </c>
      <c r="D2958" s="54" t="s">
        <v>6718</v>
      </c>
      <c r="E2958" s="56">
        <v>0</v>
      </c>
      <c r="F2958" s="57" t="s">
        <v>1217</v>
      </c>
      <c r="G2958" s="58">
        <v>0</v>
      </c>
      <c r="H2958" s="59">
        <v>450000</v>
      </c>
      <c r="I2958" s="59">
        <f t="shared" si="92"/>
        <v>0</v>
      </c>
    </row>
    <row r="2959" spans="1:9" customFormat="1" x14ac:dyDescent="0.35">
      <c r="A2959" s="63">
        <f t="shared" si="93"/>
        <v>2958</v>
      </c>
      <c r="B2959" s="54" t="s">
        <v>6776</v>
      </c>
      <c r="C2959" s="55" t="s">
        <v>6777</v>
      </c>
      <c r="D2959" s="54" t="s">
        <v>6718</v>
      </c>
      <c r="E2959" s="56">
        <v>0</v>
      </c>
      <c r="F2959" s="57" t="s">
        <v>792</v>
      </c>
      <c r="G2959" s="58">
        <v>10000</v>
      </c>
      <c r="H2959" s="59">
        <v>10000</v>
      </c>
      <c r="I2959" s="59">
        <f t="shared" si="92"/>
        <v>0</v>
      </c>
    </row>
    <row r="2960" spans="1:9" customFormat="1" x14ac:dyDescent="0.35">
      <c r="A2960" s="63">
        <f t="shared" si="93"/>
        <v>2959</v>
      </c>
      <c r="B2960" s="54" t="s">
        <v>6778</v>
      </c>
      <c r="C2960" s="55" t="s">
        <v>6779</v>
      </c>
      <c r="D2960" s="54" t="s">
        <v>6718</v>
      </c>
      <c r="E2960" s="56">
        <v>0</v>
      </c>
      <c r="F2960" s="57" t="s">
        <v>6751</v>
      </c>
      <c r="G2960" s="58">
        <v>50000</v>
      </c>
      <c r="H2960" s="59">
        <v>70000</v>
      </c>
      <c r="I2960" s="59">
        <f t="shared" si="92"/>
        <v>0</v>
      </c>
    </row>
    <row r="2961" spans="1:9" customFormat="1" x14ac:dyDescent="0.35">
      <c r="A2961" s="63">
        <f t="shared" si="93"/>
        <v>2960</v>
      </c>
      <c r="B2961" s="54" t="s">
        <v>6780</v>
      </c>
      <c r="C2961" s="55" t="s">
        <v>6781</v>
      </c>
      <c r="D2961" s="54" t="s">
        <v>6718</v>
      </c>
      <c r="E2961" s="56">
        <v>0</v>
      </c>
      <c r="F2961" s="57" t="s">
        <v>1217</v>
      </c>
      <c r="G2961" s="58">
        <v>150000</v>
      </c>
      <c r="H2961" s="59">
        <v>150000</v>
      </c>
      <c r="I2961" s="59">
        <f t="shared" si="92"/>
        <v>0</v>
      </c>
    </row>
    <row r="2962" spans="1:9" customFormat="1" x14ac:dyDescent="0.35">
      <c r="A2962" s="63">
        <f t="shared" si="93"/>
        <v>2961</v>
      </c>
      <c r="B2962" s="54" t="s">
        <v>6782</v>
      </c>
      <c r="C2962" s="55" t="s">
        <v>6783</v>
      </c>
      <c r="D2962" s="54" t="s">
        <v>6718</v>
      </c>
      <c r="E2962" s="56">
        <v>0</v>
      </c>
      <c r="F2962" s="57" t="s">
        <v>792</v>
      </c>
      <c r="G2962" s="58">
        <v>45000</v>
      </c>
      <c r="H2962" s="59">
        <v>45000</v>
      </c>
      <c r="I2962" s="59">
        <f t="shared" si="92"/>
        <v>0</v>
      </c>
    </row>
    <row r="2963" spans="1:9" customFormat="1" ht="23" x14ac:dyDescent="0.35">
      <c r="A2963" s="63">
        <f t="shared" si="93"/>
        <v>2962</v>
      </c>
      <c r="B2963" s="54" t="s">
        <v>6784</v>
      </c>
      <c r="C2963" s="55" t="s">
        <v>6785</v>
      </c>
      <c r="D2963" s="54" t="s">
        <v>6718</v>
      </c>
      <c r="E2963" s="56">
        <v>0</v>
      </c>
      <c r="F2963" s="57" t="s">
        <v>792</v>
      </c>
      <c r="G2963" s="58">
        <v>55000</v>
      </c>
      <c r="H2963" s="59">
        <v>55000</v>
      </c>
      <c r="I2963" s="59">
        <f t="shared" si="92"/>
        <v>0</v>
      </c>
    </row>
    <row r="2964" spans="1:9" customFormat="1" x14ac:dyDescent="0.35">
      <c r="A2964" s="63">
        <f t="shared" si="93"/>
        <v>2963</v>
      </c>
      <c r="B2964" s="54" t="s">
        <v>6786</v>
      </c>
      <c r="C2964" s="55" t="s">
        <v>6787</v>
      </c>
      <c r="D2964" s="54" t="s">
        <v>6718</v>
      </c>
      <c r="E2964" s="56">
        <v>0</v>
      </c>
      <c r="F2964" s="57" t="s">
        <v>6751</v>
      </c>
      <c r="G2964" s="58">
        <v>0</v>
      </c>
      <c r="H2964" s="59">
        <v>0</v>
      </c>
      <c r="I2964" s="59">
        <f t="shared" si="92"/>
        <v>0</v>
      </c>
    </row>
    <row r="2965" spans="1:9" customFormat="1" x14ac:dyDescent="0.35">
      <c r="A2965" s="63">
        <f t="shared" si="93"/>
        <v>2964</v>
      </c>
      <c r="B2965" s="54" t="s">
        <v>6788</v>
      </c>
      <c r="C2965" s="55" t="s">
        <v>6789</v>
      </c>
      <c r="D2965" s="54" t="s">
        <v>6718</v>
      </c>
      <c r="E2965" s="56">
        <v>0</v>
      </c>
      <c r="F2965" s="57" t="s">
        <v>6751</v>
      </c>
      <c r="G2965" s="58">
        <v>0</v>
      </c>
      <c r="H2965" s="59">
        <v>0</v>
      </c>
      <c r="I2965" s="59">
        <f t="shared" si="92"/>
        <v>0</v>
      </c>
    </row>
    <row r="2966" spans="1:9" customFormat="1" x14ac:dyDescent="0.35">
      <c r="A2966" s="63">
        <f t="shared" si="93"/>
        <v>2965</v>
      </c>
      <c r="B2966" s="54" t="s">
        <v>6790</v>
      </c>
      <c r="C2966" s="55" t="s">
        <v>6791</v>
      </c>
      <c r="D2966" s="54" t="s">
        <v>6718</v>
      </c>
      <c r="E2966" s="56">
        <v>0</v>
      </c>
      <c r="F2966" s="57" t="s">
        <v>1217</v>
      </c>
      <c r="G2966" s="58">
        <v>217800</v>
      </c>
      <c r="H2966" s="59">
        <v>305000</v>
      </c>
      <c r="I2966" s="59">
        <f t="shared" si="92"/>
        <v>0</v>
      </c>
    </row>
    <row r="2967" spans="1:9" customFormat="1" x14ac:dyDescent="0.35">
      <c r="A2967" s="63">
        <f t="shared" si="93"/>
        <v>2966</v>
      </c>
      <c r="B2967" s="54" t="s">
        <v>6792</v>
      </c>
      <c r="C2967" s="55" t="s">
        <v>6793</v>
      </c>
      <c r="D2967" s="54" t="s">
        <v>6718</v>
      </c>
      <c r="E2967" s="56">
        <v>0</v>
      </c>
      <c r="F2967" s="57" t="s">
        <v>792</v>
      </c>
      <c r="G2967" s="58">
        <v>0</v>
      </c>
      <c r="H2967" s="59">
        <v>20164</v>
      </c>
      <c r="I2967" s="59">
        <f t="shared" si="92"/>
        <v>0</v>
      </c>
    </row>
    <row r="2968" spans="1:9" customFormat="1" x14ac:dyDescent="0.35">
      <c r="A2968" s="63">
        <f t="shared" si="93"/>
        <v>2967</v>
      </c>
      <c r="B2968" s="54" t="s">
        <v>6794</v>
      </c>
      <c r="C2968" s="55" t="s">
        <v>6795</v>
      </c>
      <c r="D2968" s="54" t="s">
        <v>6718</v>
      </c>
      <c r="E2968" s="56">
        <v>0</v>
      </c>
      <c r="F2968" s="57" t="s">
        <v>792</v>
      </c>
      <c r="G2968" s="58">
        <v>0</v>
      </c>
      <c r="H2968" s="59">
        <v>50978</v>
      </c>
      <c r="I2968" s="59">
        <f t="shared" si="92"/>
        <v>0</v>
      </c>
    </row>
    <row r="2969" spans="1:9" customFormat="1" x14ac:dyDescent="0.35">
      <c r="A2969" s="63">
        <f t="shared" si="93"/>
        <v>2968</v>
      </c>
      <c r="B2969" s="54" t="s">
        <v>6796</v>
      </c>
      <c r="C2969" s="55" t="s">
        <v>6797</v>
      </c>
      <c r="D2969" s="54" t="s">
        <v>6718</v>
      </c>
      <c r="E2969" s="56">
        <v>0</v>
      </c>
      <c r="F2969" s="57" t="s">
        <v>1217</v>
      </c>
      <c r="G2969" s="58">
        <v>350000</v>
      </c>
      <c r="H2969" s="59">
        <v>494400</v>
      </c>
      <c r="I2969" s="59">
        <f t="shared" si="92"/>
        <v>0</v>
      </c>
    </row>
    <row r="2970" spans="1:9" customFormat="1" x14ac:dyDescent="0.35">
      <c r="A2970" s="63">
        <f t="shared" si="93"/>
        <v>2969</v>
      </c>
      <c r="B2970" s="54" t="s">
        <v>6798</v>
      </c>
      <c r="C2970" s="55" t="s">
        <v>6799</v>
      </c>
      <c r="D2970" s="54" t="s">
        <v>6718</v>
      </c>
      <c r="E2970" s="56">
        <v>0</v>
      </c>
      <c r="F2970" s="57" t="s">
        <v>1217</v>
      </c>
      <c r="G2970" s="58">
        <v>124620</v>
      </c>
      <c r="H2970" s="59">
        <v>0</v>
      </c>
      <c r="I2970" s="59">
        <f t="shared" si="92"/>
        <v>0</v>
      </c>
    </row>
    <row r="2971" spans="1:9" customFormat="1" x14ac:dyDescent="0.35">
      <c r="A2971" s="63">
        <f t="shared" si="93"/>
        <v>2970</v>
      </c>
      <c r="B2971" s="54" t="s">
        <v>6800</v>
      </c>
      <c r="C2971" s="55" t="s">
        <v>6801</v>
      </c>
      <c r="D2971" s="54" t="s">
        <v>6718</v>
      </c>
      <c r="E2971" s="56">
        <v>0</v>
      </c>
      <c r="F2971" s="57" t="s">
        <v>6751</v>
      </c>
      <c r="G2971" s="58">
        <v>100000</v>
      </c>
      <c r="H2971" s="59">
        <v>209250</v>
      </c>
      <c r="I2971" s="59">
        <f t="shared" si="92"/>
        <v>0</v>
      </c>
    </row>
    <row r="2972" spans="1:9" customFormat="1" ht="23" x14ac:dyDescent="0.35">
      <c r="A2972" s="63">
        <f t="shared" si="93"/>
        <v>2971</v>
      </c>
      <c r="B2972" s="54" t="s">
        <v>6802</v>
      </c>
      <c r="C2972" s="55" t="s">
        <v>6803</v>
      </c>
      <c r="D2972" s="54" t="s">
        <v>6718</v>
      </c>
      <c r="E2972" s="56">
        <v>0</v>
      </c>
      <c r="F2972" s="57" t="s">
        <v>6751</v>
      </c>
      <c r="G2972" s="58">
        <v>53000</v>
      </c>
      <c r="H2972" s="59">
        <v>75000</v>
      </c>
      <c r="I2972" s="59">
        <f t="shared" si="92"/>
        <v>0</v>
      </c>
    </row>
    <row r="2973" spans="1:9" customFormat="1" ht="23" x14ac:dyDescent="0.35">
      <c r="A2973" s="63">
        <f t="shared" si="93"/>
        <v>2972</v>
      </c>
      <c r="B2973" s="54" t="s">
        <v>6804</v>
      </c>
      <c r="C2973" s="55" t="s">
        <v>6805</v>
      </c>
      <c r="D2973" s="54" t="s">
        <v>6718</v>
      </c>
      <c r="E2973" s="56">
        <v>0</v>
      </c>
      <c r="F2973" s="57" t="s">
        <v>1217</v>
      </c>
      <c r="G2973" s="58">
        <v>81247</v>
      </c>
      <c r="H2973" s="59">
        <v>153468</v>
      </c>
      <c r="I2973" s="59">
        <f t="shared" si="92"/>
        <v>0</v>
      </c>
    </row>
    <row r="2974" spans="1:9" customFormat="1" x14ac:dyDescent="0.35">
      <c r="A2974" s="63">
        <f t="shared" si="93"/>
        <v>2973</v>
      </c>
      <c r="B2974" s="54" t="s">
        <v>6806</v>
      </c>
      <c r="C2974" s="55" t="s">
        <v>6807</v>
      </c>
      <c r="D2974" s="54" t="s">
        <v>6718</v>
      </c>
      <c r="E2974" s="56">
        <v>0</v>
      </c>
      <c r="F2974" s="57" t="s">
        <v>792</v>
      </c>
      <c r="G2974" s="58">
        <v>0</v>
      </c>
      <c r="H2974" s="59">
        <v>79650</v>
      </c>
      <c r="I2974" s="59">
        <f t="shared" si="92"/>
        <v>0</v>
      </c>
    </row>
    <row r="2975" spans="1:9" customFormat="1" x14ac:dyDescent="0.35">
      <c r="A2975" s="63">
        <f t="shared" si="93"/>
        <v>2974</v>
      </c>
      <c r="B2975" s="54" t="s">
        <v>6808</v>
      </c>
      <c r="C2975" s="55" t="s">
        <v>6809</v>
      </c>
      <c r="D2975" s="54" t="s">
        <v>6718</v>
      </c>
      <c r="E2975" s="56">
        <v>0</v>
      </c>
      <c r="F2975" s="57" t="s">
        <v>1217</v>
      </c>
      <c r="G2975" s="58">
        <v>20000</v>
      </c>
      <c r="H2975" s="59">
        <v>20000</v>
      </c>
      <c r="I2975" s="59">
        <f t="shared" si="92"/>
        <v>0</v>
      </c>
    </row>
    <row r="2976" spans="1:9" customFormat="1" x14ac:dyDescent="0.35">
      <c r="A2976" s="63">
        <f t="shared" si="93"/>
        <v>2975</v>
      </c>
      <c r="B2976" s="54" t="s">
        <v>6810</v>
      </c>
      <c r="C2976" s="55" t="s">
        <v>6811</v>
      </c>
      <c r="D2976" s="54" t="s">
        <v>6718</v>
      </c>
      <c r="E2976" s="56">
        <v>0</v>
      </c>
      <c r="F2976" s="57" t="s">
        <v>1217</v>
      </c>
      <c r="G2976" s="58">
        <v>57000</v>
      </c>
      <c r="H2976" s="59">
        <v>57000</v>
      </c>
      <c r="I2976" s="59">
        <f t="shared" si="92"/>
        <v>0</v>
      </c>
    </row>
    <row r="2977" spans="1:9" customFormat="1" x14ac:dyDescent="0.35">
      <c r="A2977" s="63">
        <f t="shared" si="93"/>
        <v>2976</v>
      </c>
      <c r="B2977" s="54" t="s">
        <v>6812</v>
      </c>
      <c r="C2977" s="55" t="s">
        <v>6813</v>
      </c>
      <c r="D2977" s="54" t="s">
        <v>6718</v>
      </c>
      <c r="E2977" s="56">
        <v>0</v>
      </c>
      <c r="F2977" s="57" t="s">
        <v>1217</v>
      </c>
      <c r="G2977" s="58">
        <v>41000</v>
      </c>
      <c r="H2977" s="59">
        <v>41000</v>
      </c>
      <c r="I2977" s="59">
        <f t="shared" si="92"/>
        <v>0</v>
      </c>
    </row>
    <row r="2978" spans="1:9" customFormat="1" x14ac:dyDescent="0.35">
      <c r="A2978" s="63">
        <f t="shared" si="93"/>
        <v>2977</v>
      </c>
      <c r="B2978" s="54" t="s">
        <v>6814</v>
      </c>
      <c r="C2978" s="55" t="s">
        <v>6815</v>
      </c>
      <c r="D2978" s="54" t="s">
        <v>6718</v>
      </c>
      <c r="E2978" s="56">
        <v>0</v>
      </c>
      <c r="F2978" s="57" t="s">
        <v>6751</v>
      </c>
      <c r="G2978" s="58">
        <v>178000</v>
      </c>
      <c r="H2978" s="59">
        <v>232500</v>
      </c>
      <c r="I2978" s="59">
        <f t="shared" si="92"/>
        <v>0</v>
      </c>
    </row>
    <row r="2979" spans="1:9" customFormat="1" x14ac:dyDescent="0.35">
      <c r="A2979" s="63">
        <f t="shared" si="93"/>
        <v>2978</v>
      </c>
      <c r="B2979" s="54" t="s">
        <v>6816</v>
      </c>
      <c r="C2979" s="55" t="s">
        <v>6817</v>
      </c>
      <c r="D2979" s="54" t="s">
        <v>6718</v>
      </c>
      <c r="E2979" s="56">
        <v>0</v>
      </c>
      <c r="F2979" s="57" t="s">
        <v>792</v>
      </c>
      <c r="G2979" s="58">
        <v>1975800</v>
      </c>
      <c r="H2979" s="59">
        <v>2574000</v>
      </c>
      <c r="I2979" s="59">
        <f t="shared" si="92"/>
        <v>0</v>
      </c>
    </row>
    <row r="2980" spans="1:9" customFormat="1" x14ac:dyDescent="0.35">
      <c r="A2980" s="63">
        <f t="shared" si="93"/>
        <v>2979</v>
      </c>
      <c r="B2980" s="54" t="s">
        <v>6818</v>
      </c>
      <c r="C2980" s="55" t="s">
        <v>6819</v>
      </c>
      <c r="D2980" s="54" t="s">
        <v>6718</v>
      </c>
      <c r="E2980" s="56">
        <v>0</v>
      </c>
      <c r="F2980" s="57" t="s">
        <v>792</v>
      </c>
      <c r="G2980" s="58">
        <v>2177000</v>
      </c>
      <c r="H2980" s="59">
        <v>2848950</v>
      </c>
      <c r="I2980" s="59">
        <f t="shared" si="92"/>
        <v>0</v>
      </c>
    </row>
    <row r="2981" spans="1:9" customFormat="1" x14ac:dyDescent="0.35">
      <c r="A2981" s="63">
        <f t="shared" si="93"/>
        <v>2980</v>
      </c>
      <c r="B2981" s="54" t="s">
        <v>6820</v>
      </c>
      <c r="C2981" s="55" t="s">
        <v>6821</v>
      </c>
      <c r="D2981" s="54" t="s">
        <v>6718</v>
      </c>
      <c r="E2981" s="56">
        <v>0</v>
      </c>
      <c r="F2981" s="57" t="s">
        <v>815</v>
      </c>
      <c r="G2981" s="58">
        <v>0</v>
      </c>
      <c r="H2981" s="59">
        <v>2604000</v>
      </c>
      <c r="I2981" s="59">
        <f t="shared" si="92"/>
        <v>0</v>
      </c>
    </row>
    <row r="2982" spans="1:9" customFormat="1" x14ac:dyDescent="0.35">
      <c r="A2982" s="63">
        <f t="shared" si="93"/>
        <v>2981</v>
      </c>
      <c r="B2982" s="54" t="s">
        <v>6822</v>
      </c>
      <c r="C2982" s="55" t="s">
        <v>6823</v>
      </c>
      <c r="D2982" s="54" t="s">
        <v>6718</v>
      </c>
      <c r="E2982" s="56">
        <v>0</v>
      </c>
      <c r="F2982" s="57" t="s">
        <v>792</v>
      </c>
      <c r="G2982" s="58">
        <v>16000</v>
      </c>
      <c r="H2982" s="59">
        <v>28000</v>
      </c>
      <c r="I2982" s="59">
        <f t="shared" si="92"/>
        <v>0</v>
      </c>
    </row>
    <row r="2983" spans="1:9" customFormat="1" x14ac:dyDescent="0.35">
      <c r="A2983" s="63">
        <f t="shared" si="93"/>
        <v>2982</v>
      </c>
      <c r="B2983" s="54" t="s">
        <v>6824</v>
      </c>
      <c r="C2983" s="55" t="s">
        <v>6825</v>
      </c>
      <c r="D2983" s="54" t="s">
        <v>6718</v>
      </c>
      <c r="E2983" s="56">
        <v>0</v>
      </c>
      <c r="F2983" s="57" t="s">
        <v>6751</v>
      </c>
      <c r="G2983" s="58">
        <v>13500</v>
      </c>
      <c r="H2983" s="59">
        <v>20000</v>
      </c>
      <c r="I2983" s="59">
        <f t="shared" si="92"/>
        <v>0</v>
      </c>
    </row>
    <row r="2984" spans="1:9" customFormat="1" x14ac:dyDescent="0.35">
      <c r="A2984" s="63">
        <f t="shared" si="93"/>
        <v>2983</v>
      </c>
      <c r="B2984" s="54" t="s">
        <v>6826</v>
      </c>
      <c r="C2984" s="55" t="s">
        <v>6827</v>
      </c>
      <c r="D2984" s="54" t="s">
        <v>6718</v>
      </c>
      <c r="E2984" s="56">
        <v>0</v>
      </c>
      <c r="F2984" s="57" t="s">
        <v>6751</v>
      </c>
      <c r="G2984" s="58">
        <v>8500</v>
      </c>
      <c r="H2984" s="59">
        <v>13000</v>
      </c>
      <c r="I2984" s="59">
        <f t="shared" si="92"/>
        <v>0</v>
      </c>
    </row>
    <row r="2985" spans="1:9" customFormat="1" x14ac:dyDescent="0.35">
      <c r="A2985" s="63">
        <f t="shared" si="93"/>
        <v>2984</v>
      </c>
      <c r="B2985" s="54" t="s">
        <v>6828</v>
      </c>
      <c r="C2985" s="55" t="s">
        <v>6829</v>
      </c>
      <c r="D2985" s="54" t="s">
        <v>6718</v>
      </c>
      <c r="E2985" s="56">
        <v>0</v>
      </c>
      <c r="F2985" s="57" t="s">
        <v>6751</v>
      </c>
      <c r="G2985" s="58">
        <v>0</v>
      </c>
      <c r="H2985" s="59">
        <v>11793600</v>
      </c>
      <c r="I2985" s="59">
        <f t="shared" si="92"/>
        <v>0</v>
      </c>
    </row>
    <row r="2986" spans="1:9" customFormat="1" x14ac:dyDescent="0.35">
      <c r="A2986" s="63">
        <f t="shared" si="93"/>
        <v>2985</v>
      </c>
      <c r="B2986" s="54" t="s">
        <v>6830</v>
      </c>
      <c r="C2986" s="55" t="s">
        <v>6831</v>
      </c>
      <c r="D2986" s="54" t="s">
        <v>6718</v>
      </c>
      <c r="E2986" s="56">
        <v>0</v>
      </c>
      <c r="F2986" s="57" t="s">
        <v>844</v>
      </c>
      <c r="G2986" s="58">
        <v>166000</v>
      </c>
      <c r="H2986" s="59">
        <v>270900</v>
      </c>
      <c r="I2986" s="59">
        <f t="shared" si="92"/>
        <v>0</v>
      </c>
    </row>
    <row r="2987" spans="1:9" customFormat="1" x14ac:dyDescent="0.35">
      <c r="A2987" s="63">
        <f t="shared" si="93"/>
        <v>2986</v>
      </c>
      <c r="B2987" s="54" t="s">
        <v>6832</v>
      </c>
      <c r="C2987" s="55" t="s">
        <v>6833</v>
      </c>
      <c r="D2987" s="54" t="s">
        <v>6718</v>
      </c>
      <c r="E2987" s="56">
        <v>0</v>
      </c>
      <c r="F2987" s="57" t="s">
        <v>792</v>
      </c>
      <c r="G2987" s="58">
        <v>19500</v>
      </c>
      <c r="H2987" s="59">
        <v>19500</v>
      </c>
      <c r="I2987" s="59">
        <f t="shared" si="92"/>
        <v>0</v>
      </c>
    </row>
    <row r="2988" spans="1:9" customFormat="1" x14ac:dyDescent="0.35">
      <c r="A2988" s="63">
        <f t="shared" si="93"/>
        <v>2987</v>
      </c>
      <c r="B2988" s="54" t="s">
        <v>6834</v>
      </c>
      <c r="C2988" s="55" t="s">
        <v>6835</v>
      </c>
      <c r="D2988" s="54" t="s">
        <v>6718</v>
      </c>
      <c r="E2988" s="56">
        <v>0</v>
      </c>
      <c r="F2988" s="57" t="s">
        <v>792</v>
      </c>
      <c r="G2988" s="58">
        <v>45000</v>
      </c>
      <c r="H2988" s="59">
        <v>45000</v>
      </c>
      <c r="I2988" s="59">
        <f t="shared" si="92"/>
        <v>0</v>
      </c>
    </row>
    <row r="2989" spans="1:9" customFormat="1" x14ac:dyDescent="0.35">
      <c r="A2989" s="63">
        <f t="shared" si="93"/>
        <v>2988</v>
      </c>
      <c r="B2989" s="54" t="s">
        <v>6836</v>
      </c>
      <c r="C2989" s="55" t="s">
        <v>6837</v>
      </c>
      <c r="D2989" s="54" t="s">
        <v>6718</v>
      </c>
      <c r="E2989" s="56">
        <v>0</v>
      </c>
      <c r="F2989" s="57" t="s">
        <v>844</v>
      </c>
      <c r="G2989" s="58">
        <v>4000000</v>
      </c>
      <c r="H2989" s="59">
        <v>4000000</v>
      </c>
      <c r="I2989" s="59">
        <f t="shared" si="92"/>
        <v>0</v>
      </c>
    </row>
    <row r="2990" spans="1:9" customFormat="1" x14ac:dyDescent="0.35">
      <c r="A2990" s="63">
        <f t="shared" si="93"/>
        <v>2989</v>
      </c>
      <c r="B2990" s="54" t="s">
        <v>6838</v>
      </c>
      <c r="C2990" s="55" t="s">
        <v>6839</v>
      </c>
      <c r="D2990" s="54" t="s">
        <v>6718</v>
      </c>
      <c r="E2990" s="56">
        <v>0</v>
      </c>
      <c r="F2990" s="57" t="s">
        <v>792</v>
      </c>
      <c r="G2990" s="58">
        <v>0</v>
      </c>
      <c r="H2990" s="59">
        <v>127575</v>
      </c>
      <c r="I2990" s="59">
        <f t="shared" si="92"/>
        <v>0</v>
      </c>
    </row>
    <row r="2991" spans="1:9" customFormat="1" ht="23" x14ac:dyDescent="0.35">
      <c r="A2991" s="63">
        <f t="shared" si="93"/>
        <v>2990</v>
      </c>
      <c r="B2991" s="54" t="s">
        <v>6840</v>
      </c>
      <c r="C2991" s="55" t="s">
        <v>6841</v>
      </c>
      <c r="D2991" s="54" t="s">
        <v>6718</v>
      </c>
      <c r="E2991" s="56">
        <v>0</v>
      </c>
      <c r="F2991" s="57" t="s">
        <v>792</v>
      </c>
      <c r="G2991" s="58">
        <v>200000</v>
      </c>
      <c r="H2991" s="59">
        <v>320000</v>
      </c>
      <c r="I2991" s="59">
        <f t="shared" si="92"/>
        <v>0</v>
      </c>
    </row>
    <row r="2992" spans="1:9" customFormat="1" x14ac:dyDescent="0.35">
      <c r="A2992" s="63">
        <f t="shared" si="93"/>
        <v>2991</v>
      </c>
      <c r="B2992" s="54" t="s">
        <v>6842</v>
      </c>
      <c r="C2992" s="55" t="s">
        <v>6843</v>
      </c>
      <c r="D2992" s="54" t="s">
        <v>6718</v>
      </c>
      <c r="E2992" s="56">
        <v>0</v>
      </c>
      <c r="F2992" s="57" t="s">
        <v>1217</v>
      </c>
      <c r="G2992" s="58">
        <v>225000</v>
      </c>
      <c r="H2992" s="59">
        <v>225000</v>
      </c>
      <c r="I2992" s="59">
        <f t="shared" si="92"/>
        <v>0</v>
      </c>
    </row>
    <row r="2993" spans="1:9" customFormat="1" x14ac:dyDescent="0.35">
      <c r="A2993" s="63">
        <f t="shared" si="93"/>
        <v>2992</v>
      </c>
      <c r="B2993" s="54" t="s">
        <v>6844</v>
      </c>
      <c r="C2993" s="55" t="s">
        <v>6845</v>
      </c>
      <c r="D2993" s="54" t="s">
        <v>6718</v>
      </c>
      <c r="E2993" s="56">
        <v>0</v>
      </c>
      <c r="F2993" s="57" t="s">
        <v>792</v>
      </c>
      <c r="G2993" s="58">
        <v>10000</v>
      </c>
      <c r="H2993" s="59">
        <v>37000</v>
      </c>
      <c r="I2993" s="59">
        <f t="shared" si="92"/>
        <v>0</v>
      </c>
    </row>
    <row r="2994" spans="1:9" customFormat="1" x14ac:dyDescent="0.35">
      <c r="A2994" s="63">
        <f t="shared" si="93"/>
        <v>2993</v>
      </c>
      <c r="B2994" s="54" t="s">
        <v>6846</v>
      </c>
      <c r="C2994" s="55" t="s">
        <v>6847</v>
      </c>
      <c r="D2994" s="54" t="s">
        <v>6718</v>
      </c>
      <c r="E2994" s="56">
        <v>0</v>
      </c>
      <c r="F2994" s="57" t="s">
        <v>792</v>
      </c>
      <c r="G2994" s="58">
        <v>0</v>
      </c>
      <c r="H2994" s="59">
        <v>0</v>
      </c>
      <c r="I2994" s="59">
        <f t="shared" si="92"/>
        <v>0</v>
      </c>
    </row>
    <row r="2995" spans="1:9" customFormat="1" x14ac:dyDescent="0.35">
      <c r="A2995" s="63">
        <f t="shared" si="93"/>
        <v>2994</v>
      </c>
      <c r="B2995" s="54" t="s">
        <v>6848</v>
      </c>
      <c r="C2995" s="55" t="s">
        <v>6849</v>
      </c>
      <c r="D2995" s="54" t="s">
        <v>6718</v>
      </c>
      <c r="E2995" s="56">
        <v>0</v>
      </c>
      <c r="F2995" s="57" t="s">
        <v>792</v>
      </c>
      <c r="G2995" s="58">
        <v>60</v>
      </c>
      <c r="H2995" s="59">
        <v>60</v>
      </c>
      <c r="I2995" s="59">
        <f t="shared" si="92"/>
        <v>0</v>
      </c>
    </row>
    <row r="2996" spans="1:9" customFormat="1" x14ac:dyDescent="0.35">
      <c r="A2996" s="63">
        <f t="shared" si="93"/>
        <v>2995</v>
      </c>
      <c r="B2996" s="54" t="s">
        <v>6850</v>
      </c>
      <c r="C2996" s="55" t="s">
        <v>6851</v>
      </c>
      <c r="D2996" s="54" t="s">
        <v>6718</v>
      </c>
      <c r="E2996" s="56">
        <v>0</v>
      </c>
      <c r="F2996" s="57" t="s">
        <v>792</v>
      </c>
      <c r="G2996" s="58">
        <v>55000</v>
      </c>
      <c r="H2996" s="59">
        <v>55000</v>
      </c>
      <c r="I2996" s="59">
        <f t="shared" si="92"/>
        <v>0</v>
      </c>
    </row>
    <row r="2997" spans="1:9" customFormat="1" x14ac:dyDescent="0.35">
      <c r="A2997" s="63">
        <f t="shared" si="93"/>
        <v>2996</v>
      </c>
      <c r="B2997" s="54" t="s">
        <v>6852</v>
      </c>
      <c r="C2997" s="55" t="s">
        <v>6853</v>
      </c>
      <c r="D2997" s="54" t="s">
        <v>6718</v>
      </c>
      <c r="E2997" s="56">
        <v>0</v>
      </c>
      <c r="F2997" s="57" t="s">
        <v>792</v>
      </c>
      <c r="G2997" s="58">
        <v>50000</v>
      </c>
      <c r="H2997" s="59">
        <v>50000</v>
      </c>
      <c r="I2997" s="59">
        <f t="shared" si="92"/>
        <v>0</v>
      </c>
    </row>
    <row r="2998" spans="1:9" customFormat="1" x14ac:dyDescent="0.35">
      <c r="A2998" s="63">
        <f t="shared" si="93"/>
        <v>2997</v>
      </c>
      <c r="B2998" s="54" t="s">
        <v>6854</v>
      </c>
      <c r="C2998" s="55" t="s">
        <v>6855</v>
      </c>
      <c r="D2998" s="54" t="s">
        <v>6718</v>
      </c>
      <c r="E2998" s="56">
        <v>0</v>
      </c>
      <c r="F2998" s="57" t="s">
        <v>1552</v>
      </c>
      <c r="G2998" s="58">
        <v>875000</v>
      </c>
      <c r="H2998" s="59">
        <v>875000</v>
      </c>
      <c r="I2998" s="59">
        <f t="shared" si="92"/>
        <v>0</v>
      </c>
    </row>
    <row r="2999" spans="1:9" customFormat="1" ht="23" x14ac:dyDescent="0.35">
      <c r="A2999" s="63">
        <f t="shared" si="93"/>
        <v>2998</v>
      </c>
      <c r="B2999" s="54" t="s">
        <v>6856</v>
      </c>
      <c r="C2999" s="55" t="s">
        <v>6857</v>
      </c>
      <c r="D2999" s="54" t="s">
        <v>6718</v>
      </c>
      <c r="E2999" s="56">
        <v>0</v>
      </c>
      <c r="F2999" s="57" t="s">
        <v>1217</v>
      </c>
      <c r="G2999" s="58">
        <v>928200</v>
      </c>
      <c r="H2999" s="59">
        <v>1300000</v>
      </c>
      <c r="I2999" s="59">
        <f t="shared" si="92"/>
        <v>0</v>
      </c>
    </row>
    <row r="3000" spans="1:9" customFormat="1" x14ac:dyDescent="0.35">
      <c r="A3000" s="63">
        <f t="shared" si="93"/>
        <v>2999</v>
      </c>
      <c r="B3000" s="54" t="s">
        <v>6858</v>
      </c>
      <c r="C3000" s="55" t="s">
        <v>6859</v>
      </c>
      <c r="D3000" s="54" t="s">
        <v>6718</v>
      </c>
      <c r="E3000" s="56">
        <v>0</v>
      </c>
      <c r="F3000" s="57" t="s">
        <v>1217</v>
      </c>
      <c r="G3000" s="58">
        <v>286700</v>
      </c>
      <c r="H3000" s="59">
        <v>402000</v>
      </c>
      <c r="I3000" s="59">
        <f t="shared" si="92"/>
        <v>0</v>
      </c>
    </row>
    <row r="3001" spans="1:9" customFormat="1" x14ac:dyDescent="0.35">
      <c r="A3001" s="63">
        <f t="shared" si="93"/>
        <v>3000</v>
      </c>
      <c r="B3001" s="54" t="s">
        <v>6860</v>
      </c>
      <c r="C3001" s="55" t="s">
        <v>6861</v>
      </c>
      <c r="D3001" s="54" t="s">
        <v>6718</v>
      </c>
      <c r="E3001" s="56">
        <v>0</v>
      </c>
      <c r="F3001" s="57" t="s">
        <v>1217</v>
      </c>
      <c r="G3001" s="58">
        <v>0</v>
      </c>
      <c r="H3001" s="59">
        <v>200000</v>
      </c>
      <c r="I3001" s="59">
        <f t="shared" si="92"/>
        <v>0</v>
      </c>
    </row>
    <row r="3002" spans="1:9" customFormat="1" x14ac:dyDescent="0.35">
      <c r="A3002" s="63">
        <f t="shared" si="93"/>
        <v>3001</v>
      </c>
      <c r="B3002" s="54" t="s">
        <v>6862</v>
      </c>
      <c r="C3002" s="55" t="s">
        <v>6863</v>
      </c>
      <c r="D3002" s="54" t="s">
        <v>6718</v>
      </c>
      <c r="E3002" s="56">
        <v>0</v>
      </c>
      <c r="F3002" s="57" t="s">
        <v>792</v>
      </c>
      <c r="G3002" s="58">
        <v>93000</v>
      </c>
      <c r="H3002" s="59">
        <v>123975</v>
      </c>
      <c r="I3002" s="59">
        <f t="shared" si="92"/>
        <v>0</v>
      </c>
    </row>
    <row r="3003" spans="1:9" customFormat="1" x14ac:dyDescent="0.35">
      <c r="A3003" s="63">
        <f t="shared" si="93"/>
        <v>3002</v>
      </c>
      <c r="B3003" s="54" t="s">
        <v>6864</v>
      </c>
      <c r="C3003" s="55" t="s">
        <v>6865</v>
      </c>
      <c r="D3003" s="54" t="s">
        <v>6718</v>
      </c>
      <c r="E3003" s="56">
        <v>0</v>
      </c>
      <c r="F3003" s="57" t="s">
        <v>792</v>
      </c>
      <c r="G3003" s="58">
        <v>11500</v>
      </c>
      <c r="H3003" s="59">
        <v>11500</v>
      </c>
      <c r="I3003" s="59">
        <f t="shared" si="92"/>
        <v>0</v>
      </c>
    </row>
    <row r="3004" spans="1:9" customFormat="1" x14ac:dyDescent="0.35">
      <c r="A3004" s="63">
        <f t="shared" si="93"/>
        <v>3003</v>
      </c>
      <c r="B3004" s="54" t="s">
        <v>6866</v>
      </c>
      <c r="C3004" s="55" t="s">
        <v>6867</v>
      </c>
      <c r="D3004" s="54" t="s">
        <v>6718</v>
      </c>
      <c r="E3004" s="56">
        <v>0</v>
      </c>
      <c r="F3004" s="57" t="s">
        <v>792</v>
      </c>
      <c r="G3004" s="58">
        <v>11900</v>
      </c>
      <c r="H3004" s="59">
        <v>11900</v>
      </c>
      <c r="I3004" s="59">
        <f t="shared" si="92"/>
        <v>0</v>
      </c>
    </row>
    <row r="3005" spans="1:9" customFormat="1" x14ac:dyDescent="0.35">
      <c r="A3005" s="63">
        <f t="shared" si="93"/>
        <v>3004</v>
      </c>
      <c r="B3005" s="54" t="s">
        <v>6868</v>
      </c>
      <c r="C3005" s="55" t="s">
        <v>6869</v>
      </c>
      <c r="D3005" s="54" t="s">
        <v>6718</v>
      </c>
      <c r="E3005" s="56">
        <v>0</v>
      </c>
      <c r="F3005" s="57" t="s">
        <v>792</v>
      </c>
      <c r="G3005" s="58">
        <v>13600</v>
      </c>
      <c r="H3005" s="59">
        <v>13600</v>
      </c>
      <c r="I3005" s="59">
        <f t="shared" si="92"/>
        <v>0</v>
      </c>
    </row>
    <row r="3006" spans="1:9" customFormat="1" x14ac:dyDescent="0.35">
      <c r="A3006" s="63">
        <f t="shared" si="93"/>
        <v>3005</v>
      </c>
      <c r="B3006" s="54" t="s">
        <v>6870</v>
      </c>
      <c r="C3006" s="55" t="s">
        <v>6871</v>
      </c>
      <c r="D3006" s="54" t="s">
        <v>6718</v>
      </c>
      <c r="E3006" s="56">
        <v>0</v>
      </c>
      <c r="F3006" s="57" t="s">
        <v>792</v>
      </c>
      <c r="G3006" s="58">
        <v>14100</v>
      </c>
      <c r="H3006" s="59">
        <v>14100</v>
      </c>
      <c r="I3006" s="59">
        <f t="shared" si="92"/>
        <v>0</v>
      </c>
    </row>
    <row r="3007" spans="1:9" customFormat="1" x14ac:dyDescent="0.35">
      <c r="A3007" s="63">
        <f t="shared" si="93"/>
        <v>3006</v>
      </c>
      <c r="B3007" s="54" t="s">
        <v>6872</v>
      </c>
      <c r="C3007" s="55" t="s">
        <v>6873</v>
      </c>
      <c r="D3007" s="54" t="s">
        <v>6718</v>
      </c>
      <c r="E3007" s="56">
        <v>0</v>
      </c>
      <c r="F3007" s="57" t="s">
        <v>792</v>
      </c>
      <c r="G3007" s="58">
        <v>0</v>
      </c>
      <c r="H3007" s="59">
        <v>27690</v>
      </c>
      <c r="I3007" s="59">
        <f t="shared" si="92"/>
        <v>0</v>
      </c>
    </row>
    <row r="3008" spans="1:9" customFormat="1" ht="23" x14ac:dyDescent="0.35">
      <c r="A3008" s="63">
        <f t="shared" si="93"/>
        <v>3007</v>
      </c>
      <c r="B3008" s="54" t="s">
        <v>6874</v>
      </c>
      <c r="C3008" s="55" t="s">
        <v>6875</v>
      </c>
      <c r="D3008" s="54" t="s">
        <v>6718</v>
      </c>
      <c r="E3008" s="56">
        <v>0</v>
      </c>
      <c r="F3008" s="57" t="s">
        <v>1217</v>
      </c>
      <c r="G3008" s="58">
        <v>0</v>
      </c>
      <c r="H3008" s="59">
        <v>1165050</v>
      </c>
      <c r="I3008" s="59">
        <f t="shared" si="92"/>
        <v>0</v>
      </c>
    </row>
    <row r="3009" spans="1:9" customFormat="1" x14ac:dyDescent="0.35">
      <c r="A3009" s="63">
        <f t="shared" si="93"/>
        <v>3008</v>
      </c>
      <c r="B3009" s="54" t="s">
        <v>6876</v>
      </c>
      <c r="C3009" s="55" t="s">
        <v>6877</v>
      </c>
      <c r="D3009" s="54" t="s">
        <v>6718</v>
      </c>
      <c r="E3009" s="56">
        <v>0</v>
      </c>
      <c r="F3009" s="57" t="s">
        <v>6751</v>
      </c>
      <c r="G3009" s="58">
        <v>142000</v>
      </c>
      <c r="H3009" s="59">
        <v>199500</v>
      </c>
      <c r="I3009" s="59">
        <f t="shared" si="92"/>
        <v>0</v>
      </c>
    </row>
    <row r="3010" spans="1:9" customFormat="1" ht="23" x14ac:dyDescent="0.35">
      <c r="A3010" s="63">
        <f t="shared" si="93"/>
        <v>3009</v>
      </c>
      <c r="B3010" s="54" t="s">
        <v>6878</v>
      </c>
      <c r="C3010" s="55" t="s">
        <v>6879</v>
      </c>
      <c r="D3010" s="54" t="s">
        <v>6718</v>
      </c>
      <c r="E3010" s="56">
        <v>0</v>
      </c>
      <c r="F3010" s="57" t="s">
        <v>878</v>
      </c>
      <c r="G3010" s="58">
        <v>441400</v>
      </c>
      <c r="H3010" s="59">
        <v>699000</v>
      </c>
      <c r="I3010" s="59">
        <f t="shared" si="92"/>
        <v>0</v>
      </c>
    </row>
    <row r="3011" spans="1:9" customFormat="1" x14ac:dyDescent="0.35">
      <c r="A3011" s="63">
        <f t="shared" si="93"/>
        <v>3010</v>
      </c>
      <c r="B3011" s="54" t="s">
        <v>6880</v>
      </c>
      <c r="C3011" s="55" t="s">
        <v>6881</v>
      </c>
      <c r="D3011" s="54" t="s">
        <v>6718</v>
      </c>
      <c r="E3011" s="56">
        <v>0</v>
      </c>
      <c r="F3011" s="57" t="s">
        <v>6751</v>
      </c>
      <c r="G3011" s="58">
        <v>0</v>
      </c>
      <c r="H3011" s="59">
        <v>6468000</v>
      </c>
      <c r="I3011" s="59">
        <f t="shared" ref="I3011:I3074" si="94">H3011*E3011</f>
        <v>0</v>
      </c>
    </row>
    <row r="3012" spans="1:9" customFormat="1" x14ac:dyDescent="0.35">
      <c r="A3012" s="63">
        <f t="shared" ref="A3012:A3075" si="95">A3011+1</f>
        <v>3011</v>
      </c>
      <c r="B3012" s="54" t="s">
        <v>6882</v>
      </c>
      <c r="C3012" s="55" t="s">
        <v>6883</v>
      </c>
      <c r="D3012" s="54" t="s">
        <v>6718</v>
      </c>
      <c r="E3012" s="56">
        <v>0</v>
      </c>
      <c r="F3012" s="57" t="s">
        <v>1217</v>
      </c>
      <c r="G3012" s="58">
        <v>270000</v>
      </c>
      <c r="H3012" s="59">
        <v>270000</v>
      </c>
      <c r="I3012" s="59">
        <f t="shared" si="94"/>
        <v>0</v>
      </c>
    </row>
    <row r="3013" spans="1:9" customFormat="1" ht="23" x14ac:dyDescent="0.35">
      <c r="A3013" s="63">
        <f t="shared" si="95"/>
        <v>3012</v>
      </c>
      <c r="B3013" s="54" t="s">
        <v>6884</v>
      </c>
      <c r="C3013" s="55" t="s">
        <v>6885</v>
      </c>
      <c r="D3013" s="54" t="s">
        <v>6718</v>
      </c>
      <c r="E3013" s="56">
        <v>0</v>
      </c>
      <c r="F3013" s="57" t="s">
        <v>6751</v>
      </c>
      <c r="G3013" s="58">
        <v>9960000</v>
      </c>
      <c r="H3013" s="59">
        <v>13466000</v>
      </c>
      <c r="I3013" s="59">
        <f t="shared" si="94"/>
        <v>0</v>
      </c>
    </row>
    <row r="3014" spans="1:9" customFormat="1" x14ac:dyDescent="0.35">
      <c r="A3014" s="63">
        <f t="shared" si="95"/>
        <v>3013</v>
      </c>
      <c r="B3014" s="54" t="s">
        <v>6886</v>
      </c>
      <c r="C3014" s="55" t="s">
        <v>6887</v>
      </c>
      <c r="D3014" s="54" t="s">
        <v>6718</v>
      </c>
      <c r="E3014" s="56">
        <v>0</v>
      </c>
      <c r="F3014" s="57" t="s">
        <v>1217</v>
      </c>
      <c r="G3014" s="58">
        <v>0</v>
      </c>
      <c r="H3014" s="59">
        <v>150000</v>
      </c>
      <c r="I3014" s="59">
        <f t="shared" si="94"/>
        <v>0</v>
      </c>
    </row>
    <row r="3015" spans="1:9" customFormat="1" x14ac:dyDescent="0.35">
      <c r="A3015" s="63">
        <f t="shared" si="95"/>
        <v>3014</v>
      </c>
      <c r="B3015" s="54" t="s">
        <v>6888</v>
      </c>
      <c r="C3015" s="55" t="s">
        <v>6889</v>
      </c>
      <c r="D3015" s="54" t="s">
        <v>6718</v>
      </c>
      <c r="E3015" s="56">
        <v>0</v>
      </c>
      <c r="F3015" s="57" t="s">
        <v>1217</v>
      </c>
      <c r="G3015" s="58">
        <v>0</v>
      </c>
      <c r="H3015" s="59">
        <v>450000</v>
      </c>
      <c r="I3015" s="59">
        <f t="shared" si="94"/>
        <v>0</v>
      </c>
    </row>
    <row r="3016" spans="1:9" customFormat="1" ht="23" x14ac:dyDescent="0.35">
      <c r="A3016" s="63">
        <f t="shared" si="95"/>
        <v>3015</v>
      </c>
      <c r="B3016" s="54" t="s">
        <v>6890</v>
      </c>
      <c r="C3016" s="55" t="s">
        <v>6891</v>
      </c>
      <c r="D3016" s="54" t="s">
        <v>6718</v>
      </c>
      <c r="E3016" s="56">
        <v>0</v>
      </c>
      <c r="F3016" s="57" t="s">
        <v>1217</v>
      </c>
      <c r="G3016" s="58">
        <v>0</v>
      </c>
      <c r="H3016" s="59">
        <v>4508960</v>
      </c>
      <c r="I3016" s="59">
        <f t="shared" si="94"/>
        <v>0</v>
      </c>
    </row>
    <row r="3017" spans="1:9" customFormat="1" x14ac:dyDescent="0.35">
      <c r="A3017" s="63">
        <f t="shared" si="95"/>
        <v>3016</v>
      </c>
      <c r="B3017" s="54" t="s">
        <v>6892</v>
      </c>
      <c r="C3017" s="55" t="s">
        <v>6893</v>
      </c>
      <c r="D3017" s="54" t="s">
        <v>6718</v>
      </c>
      <c r="E3017" s="56">
        <v>0</v>
      </c>
      <c r="F3017" s="57" t="s">
        <v>6751</v>
      </c>
      <c r="G3017" s="58">
        <v>745000</v>
      </c>
      <c r="H3017" s="59">
        <v>1343000</v>
      </c>
      <c r="I3017" s="59">
        <f t="shared" si="94"/>
        <v>0</v>
      </c>
    </row>
    <row r="3018" spans="1:9" customFormat="1" x14ac:dyDescent="0.35">
      <c r="A3018" s="63">
        <f t="shared" si="95"/>
        <v>3017</v>
      </c>
      <c r="B3018" s="54" t="s">
        <v>6894</v>
      </c>
      <c r="C3018" s="55" t="s">
        <v>6895</v>
      </c>
      <c r="D3018" s="54" t="s">
        <v>6718</v>
      </c>
      <c r="E3018" s="56">
        <v>0</v>
      </c>
      <c r="F3018" s="57" t="s">
        <v>6751</v>
      </c>
      <c r="G3018" s="58">
        <v>80000</v>
      </c>
      <c r="H3018" s="59">
        <v>110920</v>
      </c>
      <c r="I3018" s="59">
        <f t="shared" si="94"/>
        <v>0</v>
      </c>
    </row>
    <row r="3019" spans="1:9" customFormat="1" ht="23" x14ac:dyDescent="0.35">
      <c r="A3019" s="63">
        <f t="shared" si="95"/>
        <v>3018</v>
      </c>
      <c r="B3019" s="54" t="s">
        <v>6896</v>
      </c>
      <c r="C3019" s="55" t="s">
        <v>6897</v>
      </c>
      <c r="D3019" s="54" t="s">
        <v>6718</v>
      </c>
      <c r="E3019" s="56">
        <v>0</v>
      </c>
      <c r="F3019" s="57" t="s">
        <v>792</v>
      </c>
      <c r="G3019" s="58">
        <v>25000</v>
      </c>
      <c r="H3019" s="59">
        <v>31387</v>
      </c>
      <c r="I3019" s="59">
        <f t="shared" si="94"/>
        <v>0</v>
      </c>
    </row>
    <row r="3020" spans="1:9" customFormat="1" x14ac:dyDescent="0.35">
      <c r="A3020" s="63">
        <f t="shared" si="95"/>
        <v>3019</v>
      </c>
      <c r="B3020" s="54" t="s">
        <v>6898</v>
      </c>
      <c r="C3020" s="55" t="s">
        <v>6899</v>
      </c>
      <c r="D3020" s="54" t="s">
        <v>6718</v>
      </c>
      <c r="E3020" s="56">
        <v>0</v>
      </c>
      <c r="F3020" s="57" t="s">
        <v>792</v>
      </c>
      <c r="G3020" s="58">
        <v>22500</v>
      </c>
      <c r="H3020" s="59">
        <v>22500</v>
      </c>
      <c r="I3020" s="59">
        <f t="shared" si="94"/>
        <v>0</v>
      </c>
    </row>
    <row r="3021" spans="1:9" customFormat="1" x14ac:dyDescent="0.35">
      <c r="A3021" s="63">
        <f t="shared" si="95"/>
        <v>3020</v>
      </c>
      <c r="B3021" s="54" t="s">
        <v>6900</v>
      </c>
      <c r="C3021" s="55" t="s">
        <v>6901</v>
      </c>
      <c r="D3021" s="54" t="s">
        <v>6718</v>
      </c>
      <c r="E3021" s="56">
        <v>0</v>
      </c>
      <c r="F3021" s="57" t="s">
        <v>870</v>
      </c>
      <c r="G3021" s="58">
        <v>93000</v>
      </c>
      <c r="H3021" s="59">
        <v>93000</v>
      </c>
      <c r="I3021" s="59">
        <f t="shared" si="94"/>
        <v>0</v>
      </c>
    </row>
    <row r="3022" spans="1:9" customFormat="1" ht="23" x14ac:dyDescent="0.35">
      <c r="A3022" s="63">
        <f t="shared" si="95"/>
        <v>3021</v>
      </c>
      <c r="B3022" s="54" t="s">
        <v>6902</v>
      </c>
      <c r="C3022" s="55" t="s">
        <v>6903</v>
      </c>
      <c r="D3022" s="54" t="s">
        <v>6718</v>
      </c>
      <c r="E3022" s="56">
        <v>0</v>
      </c>
      <c r="F3022" s="57" t="s">
        <v>878</v>
      </c>
      <c r="G3022" s="58">
        <v>3630000</v>
      </c>
      <c r="H3022" s="59">
        <v>3630000</v>
      </c>
      <c r="I3022" s="59">
        <f t="shared" si="94"/>
        <v>0</v>
      </c>
    </row>
    <row r="3023" spans="1:9" customFormat="1" x14ac:dyDescent="0.35">
      <c r="A3023" s="63">
        <f t="shared" si="95"/>
        <v>3022</v>
      </c>
      <c r="B3023" s="54" t="s">
        <v>6904</v>
      </c>
      <c r="C3023" s="55" t="s">
        <v>6905</v>
      </c>
      <c r="D3023" s="54" t="s">
        <v>6718</v>
      </c>
      <c r="E3023" s="56">
        <v>0</v>
      </c>
      <c r="F3023" s="57" t="s">
        <v>792</v>
      </c>
      <c r="G3023" s="58">
        <v>1600</v>
      </c>
      <c r="H3023" s="59">
        <v>4050</v>
      </c>
      <c r="I3023" s="59">
        <f t="shared" si="94"/>
        <v>0</v>
      </c>
    </row>
    <row r="3024" spans="1:9" customFormat="1" x14ac:dyDescent="0.35">
      <c r="A3024" s="63">
        <f t="shared" si="95"/>
        <v>3023</v>
      </c>
      <c r="B3024" s="54" t="s">
        <v>6906</v>
      </c>
      <c r="C3024" s="55" t="s">
        <v>6907</v>
      </c>
      <c r="D3024" s="54" t="s">
        <v>6718</v>
      </c>
      <c r="E3024" s="56">
        <v>0</v>
      </c>
      <c r="F3024" s="57" t="s">
        <v>6751</v>
      </c>
      <c r="G3024" s="58">
        <v>229600</v>
      </c>
      <c r="H3024" s="59">
        <v>342000</v>
      </c>
      <c r="I3024" s="59">
        <f t="shared" si="94"/>
        <v>0</v>
      </c>
    </row>
    <row r="3025" spans="1:9" customFormat="1" ht="23" x14ac:dyDescent="0.35">
      <c r="A3025" s="63">
        <f t="shared" si="95"/>
        <v>3024</v>
      </c>
      <c r="B3025" s="54" t="s">
        <v>6908</v>
      </c>
      <c r="C3025" s="55" t="s">
        <v>6909</v>
      </c>
      <c r="D3025" s="54" t="s">
        <v>6718</v>
      </c>
      <c r="E3025" s="56">
        <v>0</v>
      </c>
      <c r="F3025" s="57" t="s">
        <v>1217</v>
      </c>
      <c r="G3025" s="58">
        <v>205200</v>
      </c>
      <c r="H3025" s="59">
        <v>271800</v>
      </c>
      <c r="I3025" s="59">
        <f t="shared" si="94"/>
        <v>0</v>
      </c>
    </row>
    <row r="3026" spans="1:9" customFormat="1" ht="23" x14ac:dyDescent="0.35">
      <c r="A3026" s="63">
        <f t="shared" si="95"/>
        <v>3025</v>
      </c>
      <c r="B3026" s="54" t="s">
        <v>6910</v>
      </c>
      <c r="C3026" s="55" t="s">
        <v>6911</v>
      </c>
      <c r="D3026" s="54" t="s">
        <v>6718</v>
      </c>
      <c r="E3026" s="56">
        <v>0</v>
      </c>
      <c r="F3026" s="57" t="s">
        <v>1217</v>
      </c>
      <c r="G3026" s="58">
        <v>236700</v>
      </c>
      <c r="H3026" s="59">
        <v>313200</v>
      </c>
      <c r="I3026" s="59">
        <f t="shared" si="94"/>
        <v>0</v>
      </c>
    </row>
    <row r="3027" spans="1:9" customFormat="1" ht="23" x14ac:dyDescent="0.35">
      <c r="A3027" s="63">
        <f t="shared" si="95"/>
        <v>3026</v>
      </c>
      <c r="B3027" s="54" t="s">
        <v>6912</v>
      </c>
      <c r="C3027" s="55" t="s">
        <v>6913</v>
      </c>
      <c r="D3027" s="54" t="s">
        <v>6718</v>
      </c>
      <c r="E3027" s="56">
        <v>0</v>
      </c>
      <c r="F3027" s="57" t="s">
        <v>1217</v>
      </c>
      <c r="G3027" s="58">
        <v>236700</v>
      </c>
      <c r="H3027" s="59">
        <v>313200</v>
      </c>
      <c r="I3027" s="59">
        <f t="shared" si="94"/>
        <v>0</v>
      </c>
    </row>
    <row r="3028" spans="1:9" customFormat="1" x14ac:dyDescent="0.35">
      <c r="A3028" s="63">
        <f t="shared" si="95"/>
        <v>3027</v>
      </c>
      <c r="B3028" s="54" t="s">
        <v>6914</v>
      </c>
      <c r="C3028" s="55" t="s">
        <v>6915</v>
      </c>
      <c r="D3028" s="54" t="s">
        <v>6718</v>
      </c>
      <c r="E3028" s="56">
        <v>0</v>
      </c>
      <c r="F3028" s="57" t="s">
        <v>792</v>
      </c>
      <c r="G3028" s="58">
        <v>18000</v>
      </c>
      <c r="H3028" s="59">
        <v>18000</v>
      </c>
      <c r="I3028" s="59">
        <f t="shared" si="94"/>
        <v>0</v>
      </c>
    </row>
    <row r="3029" spans="1:9" customFormat="1" x14ac:dyDescent="0.35">
      <c r="A3029" s="63">
        <f t="shared" si="95"/>
        <v>3028</v>
      </c>
      <c r="B3029" s="54" t="s">
        <v>6916</v>
      </c>
      <c r="C3029" s="55" t="s">
        <v>6917</v>
      </c>
      <c r="D3029" s="54" t="s">
        <v>6718</v>
      </c>
      <c r="E3029" s="56">
        <v>0</v>
      </c>
      <c r="F3029" s="57" t="s">
        <v>6751</v>
      </c>
      <c r="G3029" s="58">
        <v>5000</v>
      </c>
      <c r="H3029" s="59">
        <v>18000</v>
      </c>
      <c r="I3029" s="59">
        <f t="shared" si="94"/>
        <v>0</v>
      </c>
    </row>
    <row r="3030" spans="1:9" customFormat="1" ht="23" x14ac:dyDescent="0.35">
      <c r="A3030" s="63">
        <f t="shared" si="95"/>
        <v>3029</v>
      </c>
      <c r="B3030" s="54" t="s">
        <v>6918</v>
      </c>
      <c r="C3030" s="55" t="s">
        <v>6919</v>
      </c>
      <c r="D3030" s="54" t="s">
        <v>6718</v>
      </c>
      <c r="E3030" s="56">
        <v>0</v>
      </c>
      <c r="F3030" s="57" t="s">
        <v>1003</v>
      </c>
      <c r="G3030" s="58">
        <v>7500000</v>
      </c>
      <c r="H3030" s="59">
        <v>7500000</v>
      </c>
      <c r="I3030" s="59">
        <f t="shared" si="94"/>
        <v>0</v>
      </c>
    </row>
    <row r="3031" spans="1:9" customFormat="1" ht="23" x14ac:dyDescent="0.35">
      <c r="A3031" s="63">
        <f t="shared" si="95"/>
        <v>3030</v>
      </c>
      <c r="B3031" s="54" t="s">
        <v>6920</v>
      </c>
      <c r="C3031" s="55" t="s">
        <v>6921</v>
      </c>
      <c r="D3031" s="54" t="s">
        <v>6718</v>
      </c>
      <c r="E3031" s="56">
        <v>0</v>
      </c>
      <c r="F3031" s="57" t="s">
        <v>792</v>
      </c>
      <c r="G3031" s="58">
        <v>9899</v>
      </c>
      <c r="H3031" s="59">
        <v>9899</v>
      </c>
      <c r="I3031" s="59">
        <f t="shared" si="94"/>
        <v>0</v>
      </c>
    </row>
    <row r="3032" spans="1:9" customFormat="1" x14ac:dyDescent="0.35">
      <c r="A3032" s="63">
        <f t="shared" si="95"/>
        <v>3031</v>
      </c>
      <c r="B3032" s="54" t="s">
        <v>6922</v>
      </c>
      <c r="C3032" s="55" t="s">
        <v>6923</v>
      </c>
      <c r="D3032" s="54" t="s">
        <v>6718</v>
      </c>
      <c r="E3032" s="56">
        <v>0</v>
      </c>
      <c r="F3032" s="57" t="s">
        <v>6751</v>
      </c>
      <c r="G3032" s="58">
        <v>1640000</v>
      </c>
      <c r="H3032" s="59">
        <v>2181200</v>
      </c>
      <c r="I3032" s="59">
        <f t="shared" si="94"/>
        <v>0</v>
      </c>
    </row>
    <row r="3033" spans="1:9" customFormat="1" x14ac:dyDescent="0.35">
      <c r="A3033" s="63">
        <f t="shared" si="95"/>
        <v>3032</v>
      </c>
      <c r="B3033" s="54" t="s">
        <v>6924</v>
      </c>
      <c r="C3033" s="55" t="s">
        <v>6925</v>
      </c>
      <c r="D3033" s="54" t="s">
        <v>6718</v>
      </c>
      <c r="E3033" s="56">
        <v>0</v>
      </c>
      <c r="F3033" s="57" t="s">
        <v>6751</v>
      </c>
      <c r="G3033" s="58">
        <v>1830000</v>
      </c>
      <c r="H3033" s="59">
        <v>2433900</v>
      </c>
      <c r="I3033" s="59">
        <f t="shared" si="94"/>
        <v>0</v>
      </c>
    </row>
    <row r="3034" spans="1:9" customFormat="1" x14ac:dyDescent="0.35">
      <c r="A3034" s="63">
        <f t="shared" si="95"/>
        <v>3033</v>
      </c>
      <c r="B3034" s="54" t="s">
        <v>6926</v>
      </c>
      <c r="C3034" s="55" t="s">
        <v>6927</v>
      </c>
      <c r="D3034" s="54" t="s">
        <v>6718</v>
      </c>
      <c r="E3034" s="56">
        <v>0</v>
      </c>
      <c r="F3034" s="57" t="s">
        <v>6751</v>
      </c>
      <c r="G3034" s="58">
        <v>2080000</v>
      </c>
      <c r="H3034" s="59">
        <v>2766400</v>
      </c>
      <c r="I3034" s="59">
        <f t="shared" si="94"/>
        <v>0</v>
      </c>
    </row>
    <row r="3035" spans="1:9" customFormat="1" x14ac:dyDescent="0.35">
      <c r="A3035" s="63">
        <f t="shared" si="95"/>
        <v>3034</v>
      </c>
      <c r="B3035" s="54" t="s">
        <v>6928</v>
      </c>
      <c r="C3035" s="55" t="s">
        <v>6929</v>
      </c>
      <c r="D3035" s="54" t="s">
        <v>6718</v>
      </c>
      <c r="E3035" s="56">
        <v>0</v>
      </c>
      <c r="F3035" s="57" t="s">
        <v>6751</v>
      </c>
      <c r="G3035" s="58">
        <v>305000</v>
      </c>
      <c r="H3035" s="59">
        <v>411750</v>
      </c>
      <c r="I3035" s="59">
        <f t="shared" si="94"/>
        <v>0</v>
      </c>
    </row>
    <row r="3036" spans="1:9" customFormat="1" x14ac:dyDescent="0.35">
      <c r="A3036" s="63">
        <f t="shared" si="95"/>
        <v>3035</v>
      </c>
      <c r="B3036" s="54" t="s">
        <v>6930</v>
      </c>
      <c r="C3036" s="55" t="s">
        <v>6931</v>
      </c>
      <c r="D3036" s="54" t="s">
        <v>6718</v>
      </c>
      <c r="E3036" s="56">
        <v>0</v>
      </c>
      <c r="F3036" s="57" t="s">
        <v>792</v>
      </c>
      <c r="G3036" s="58">
        <v>75000</v>
      </c>
      <c r="H3036" s="59">
        <v>110250</v>
      </c>
      <c r="I3036" s="59">
        <f t="shared" si="94"/>
        <v>0</v>
      </c>
    </row>
    <row r="3037" spans="1:9" customFormat="1" x14ac:dyDescent="0.35">
      <c r="A3037" s="63">
        <f t="shared" si="95"/>
        <v>3036</v>
      </c>
      <c r="B3037" s="54" t="s">
        <v>6932</v>
      </c>
      <c r="C3037" s="55" t="s">
        <v>6933</v>
      </c>
      <c r="D3037" s="54" t="s">
        <v>6718</v>
      </c>
      <c r="E3037" s="56">
        <v>0</v>
      </c>
      <c r="F3037" s="57" t="s">
        <v>792</v>
      </c>
      <c r="G3037" s="58">
        <v>0</v>
      </c>
      <c r="H3037" s="59">
        <v>3840</v>
      </c>
      <c r="I3037" s="59">
        <f t="shared" si="94"/>
        <v>0</v>
      </c>
    </row>
    <row r="3038" spans="1:9" customFormat="1" x14ac:dyDescent="0.35">
      <c r="A3038" s="63">
        <f t="shared" si="95"/>
        <v>3037</v>
      </c>
      <c r="B3038" s="54" t="s">
        <v>6934</v>
      </c>
      <c r="C3038" s="55" t="s">
        <v>6935</v>
      </c>
      <c r="D3038" s="54" t="s">
        <v>6718</v>
      </c>
      <c r="E3038" s="56">
        <v>0</v>
      </c>
      <c r="F3038" s="57" t="s">
        <v>792</v>
      </c>
      <c r="G3038" s="58">
        <v>0</v>
      </c>
      <c r="H3038" s="59">
        <v>4200</v>
      </c>
      <c r="I3038" s="59">
        <f t="shared" si="94"/>
        <v>0</v>
      </c>
    </row>
    <row r="3039" spans="1:9" customFormat="1" x14ac:dyDescent="0.35">
      <c r="A3039" s="63">
        <f t="shared" si="95"/>
        <v>3038</v>
      </c>
      <c r="B3039" s="54" t="s">
        <v>6936</v>
      </c>
      <c r="C3039" s="55" t="s">
        <v>6937</v>
      </c>
      <c r="D3039" s="54" t="s">
        <v>6718</v>
      </c>
      <c r="E3039" s="56">
        <v>0</v>
      </c>
      <c r="F3039" s="57" t="s">
        <v>792</v>
      </c>
      <c r="G3039" s="58">
        <v>0</v>
      </c>
      <c r="H3039" s="59">
        <v>3000</v>
      </c>
      <c r="I3039" s="59">
        <f t="shared" si="94"/>
        <v>0</v>
      </c>
    </row>
    <row r="3040" spans="1:9" customFormat="1" x14ac:dyDescent="0.35">
      <c r="A3040" s="63">
        <f t="shared" si="95"/>
        <v>3039</v>
      </c>
      <c r="B3040" s="54" t="s">
        <v>6938</v>
      </c>
      <c r="C3040" s="55" t="s">
        <v>6939</v>
      </c>
      <c r="D3040" s="54" t="s">
        <v>6718</v>
      </c>
      <c r="E3040" s="56">
        <v>0</v>
      </c>
      <c r="F3040" s="57" t="s">
        <v>792</v>
      </c>
      <c r="G3040" s="58">
        <v>0</v>
      </c>
      <c r="H3040" s="59">
        <v>770</v>
      </c>
      <c r="I3040" s="59">
        <f t="shared" si="94"/>
        <v>0</v>
      </c>
    </row>
    <row r="3041" spans="1:9" customFormat="1" x14ac:dyDescent="0.35">
      <c r="A3041" s="63">
        <f t="shared" si="95"/>
        <v>3040</v>
      </c>
      <c r="B3041" s="54" t="s">
        <v>6940</v>
      </c>
      <c r="C3041" s="55" t="s">
        <v>6941</v>
      </c>
      <c r="D3041" s="54" t="s">
        <v>6718</v>
      </c>
      <c r="E3041" s="56">
        <v>0</v>
      </c>
      <c r="F3041" s="57" t="s">
        <v>792</v>
      </c>
      <c r="G3041" s="58">
        <v>0</v>
      </c>
      <c r="H3041" s="59">
        <v>4200</v>
      </c>
      <c r="I3041" s="59">
        <f t="shared" si="94"/>
        <v>0</v>
      </c>
    </row>
    <row r="3042" spans="1:9" customFormat="1" x14ac:dyDescent="0.35">
      <c r="A3042" s="63">
        <f t="shared" si="95"/>
        <v>3041</v>
      </c>
      <c r="B3042" s="54" t="s">
        <v>6942</v>
      </c>
      <c r="C3042" s="55" t="s">
        <v>6943</v>
      </c>
      <c r="D3042" s="54" t="s">
        <v>6718</v>
      </c>
      <c r="E3042" s="56">
        <v>0</v>
      </c>
      <c r="F3042" s="57" t="s">
        <v>792</v>
      </c>
      <c r="G3042" s="58">
        <v>0</v>
      </c>
      <c r="H3042" s="59">
        <v>5040</v>
      </c>
      <c r="I3042" s="59">
        <f t="shared" si="94"/>
        <v>0</v>
      </c>
    </row>
    <row r="3043" spans="1:9" customFormat="1" x14ac:dyDescent="0.35">
      <c r="A3043" s="63">
        <f t="shared" si="95"/>
        <v>3042</v>
      </c>
      <c r="B3043" s="54" t="s">
        <v>6944</v>
      </c>
      <c r="C3043" s="55" t="s">
        <v>6945</v>
      </c>
      <c r="D3043" s="54" t="s">
        <v>6718</v>
      </c>
      <c r="E3043" s="56">
        <v>0</v>
      </c>
      <c r="F3043" s="57" t="s">
        <v>792</v>
      </c>
      <c r="G3043" s="58">
        <v>0</v>
      </c>
      <c r="H3043" s="59">
        <v>120</v>
      </c>
      <c r="I3043" s="59">
        <f t="shared" si="94"/>
        <v>0</v>
      </c>
    </row>
    <row r="3044" spans="1:9" customFormat="1" x14ac:dyDescent="0.35">
      <c r="A3044" s="63">
        <f t="shared" si="95"/>
        <v>3043</v>
      </c>
      <c r="B3044" s="54" t="s">
        <v>6946</v>
      </c>
      <c r="C3044" s="55" t="s">
        <v>6947</v>
      </c>
      <c r="D3044" s="54" t="s">
        <v>6718</v>
      </c>
      <c r="E3044" s="56">
        <v>0</v>
      </c>
      <c r="F3044" s="57" t="s">
        <v>792</v>
      </c>
      <c r="G3044" s="58">
        <v>0</v>
      </c>
      <c r="H3044" s="59">
        <v>480</v>
      </c>
      <c r="I3044" s="59">
        <f t="shared" si="94"/>
        <v>0</v>
      </c>
    </row>
    <row r="3045" spans="1:9" customFormat="1" x14ac:dyDescent="0.35">
      <c r="A3045" s="63">
        <f t="shared" si="95"/>
        <v>3044</v>
      </c>
      <c r="B3045" s="54" t="s">
        <v>6948</v>
      </c>
      <c r="C3045" s="55" t="s">
        <v>6949</v>
      </c>
      <c r="D3045" s="54" t="s">
        <v>6718</v>
      </c>
      <c r="E3045" s="56">
        <v>0</v>
      </c>
      <c r="F3045" s="57" t="s">
        <v>792</v>
      </c>
      <c r="G3045" s="58">
        <v>0</v>
      </c>
      <c r="H3045" s="59">
        <v>3000</v>
      </c>
      <c r="I3045" s="59">
        <f t="shared" si="94"/>
        <v>0</v>
      </c>
    </row>
    <row r="3046" spans="1:9" customFormat="1" x14ac:dyDescent="0.35">
      <c r="A3046" s="63">
        <f t="shared" si="95"/>
        <v>3045</v>
      </c>
      <c r="B3046" s="54" t="s">
        <v>6950</v>
      </c>
      <c r="C3046" s="55" t="s">
        <v>6951</v>
      </c>
      <c r="D3046" s="54" t="s">
        <v>6718</v>
      </c>
      <c r="E3046" s="56">
        <v>0</v>
      </c>
      <c r="F3046" s="57" t="s">
        <v>792</v>
      </c>
      <c r="G3046" s="58">
        <v>0</v>
      </c>
      <c r="H3046" s="59">
        <v>720</v>
      </c>
      <c r="I3046" s="59">
        <f t="shared" si="94"/>
        <v>0</v>
      </c>
    </row>
    <row r="3047" spans="1:9" customFormat="1" x14ac:dyDescent="0.35">
      <c r="A3047" s="63">
        <f t="shared" si="95"/>
        <v>3046</v>
      </c>
      <c r="B3047" s="54" t="s">
        <v>6952</v>
      </c>
      <c r="C3047" s="55" t="s">
        <v>6953</v>
      </c>
      <c r="D3047" s="54" t="s">
        <v>6718</v>
      </c>
      <c r="E3047" s="56">
        <v>0</v>
      </c>
      <c r="F3047" s="57" t="s">
        <v>792</v>
      </c>
      <c r="G3047" s="58">
        <v>0</v>
      </c>
      <c r="H3047" s="59">
        <v>1920</v>
      </c>
      <c r="I3047" s="59">
        <f t="shared" si="94"/>
        <v>0</v>
      </c>
    </row>
    <row r="3048" spans="1:9" customFormat="1" x14ac:dyDescent="0.35">
      <c r="A3048" s="63">
        <f t="shared" si="95"/>
        <v>3047</v>
      </c>
      <c r="B3048" s="54" t="s">
        <v>6954</v>
      </c>
      <c r="C3048" s="55" t="s">
        <v>6955</v>
      </c>
      <c r="D3048" s="54" t="s">
        <v>6718</v>
      </c>
      <c r="E3048" s="56">
        <v>0</v>
      </c>
      <c r="F3048" s="57" t="s">
        <v>792</v>
      </c>
      <c r="G3048" s="58">
        <v>0</v>
      </c>
      <c r="H3048" s="59">
        <v>4200</v>
      </c>
      <c r="I3048" s="59">
        <f t="shared" si="94"/>
        <v>0</v>
      </c>
    </row>
    <row r="3049" spans="1:9" customFormat="1" x14ac:dyDescent="0.35">
      <c r="A3049" s="63">
        <f t="shared" si="95"/>
        <v>3048</v>
      </c>
      <c r="B3049" s="54" t="s">
        <v>6956</v>
      </c>
      <c r="C3049" s="55" t="s">
        <v>6957</v>
      </c>
      <c r="D3049" s="54" t="s">
        <v>6718</v>
      </c>
      <c r="E3049" s="56">
        <v>0</v>
      </c>
      <c r="F3049" s="57" t="s">
        <v>792</v>
      </c>
      <c r="G3049" s="58">
        <v>0</v>
      </c>
      <c r="H3049" s="59">
        <v>1200</v>
      </c>
      <c r="I3049" s="59">
        <f t="shared" si="94"/>
        <v>0</v>
      </c>
    </row>
    <row r="3050" spans="1:9" customFormat="1" x14ac:dyDescent="0.35">
      <c r="A3050" s="63">
        <f t="shared" si="95"/>
        <v>3049</v>
      </c>
      <c r="B3050" s="54" t="s">
        <v>6958</v>
      </c>
      <c r="C3050" s="55" t="s">
        <v>6959</v>
      </c>
      <c r="D3050" s="54" t="s">
        <v>6718</v>
      </c>
      <c r="E3050" s="56">
        <v>0</v>
      </c>
      <c r="F3050" s="57" t="s">
        <v>792</v>
      </c>
      <c r="G3050" s="58">
        <v>0</v>
      </c>
      <c r="H3050" s="59">
        <v>1560</v>
      </c>
      <c r="I3050" s="59">
        <f t="shared" si="94"/>
        <v>0</v>
      </c>
    </row>
    <row r="3051" spans="1:9" customFormat="1" x14ac:dyDescent="0.35">
      <c r="A3051" s="63">
        <f t="shared" si="95"/>
        <v>3050</v>
      </c>
      <c r="B3051" s="54" t="s">
        <v>6960</v>
      </c>
      <c r="C3051" s="55" t="s">
        <v>6961</v>
      </c>
      <c r="D3051" s="54" t="s">
        <v>6718</v>
      </c>
      <c r="E3051" s="56">
        <v>0</v>
      </c>
      <c r="F3051" s="57" t="s">
        <v>792</v>
      </c>
      <c r="G3051" s="58">
        <v>0</v>
      </c>
      <c r="H3051" s="59">
        <v>2040</v>
      </c>
      <c r="I3051" s="59">
        <f t="shared" si="94"/>
        <v>0</v>
      </c>
    </row>
    <row r="3052" spans="1:9" customFormat="1" x14ac:dyDescent="0.35">
      <c r="A3052" s="63">
        <f t="shared" si="95"/>
        <v>3051</v>
      </c>
      <c r="B3052" s="54" t="s">
        <v>6962</v>
      </c>
      <c r="C3052" s="55" t="s">
        <v>6963</v>
      </c>
      <c r="D3052" s="54" t="s">
        <v>6718</v>
      </c>
      <c r="E3052" s="56">
        <v>0</v>
      </c>
      <c r="F3052" s="57" t="s">
        <v>6751</v>
      </c>
      <c r="G3052" s="58">
        <v>50000</v>
      </c>
      <c r="H3052" s="59">
        <v>67500</v>
      </c>
      <c r="I3052" s="59">
        <f t="shared" si="94"/>
        <v>0</v>
      </c>
    </row>
    <row r="3053" spans="1:9" customFormat="1" ht="23" x14ac:dyDescent="0.35">
      <c r="A3053" s="63">
        <f t="shared" si="95"/>
        <v>3052</v>
      </c>
      <c r="B3053" s="54" t="s">
        <v>6964</v>
      </c>
      <c r="C3053" s="55" t="s">
        <v>6965</v>
      </c>
      <c r="D3053" s="54" t="s">
        <v>6718</v>
      </c>
      <c r="E3053" s="56">
        <v>0</v>
      </c>
      <c r="F3053" s="57" t="s">
        <v>792</v>
      </c>
      <c r="G3053" s="58">
        <v>191000</v>
      </c>
      <c r="H3053" s="59">
        <v>242311</v>
      </c>
      <c r="I3053" s="59">
        <f t="shared" si="94"/>
        <v>0</v>
      </c>
    </row>
    <row r="3054" spans="1:9" customFormat="1" ht="23" x14ac:dyDescent="0.35">
      <c r="A3054" s="63">
        <f t="shared" si="95"/>
        <v>3053</v>
      </c>
      <c r="B3054" s="54" t="s">
        <v>6966</v>
      </c>
      <c r="C3054" s="55" t="s">
        <v>6967</v>
      </c>
      <c r="D3054" s="54" t="s">
        <v>6718</v>
      </c>
      <c r="E3054" s="56">
        <v>0</v>
      </c>
      <c r="F3054" s="57" t="s">
        <v>6751</v>
      </c>
      <c r="G3054" s="58">
        <v>1661029</v>
      </c>
      <c r="H3054" s="59">
        <v>2005600</v>
      </c>
      <c r="I3054" s="59">
        <f t="shared" si="94"/>
        <v>0</v>
      </c>
    </row>
    <row r="3055" spans="1:9" customFormat="1" ht="23" x14ac:dyDescent="0.35">
      <c r="A3055" s="63">
        <f t="shared" si="95"/>
        <v>3054</v>
      </c>
      <c r="B3055" s="54" t="s">
        <v>6968</v>
      </c>
      <c r="C3055" s="55" t="s">
        <v>6969</v>
      </c>
      <c r="D3055" s="54" t="s">
        <v>6718</v>
      </c>
      <c r="E3055" s="56">
        <v>0</v>
      </c>
      <c r="F3055" s="57" t="s">
        <v>792</v>
      </c>
      <c r="G3055" s="58">
        <v>0</v>
      </c>
      <c r="H3055" s="59">
        <v>159500</v>
      </c>
      <c r="I3055" s="59">
        <f t="shared" si="94"/>
        <v>0</v>
      </c>
    </row>
    <row r="3056" spans="1:9" customFormat="1" x14ac:dyDescent="0.35">
      <c r="A3056" s="63">
        <f t="shared" si="95"/>
        <v>3055</v>
      </c>
      <c r="B3056" s="54" t="s">
        <v>6970</v>
      </c>
      <c r="C3056" s="55" t="s">
        <v>6971</v>
      </c>
      <c r="D3056" s="54" t="s">
        <v>6718</v>
      </c>
      <c r="E3056" s="56">
        <v>0</v>
      </c>
      <c r="F3056" s="57" t="s">
        <v>6751</v>
      </c>
      <c r="G3056" s="58">
        <v>171136</v>
      </c>
      <c r="H3056" s="59">
        <v>419520</v>
      </c>
      <c r="I3056" s="59">
        <f t="shared" si="94"/>
        <v>0</v>
      </c>
    </row>
    <row r="3057" spans="1:9" customFormat="1" x14ac:dyDescent="0.35">
      <c r="A3057" s="63">
        <f t="shared" si="95"/>
        <v>3056</v>
      </c>
      <c r="B3057" s="54" t="s">
        <v>6972</v>
      </c>
      <c r="C3057" s="55" t="s">
        <v>6973</v>
      </c>
      <c r="D3057" s="54" t="s">
        <v>6718</v>
      </c>
      <c r="E3057" s="56">
        <v>0</v>
      </c>
      <c r="F3057" s="57" t="s">
        <v>792</v>
      </c>
      <c r="G3057" s="58">
        <v>350000</v>
      </c>
      <c r="H3057" s="59">
        <v>350000</v>
      </c>
      <c r="I3057" s="59">
        <f t="shared" si="94"/>
        <v>0</v>
      </c>
    </row>
    <row r="3058" spans="1:9" customFormat="1" ht="23" x14ac:dyDescent="0.35">
      <c r="A3058" s="63">
        <f t="shared" si="95"/>
        <v>3057</v>
      </c>
      <c r="B3058" s="54" t="s">
        <v>6974</v>
      </c>
      <c r="C3058" s="55" t="s">
        <v>6975</v>
      </c>
      <c r="D3058" s="54" t="s">
        <v>6718</v>
      </c>
      <c r="E3058" s="56">
        <v>0</v>
      </c>
      <c r="F3058" s="57" t="s">
        <v>792</v>
      </c>
      <c r="G3058" s="58">
        <v>151200</v>
      </c>
      <c r="H3058" s="59">
        <v>140000</v>
      </c>
      <c r="I3058" s="59">
        <f t="shared" si="94"/>
        <v>0</v>
      </c>
    </row>
    <row r="3059" spans="1:9" customFormat="1" ht="23" x14ac:dyDescent="0.35">
      <c r="A3059" s="63">
        <f t="shared" si="95"/>
        <v>3058</v>
      </c>
      <c r="B3059" s="54" t="s">
        <v>6976</v>
      </c>
      <c r="C3059" s="55" t="s">
        <v>6977</v>
      </c>
      <c r="D3059" s="54" t="s">
        <v>6718</v>
      </c>
      <c r="E3059" s="56">
        <v>0</v>
      </c>
      <c r="F3059" s="57" t="s">
        <v>6751</v>
      </c>
      <c r="G3059" s="58">
        <v>0</v>
      </c>
      <c r="H3059" s="59">
        <v>0</v>
      </c>
      <c r="I3059" s="59">
        <f t="shared" si="94"/>
        <v>0</v>
      </c>
    </row>
    <row r="3060" spans="1:9" customFormat="1" x14ac:dyDescent="0.35">
      <c r="A3060" s="63">
        <f t="shared" si="95"/>
        <v>3059</v>
      </c>
      <c r="B3060" s="54" t="s">
        <v>6978</v>
      </c>
      <c r="C3060" s="55" t="s">
        <v>6979</v>
      </c>
      <c r="D3060" s="54" t="s">
        <v>6718</v>
      </c>
      <c r="E3060" s="56">
        <v>0</v>
      </c>
      <c r="F3060" s="57" t="s">
        <v>815</v>
      </c>
      <c r="G3060" s="58">
        <v>5220000</v>
      </c>
      <c r="H3060" s="59">
        <v>5853000</v>
      </c>
      <c r="I3060" s="59">
        <f t="shared" si="94"/>
        <v>0</v>
      </c>
    </row>
    <row r="3061" spans="1:9" customFormat="1" x14ac:dyDescent="0.35">
      <c r="A3061" s="63">
        <f t="shared" si="95"/>
        <v>3060</v>
      </c>
      <c r="B3061" s="54" t="s">
        <v>6980</v>
      </c>
      <c r="C3061" s="55" t="s">
        <v>6981</v>
      </c>
      <c r="D3061" s="54" t="s">
        <v>6718</v>
      </c>
      <c r="E3061" s="56">
        <v>0</v>
      </c>
      <c r="F3061" s="57" t="s">
        <v>844</v>
      </c>
      <c r="G3061" s="58">
        <v>4163000</v>
      </c>
      <c r="H3061" s="59">
        <v>5537075</v>
      </c>
      <c r="I3061" s="59">
        <f t="shared" si="94"/>
        <v>0</v>
      </c>
    </row>
    <row r="3062" spans="1:9" customFormat="1" x14ac:dyDescent="0.35">
      <c r="A3062" s="63">
        <f t="shared" si="95"/>
        <v>3061</v>
      </c>
      <c r="B3062" s="54" t="s">
        <v>6982</v>
      </c>
      <c r="C3062" s="55" t="s">
        <v>6983</v>
      </c>
      <c r="D3062" s="54" t="s">
        <v>6718</v>
      </c>
      <c r="E3062" s="56">
        <v>0</v>
      </c>
      <c r="F3062" s="57" t="s">
        <v>792</v>
      </c>
      <c r="G3062" s="58">
        <v>72500</v>
      </c>
      <c r="H3062" s="59">
        <v>95410</v>
      </c>
      <c r="I3062" s="59">
        <f t="shared" si="94"/>
        <v>0</v>
      </c>
    </row>
    <row r="3063" spans="1:9" customFormat="1" x14ac:dyDescent="0.35">
      <c r="A3063" s="63">
        <f t="shared" si="95"/>
        <v>3062</v>
      </c>
      <c r="B3063" s="54" t="s">
        <v>6984</v>
      </c>
      <c r="C3063" s="55" t="s">
        <v>6985</v>
      </c>
      <c r="D3063" s="54" t="s">
        <v>6718</v>
      </c>
      <c r="E3063" s="56">
        <v>0</v>
      </c>
      <c r="F3063" s="57" t="s">
        <v>792</v>
      </c>
      <c r="G3063" s="58">
        <v>135000</v>
      </c>
      <c r="H3063" s="59">
        <v>230300</v>
      </c>
      <c r="I3063" s="59">
        <f t="shared" si="94"/>
        <v>0</v>
      </c>
    </row>
    <row r="3064" spans="1:9" customFormat="1" x14ac:dyDescent="0.35">
      <c r="A3064" s="63">
        <f t="shared" si="95"/>
        <v>3063</v>
      </c>
      <c r="B3064" s="54" t="s">
        <v>6986</v>
      </c>
      <c r="C3064" s="55" t="s">
        <v>6987</v>
      </c>
      <c r="D3064" s="54" t="s">
        <v>6718</v>
      </c>
      <c r="E3064" s="56">
        <v>0</v>
      </c>
      <c r="F3064" s="57" t="s">
        <v>792</v>
      </c>
      <c r="G3064" s="58">
        <v>286333</v>
      </c>
      <c r="H3064" s="59">
        <v>364095</v>
      </c>
      <c r="I3064" s="59">
        <f t="shared" si="94"/>
        <v>0</v>
      </c>
    </row>
    <row r="3065" spans="1:9" customFormat="1" x14ac:dyDescent="0.35">
      <c r="A3065" s="63">
        <f t="shared" si="95"/>
        <v>3064</v>
      </c>
      <c r="B3065" s="54" t="s">
        <v>6988</v>
      </c>
      <c r="C3065" s="55" t="s">
        <v>6989</v>
      </c>
      <c r="D3065" s="54" t="s">
        <v>6718</v>
      </c>
      <c r="E3065" s="56">
        <v>0</v>
      </c>
      <c r="F3065" s="57" t="s">
        <v>6751</v>
      </c>
      <c r="G3065" s="58">
        <v>916400</v>
      </c>
      <c r="H3065" s="59">
        <v>1131750</v>
      </c>
      <c r="I3065" s="59">
        <f t="shared" si="94"/>
        <v>0</v>
      </c>
    </row>
    <row r="3066" spans="1:9" customFormat="1" x14ac:dyDescent="0.35">
      <c r="A3066" s="63">
        <f t="shared" si="95"/>
        <v>3065</v>
      </c>
      <c r="B3066" s="54" t="s">
        <v>6990</v>
      </c>
      <c r="C3066" s="55" t="s">
        <v>6991</v>
      </c>
      <c r="D3066" s="54" t="s">
        <v>6718</v>
      </c>
      <c r="E3066" s="56">
        <v>0</v>
      </c>
      <c r="F3066" s="57" t="s">
        <v>1217</v>
      </c>
      <c r="G3066" s="58">
        <v>0</v>
      </c>
      <c r="H3066" s="59">
        <v>780850</v>
      </c>
      <c r="I3066" s="59">
        <f t="shared" si="94"/>
        <v>0</v>
      </c>
    </row>
    <row r="3067" spans="1:9" customFormat="1" ht="23" x14ac:dyDescent="0.35">
      <c r="A3067" s="63">
        <f t="shared" si="95"/>
        <v>3066</v>
      </c>
      <c r="B3067" s="54" t="s">
        <v>6992</v>
      </c>
      <c r="C3067" s="55" t="s">
        <v>6993</v>
      </c>
      <c r="D3067" s="54" t="s">
        <v>6718</v>
      </c>
      <c r="E3067" s="56">
        <v>0</v>
      </c>
      <c r="F3067" s="57" t="s">
        <v>1217</v>
      </c>
      <c r="G3067" s="58">
        <v>0</v>
      </c>
      <c r="H3067" s="59">
        <v>3346500</v>
      </c>
      <c r="I3067" s="59">
        <f t="shared" si="94"/>
        <v>0</v>
      </c>
    </row>
    <row r="3068" spans="1:9" customFormat="1" ht="23" x14ac:dyDescent="0.35">
      <c r="A3068" s="63">
        <f t="shared" si="95"/>
        <v>3067</v>
      </c>
      <c r="B3068" s="54" t="s">
        <v>6994</v>
      </c>
      <c r="C3068" s="55" t="s">
        <v>6995</v>
      </c>
      <c r="D3068" s="54" t="s">
        <v>6718</v>
      </c>
      <c r="E3068" s="56">
        <v>0</v>
      </c>
      <c r="F3068" s="57" t="s">
        <v>6996</v>
      </c>
      <c r="G3068" s="58">
        <v>18000000</v>
      </c>
      <c r="H3068" s="59">
        <v>19800000</v>
      </c>
      <c r="I3068" s="59">
        <f t="shared" si="94"/>
        <v>0</v>
      </c>
    </row>
    <row r="3069" spans="1:9" customFormat="1" x14ac:dyDescent="0.35">
      <c r="A3069" s="63">
        <f t="shared" si="95"/>
        <v>3068</v>
      </c>
      <c r="B3069" s="54" t="s">
        <v>6997</v>
      </c>
      <c r="C3069" s="55" t="s">
        <v>6998</v>
      </c>
      <c r="D3069" s="54" t="s">
        <v>6718</v>
      </c>
      <c r="E3069" s="56">
        <v>0</v>
      </c>
      <c r="F3069" s="57" t="s">
        <v>878</v>
      </c>
      <c r="G3069" s="58">
        <v>4400000</v>
      </c>
      <c r="H3069" s="59">
        <v>4400000</v>
      </c>
      <c r="I3069" s="59">
        <f t="shared" si="94"/>
        <v>0</v>
      </c>
    </row>
    <row r="3070" spans="1:9" customFormat="1" x14ac:dyDescent="0.35">
      <c r="A3070" s="63">
        <f t="shared" si="95"/>
        <v>3069</v>
      </c>
      <c r="B3070" s="54" t="s">
        <v>6999</v>
      </c>
      <c r="C3070" s="55" t="s">
        <v>7000</v>
      </c>
      <c r="D3070" s="54" t="s">
        <v>6718</v>
      </c>
      <c r="E3070" s="56">
        <v>0</v>
      </c>
      <c r="F3070" s="57" t="s">
        <v>1217</v>
      </c>
      <c r="G3070" s="58">
        <v>200000</v>
      </c>
      <c r="H3070" s="59">
        <v>200000</v>
      </c>
      <c r="I3070" s="59">
        <f t="shared" si="94"/>
        <v>0</v>
      </c>
    </row>
    <row r="3071" spans="1:9" customFormat="1" x14ac:dyDescent="0.35">
      <c r="A3071" s="63">
        <f t="shared" si="95"/>
        <v>3070</v>
      </c>
      <c r="B3071" s="54" t="s">
        <v>7001</v>
      </c>
      <c r="C3071" s="55" t="s">
        <v>7002</v>
      </c>
      <c r="D3071" s="54" t="s">
        <v>6718</v>
      </c>
      <c r="E3071" s="56">
        <v>0</v>
      </c>
      <c r="F3071" s="57" t="s">
        <v>1217</v>
      </c>
      <c r="G3071" s="58">
        <v>160000</v>
      </c>
      <c r="H3071" s="59">
        <v>160000</v>
      </c>
      <c r="I3071" s="59">
        <f t="shared" si="94"/>
        <v>0</v>
      </c>
    </row>
    <row r="3072" spans="1:9" customFormat="1" x14ac:dyDescent="0.35">
      <c r="A3072" s="63">
        <f t="shared" si="95"/>
        <v>3071</v>
      </c>
      <c r="B3072" s="54" t="s">
        <v>7003</v>
      </c>
      <c r="C3072" s="55" t="s">
        <v>7004</v>
      </c>
      <c r="D3072" s="54" t="s">
        <v>6718</v>
      </c>
      <c r="E3072" s="56">
        <v>0</v>
      </c>
      <c r="F3072" s="57" t="s">
        <v>792</v>
      </c>
      <c r="G3072" s="58">
        <v>85000</v>
      </c>
      <c r="H3072" s="59">
        <v>85000</v>
      </c>
      <c r="I3072" s="59">
        <f t="shared" si="94"/>
        <v>0</v>
      </c>
    </row>
    <row r="3073" spans="1:9" customFormat="1" x14ac:dyDescent="0.35">
      <c r="A3073" s="63">
        <f t="shared" si="95"/>
        <v>3072</v>
      </c>
      <c r="B3073" s="54" t="s">
        <v>7005</v>
      </c>
      <c r="C3073" s="55" t="s">
        <v>7006</v>
      </c>
      <c r="D3073" s="54" t="s">
        <v>6718</v>
      </c>
      <c r="E3073" s="56">
        <v>0</v>
      </c>
      <c r="F3073" s="57" t="s">
        <v>792</v>
      </c>
      <c r="G3073" s="58">
        <v>23750</v>
      </c>
      <c r="H3073" s="59">
        <v>162000</v>
      </c>
      <c r="I3073" s="59">
        <f t="shared" si="94"/>
        <v>0</v>
      </c>
    </row>
    <row r="3074" spans="1:9" customFormat="1" x14ac:dyDescent="0.35">
      <c r="A3074" s="63">
        <f t="shared" si="95"/>
        <v>3073</v>
      </c>
      <c r="B3074" s="54" t="s">
        <v>7007</v>
      </c>
      <c r="C3074" s="55" t="s">
        <v>7008</v>
      </c>
      <c r="D3074" s="54" t="s">
        <v>6718</v>
      </c>
      <c r="E3074" s="56">
        <v>0</v>
      </c>
      <c r="F3074" s="57" t="s">
        <v>1217</v>
      </c>
      <c r="G3074" s="58">
        <v>462000</v>
      </c>
      <c r="H3074" s="59">
        <v>564102</v>
      </c>
      <c r="I3074" s="59">
        <f t="shared" si="94"/>
        <v>0</v>
      </c>
    </row>
    <row r="3075" spans="1:9" customFormat="1" x14ac:dyDescent="0.35">
      <c r="A3075" s="63">
        <f t="shared" si="95"/>
        <v>3074</v>
      </c>
      <c r="B3075" s="54" t="s">
        <v>7009</v>
      </c>
      <c r="C3075" s="55" t="s">
        <v>7010</v>
      </c>
      <c r="D3075" s="54" t="s">
        <v>6718</v>
      </c>
      <c r="E3075" s="56">
        <v>0</v>
      </c>
      <c r="F3075" s="57" t="s">
        <v>1217</v>
      </c>
      <c r="G3075" s="58">
        <v>0</v>
      </c>
      <c r="H3075" s="59">
        <v>2950</v>
      </c>
      <c r="I3075" s="59">
        <f t="shared" ref="I3075:I3138" si="96">H3075*E3075</f>
        <v>0</v>
      </c>
    </row>
    <row r="3076" spans="1:9" customFormat="1" x14ac:dyDescent="0.35">
      <c r="A3076" s="63">
        <f t="shared" ref="A3076:A3139" si="97">A3075+1</f>
        <v>3075</v>
      </c>
      <c r="B3076" s="54" t="s">
        <v>7011</v>
      </c>
      <c r="C3076" s="55" t="s">
        <v>7012</v>
      </c>
      <c r="D3076" s="54" t="s">
        <v>6718</v>
      </c>
      <c r="E3076" s="56">
        <v>0</v>
      </c>
      <c r="F3076" s="57" t="s">
        <v>1217</v>
      </c>
      <c r="G3076" s="58">
        <v>3500</v>
      </c>
      <c r="H3076" s="59">
        <v>5950</v>
      </c>
      <c r="I3076" s="59">
        <f t="shared" si="96"/>
        <v>0</v>
      </c>
    </row>
    <row r="3077" spans="1:9" customFormat="1" x14ac:dyDescent="0.35">
      <c r="A3077" s="63">
        <f t="shared" si="97"/>
        <v>3076</v>
      </c>
      <c r="B3077" s="54" t="s">
        <v>7013</v>
      </c>
      <c r="C3077" s="55" t="s">
        <v>7014</v>
      </c>
      <c r="D3077" s="54" t="s">
        <v>6718</v>
      </c>
      <c r="E3077" s="56">
        <v>0</v>
      </c>
      <c r="F3077" s="57" t="s">
        <v>1217</v>
      </c>
      <c r="G3077" s="58">
        <v>0</v>
      </c>
      <c r="H3077" s="59">
        <v>3900</v>
      </c>
      <c r="I3077" s="59">
        <f t="shared" si="96"/>
        <v>0</v>
      </c>
    </row>
    <row r="3078" spans="1:9" customFormat="1" x14ac:dyDescent="0.35">
      <c r="A3078" s="63">
        <f t="shared" si="97"/>
        <v>3077</v>
      </c>
      <c r="B3078" s="54" t="s">
        <v>7015</v>
      </c>
      <c r="C3078" s="55" t="s">
        <v>7016</v>
      </c>
      <c r="D3078" s="54" t="s">
        <v>6718</v>
      </c>
      <c r="E3078" s="56">
        <v>0</v>
      </c>
      <c r="F3078" s="57" t="s">
        <v>1217</v>
      </c>
      <c r="G3078" s="58">
        <v>6500</v>
      </c>
      <c r="H3078" s="59">
        <v>11050</v>
      </c>
      <c r="I3078" s="59">
        <f t="shared" si="96"/>
        <v>0</v>
      </c>
    </row>
    <row r="3079" spans="1:9" customFormat="1" x14ac:dyDescent="0.35">
      <c r="A3079" s="63">
        <f t="shared" si="97"/>
        <v>3078</v>
      </c>
      <c r="B3079" s="54" t="s">
        <v>7017</v>
      </c>
      <c r="C3079" s="55" t="s">
        <v>7018</v>
      </c>
      <c r="D3079" s="54" t="s">
        <v>6718</v>
      </c>
      <c r="E3079" s="56">
        <v>0</v>
      </c>
      <c r="F3079" s="57" t="s">
        <v>1217</v>
      </c>
      <c r="G3079" s="58">
        <v>0</v>
      </c>
      <c r="H3079" s="59">
        <v>11050</v>
      </c>
      <c r="I3079" s="59">
        <f t="shared" si="96"/>
        <v>0</v>
      </c>
    </row>
    <row r="3080" spans="1:9" customFormat="1" x14ac:dyDescent="0.35">
      <c r="A3080" s="63">
        <f t="shared" si="97"/>
        <v>3079</v>
      </c>
      <c r="B3080" s="54" t="s">
        <v>7019</v>
      </c>
      <c r="C3080" s="55" t="s">
        <v>7020</v>
      </c>
      <c r="D3080" s="54" t="s">
        <v>6718</v>
      </c>
      <c r="E3080" s="56">
        <v>0</v>
      </c>
      <c r="F3080" s="57" t="s">
        <v>870</v>
      </c>
      <c r="G3080" s="58">
        <v>0</v>
      </c>
      <c r="H3080" s="59">
        <v>54600</v>
      </c>
      <c r="I3080" s="59">
        <f t="shared" si="96"/>
        <v>0</v>
      </c>
    </row>
    <row r="3081" spans="1:9" customFormat="1" x14ac:dyDescent="0.35">
      <c r="A3081" s="63">
        <f t="shared" si="97"/>
        <v>3080</v>
      </c>
      <c r="B3081" s="54" t="s">
        <v>7021</v>
      </c>
      <c r="C3081" s="55" t="s">
        <v>7022</v>
      </c>
      <c r="D3081" s="54" t="s">
        <v>6718</v>
      </c>
      <c r="E3081" s="56">
        <v>0</v>
      </c>
      <c r="F3081" s="57" t="s">
        <v>870</v>
      </c>
      <c r="G3081" s="58">
        <v>0</v>
      </c>
      <c r="H3081" s="59">
        <v>54600</v>
      </c>
      <c r="I3081" s="59">
        <f t="shared" si="96"/>
        <v>0</v>
      </c>
    </row>
    <row r="3082" spans="1:9" customFormat="1" ht="23" x14ac:dyDescent="0.35">
      <c r="A3082" s="63">
        <f t="shared" si="97"/>
        <v>3081</v>
      </c>
      <c r="B3082" s="54" t="s">
        <v>7023</v>
      </c>
      <c r="C3082" s="55" t="s">
        <v>7024</v>
      </c>
      <c r="D3082" s="54" t="s">
        <v>6718</v>
      </c>
      <c r="E3082" s="56">
        <v>0</v>
      </c>
      <c r="F3082" s="57" t="s">
        <v>6751</v>
      </c>
      <c r="G3082" s="58">
        <v>1750000</v>
      </c>
      <c r="H3082" s="59">
        <v>0</v>
      </c>
      <c r="I3082" s="59">
        <f t="shared" si="96"/>
        <v>0</v>
      </c>
    </row>
    <row r="3083" spans="1:9" customFormat="1" x14ac:dyDescent="0.35">
      <c r="A3083" s="63">
        <f t="shared" si="97"/>
        <v>3082</v>
      </c>
      <c r="B3083" s="54" t="s">
        <v>7025</v>
      </c>
      <c r="C3083" s="55" t="s">
        <v>7026</v>
      </c>
      <c r="D3083" s="54" t="s">
        <v>6718</v>
      </c>
      <c r="E3083" s="56">
        <v>0</v>
      </c>
      <c r="F3083" s="57" t="s">
        <v>792</v>
      </c>
      <c r="G3083" s="58">
        <v>35000</v>
      </c>
      <c r="H3083" s="59">
        <v>35000</v>
      </c>
      <c r="I3083" s="59">
        <f t="shared" si="96"/>
        <v>0</v>
      </c>
    </row>
    <row r="3084" spans="1:9" customFormat="1" x14ac:dyDescent="0.35">
      <c r="A3084" s="63">
        <f t="shared" si="97"/>
        <v>3083</v>
      </c>
      <c r="B3084" s="54" t="s">
        <v>7027</v>
      </c>
      <c r="C3084" s="55" t="s">
        <v>7028</v>
      </c>
      <c r="D3084" s="54" t="s">
        <v>6718</v>
      </c>
      <c r="E3084" s="56">
        <v>0</v>
      </c>
      <c r="F3084" s="57" t="s">
        <v>1217</v>
      </c>
      <c r="G3084" s="58">
        <v>1925000</v>
      </c>
      <c r="H3084" s="59">
        <v>1925000</v>
      </c>
      <c r="I3084" s="59">
        <f t="shared" si="96"/>
        <v>0</v>
      </c>
    </row>
    <row r="3085" spans="1:9" customFormat="1" x14ac:dyDescent="0.35">
      <c r="A3085" s="63">
        <f t="shared" si="97"/>
        <v>3084</v>
      </c>
      <c r="B3085" s="54" t="s">
        <v>7029</v>
      </c>
      <c r="C3085" s="55" t="s">
        <v>7030</v>
      </c>
      <c r="D3085" s="54" t="s">
        <v>6718</v>
      </c>
      <c r="E3085" s="56">
        <v>0</v>
      </c>
      <c r="F3085" s="57" t="s">
        <v>1217</v>
      </c>
      <c r="G3085" s="58">
        <v>0</v>
      </c>
      <c r="H3085" s="59">
        <v>50000</v>
      </c>
      <c r="I3085" s="59">
        <f t="shared" si="96"/>
        <v>0</v>
      </c>
    </row>
    <row r="3086" spans="1:9" customFormat="1" x14ac:dyDescent="0.35">
      <c r="A3086" s="63">
        <f t="shared" si="97"/>
        <v>3085</v>
      </c>
      <c r="B3086" s="54" t="s">
        <v>7031</v>
      </c>
      <c r="C3086" s="55" t="s">
        <v>7032</v>
      </c>
      <c r="D3086" s="54" t="s">
        <v>6718</v>
      </c>
      <c r="E3086" s="56">
        <v>0</v>
      </c>
      <c r="F3086" s="57" t="s">
        <v>6751</v>
      </c>
      <c r="G3086" s="58">
        <v>0</v>
      </c>
      <c r="H3086" s="59">
        <v>3760</v>
      </c>
      <c r="I3086" s="59">
        <f t="shared" si="96"/>
        <v>0</v>
      </c>
    </row>
    <row r="3087" spans="1:9" customFormat="1" x14ac:dyDescent="0.35">
      <c r="A3087" s="63">
        <f t="shared" si="97"/>
        <v>3086</v>
      </c>
      <c r="B3087" s="54" t="s">
        <v>7033</v>
      </c>
      <c r="C3087" s="55" t="s">
        <v>7034</v>
      </c>
      <c r="D3087" s="54" t="s">
        <v>6718</v>
      </c>
      <c r="E3087" s="56">
        <v>0</v>
      </c>
      <c r="F3087" s="57" t="s">
        <v>792</v>
      </c>
      <c r="G3087" s="58">
        <v>51000</v>
      </c>
      <c r="H3087" s="59">
        <v>51000</v>
      </c>
      <c r="I3087" s="59">
        <f t="shared" si="96"/>
        <v>0</v>
      </c>
    </row>
    <row r="3088" spans="1:9" customFormat="1" x14ac:dyDescent="0.35">
      <c r="A3088" s="63">
        <f t="shared" si="97"/>
        <v>3087</v>
      </c>
      <c r="B3088" s="54" t="s">
        <v>7035</v>
      </c>
      <c r="C3088" s="55" t="s">
        <v>7036</v>
      </c>
      <c r="D3088" s="54" t="s">
        <v>6718</v>
      </c>
      <c r="E3088" s="56">
        <v>0</v>
      </c>
      <c r="F3088" s="57" t="s">
        <v>1217</v>
      </c>
      <c r="G3088" s="58">
        <v>210000</v>
      </c>
      <c r="H3088" s="59">
        <v>210000</v>
      </c>
      <c r="I3088" s="59">
        <f t="shared" si="96"/>
        <v>0</v>
      </c>
    </row>
    <row r="3089" spans="1:9" customFormat="1" x14ac:dyDescent="0.35">
      <c r="A3089" s="63">
        <f t="shared" si="97"/>
        <v>3088</v>
      </c>
      <c r="B3089" s="54" t="s">
        <v>7037</v>
      </c>
      <c r="C3089" s="55" t="s">
        <v>7038</v>
      </c>
      <c r="D3089" s="54" t="s">
        <v>6718</v>
      </c>
      <c r="E3089" s="56">
        <v>0</v>
      </c>
      <c r="F3089" s="57" t="s">
        <v>1217</v>
      </c>
      <c r="G3089" s="58">
        <v>210000</v>
      </c>
      <c r="H3089" s="59">
        <v>210000</v>
      </c>
      <c r="I3089" s="59">
        <f t="shared" si="96"/>
        <v>0</v>
      </c>
    </row>
    <row r="3090" spans="1:9" customFormat="1" x14ac:dyDescent="0.35">
      <c r="A3090" s="63">
        <f t="shared" si="97"/>
        <v>3089</v>
      </c>
      <c r="B3090" s="54" t="s">
        <v>7039</v>
      </c>
      <c r="C3090" s="55" t="s">
        <v>7040</v>
      </c>
      <c r="D3090" s="54" t="s">
        <v>6718</v>
      </c>
      <c r="E3090" s="56">
        <v>0</v>
      </c>
      <c r="F3090" s="57" t="s">
        <v>6751</v>
      </c>
      <c r="G3090" s="58">
        <v>9000</v>
      </c>
      <c r="H3090" s="59">
        <v>14100</v>
      </c>
      <c r="I3090" s="59">
        <f t="shared" si="96"/>
        <v>0</v>
      </c>
    </row>
    <row r="3091" spans="1:9" customFormat="1" ht="23" x14ac:dyDescent="0.35">
      <c r="A3091" s="63">
        <f t="shared" si="97"/>
        <v>3090</v>
      </c>
      <c r="B3091" s="54" t="s">
        <v>7041</v>
      </c>
      <c r="C3091" s="55" t="s">
        <v>7042</v>
      </c>
      <c r="D3091" s="54" t="s">
        <v>6718</v>
      </c>
      <c r="E3091" s="56">
        <v>0</v>
      </c>
      <c r="F3091" s="57" t="s">
        <v>792</v>
      </c>
      <c r="G3091" s="58">
        <v>200000</v>
      </c>
      <c r="H3091" s="59">
        <v>364095</v>
      </c>
      <c r="I3091" s="59">
        <f t="shared" si="96"/>
        <v>0</v>
      </c>
    </row>
    <row r="3092" spans="1:9" customFormat="1" x14ac:dyDescent="0.35">
      <c r="A3092" s="63">
        <f t="shared" si="97"/>
        <v>3091</v>
      </c>
      <c r="B3092" s="54" t="s">
        <v>7043</v>
      </c>
      <c r="C3092" s="55" t="s">
        <v>7044</v>
      </c>
      <c r="D3092" s="54" t="s">
        <v>6718</v>
      </c>
      <c r="E3092" s="56">
        <v>0</v>
      </c>
      <c r="F3092" s="57" t="s">
        <v>6751</v>
      </c>
      <c r="G3092" s="58">
        <v>1093750</v>
      </c>
      <c r="H3092" s="59">
        <v>1455400</v>
      </c>
      <c r="I3092" s="59">
        <f t="shared" si="96"/>
        <v>0</v>
      </c>
    </row>
    <row r="3093" spans="1:9" customFormat="1" x14ac:dyDescent="0.35">
      <c r="A3093" s="63">
        <f t="shared" si="97"/>
        <v>3092</v>
      </c>
      <c r="B3093" s="54" t="s">
        <v>7045</v>
      </c>
      <c r="C3093" s="55" t="s">
        <v>7046</v>
      </c>
      <c r="D3093" s="54" t="s">
        <v>6718</v>
      </c>
      <c r="E3093" s="56">
        <v>0</v>
      </c>
      <c r="F3093" s="57" t="s">
        <v>6751</v>
      </c>
      <c r="G3093" s="58">
        <v>1112500</v>
      </c>
      <c r="H3093" s="59">
        <v>1479625</v>
      </c>
      <c r="I3093" s="59">
        <f t="shared" si="96"/>
        <v>0</v>
      </c>
    </row>
    <row r="3094" spans="1:9" customFormat="1" x14ac:dyDescent="0.35">
      <c r="A3094" s="63">
        <f t="shared" si="97"/>
        <v>3093</v>
      </c>
      <c r="B3094" s="54" t="s">
        <v>7047</v>
      </c>
      <c r="C3094" s="55" t="s">
        <v>7048</v>
      </c>
      <c r="D3094" s="54" t="s">
        <v>6718</v>
      </c>
      <c r="E3094" s="56">
        <v>0</v>
      </c>
      <c r="F3094" s="57" t="s">
        <v>6751</v>
      </c>
      <c r="G3094" s="58">
        <v>1193750</v>
      </c>
      <c r="H3094" s="59">
        <v>1588400</v>
      </c>
      <c r="I3094" s="59">
        <f t="shared" si="96"/>
        <v>0</v>
      </c>
    </row>
    <row r="3095" spans="1:9" customFormat="1" x14ac:dyDescent="0.35">
      <c r="A3095" s="63">
        <f t="shared" si="97"/>
        <v>3094</v>
      </c>
      <c r="B3095" s="54" t="s">
        <v>7049</v>
      </c>
      <c r="C3095" s="55" t="s">
        <v>7050</v>
      </c>
      <c r="D3095" s="54" t="s">
        <v>6718</v>
      </c>
      <c r="E3095" s="56">
        <v>0</v>
      </c>
      <c r="F3095" s="57" t="s">
        <v>6751</v>
      </c>
      <c r="G3095" s="58">
        <v>1325000</v>
      </c>
      <c r="H3095" s="59">
        <v>1762250</v>
      </c>
      <c r="I3095" s="59">
        <f t="shared" si="96"/>
        <v>0</v>
      </c>
    </row>
    <row r="3096" spans="1:9" customFormat="1" x14ac:dyDescent="0.35">
      <c r="A3096" s="63">
        <f t="shared" si="97"/>
        <v>3095</v>
      </c>
      <c r="B3096" s="54" t="s">
        <v>7051</v>
      </c>
      <c r="C3096" s="55" t="s">
        <v>7052</v>
      </c>
      <c r="D3096" s="54" t="s">
        <v>6718</v>
      </c>
      <c r="E3096" s="56">
        <v>0</v>
      </c>
      <c r="F3096" s="57" t="s">
        <v>6751</v>
      </c>
      <c r="G3096" s="58">
        <v>1600000</v>
      </c>
      <c r="H3096" s="59">
        <v>2128000</v>
      </c>
      <c r="I3096" s="59">
        <f t="shared" si="96"/>
        <v>0</v>
      </c>
    </row>
    <row r="3097" spans="1:9" customFormat="1" ht="23" x14ac:dyDescent="0.35">
      <c r="A3097" s="63">
        <f t="shared" si="97"/>
        <v>3096</v>
      </c>
      <c r="B3097" s="54" t="s">
        <v>7053</v>
      </c>
      <c r="C3097" s="55" t="s">
        <v>7054</v>
      </c>
      <c r="D3097" s="54" t="s">
        <v>6718</v>
      </c>
      <c r="E3097" s="56">
        <v>0</v>
      </c>
      <c r="F3097" s="57" t="s">
        <v>6751</v>
      </c>
      <c r="G3097" s="58">
        <v>1288358</v>
      </c>
      <c r="H3097" s="59">
        <v>1758120</v>
      </c>
      <c r="I3097" s="59">
        <f t="shared" si="96"/>
        <v>0</v>
      </c>
    </row>
    <row r="3098" spans="1:9" customFormat="1" ht="23" x14ac:dyDescent="0.35">
      <c r="A3098" s="63">
        <f t="shared" si="97"/>
        <v>3097</v>
      </c>
      <c r="B3098" s="54" t="s">
        <v>7055</v>
      </c>
      <c r="C3098" s="55" t="s">
        <v>7056</v>
      </c>
      <c r="D3098" s="54" t="s">
        <v>6718</v>
      </c>
      <c r="E3098" s="56">
        <v>0</v>
      </c>
      <c r="F3098" s="57" t="s">
        <v>6751</v>
      </c>
      <c r="G3098" s="58">
        <v>1439851</v>
      </c>
      <c r="H3098" s="59">
        <v>1758120</v>
      </c>
      <c r="I3098" s="59">
        <f t="shared" si="96"/>
        <v>0</v>
      </c>
    </row>
    <row r="3099" spans="1:9" customFormat="1" ht="23" x14ac:dyDescent="0.35">
      <c r="A3099" s="63">
        <f t="shared" si="97"/>
        <v>3098</v>
      </c>
      <c r="B3099" s="54" t="s">
        <v>7057</v>
      </c>
      <c r="C3099" s="55" t="s">
        <v>7058</v>
      </c>
      <c r="D3099" s="54" t="s">
        <v>6718</v>
      </c>
      <c r="E3099" s="56">
        <v>0</v>
      </c>
      <c r="F3099" s="57" t="s">
        <v>6751</v>
      </c>
      <c r="G3099" s="58">
        <v>1288358</v>
      </c>
      <c r="H3099" s="59">
        <v>1435200</v>
      </c>
      <c r="I3099" s="59">
        <f t="shared" si="96"/>
        <v>0</v>
      </c>
    </row>
    <row r="3100" spans="1:9" customFormat="1" ht="23" x14ac:dyDescent="0.35">
      <c r="A3100" s="63">
        <f t="shared" si="97"/>
        <v>3099</v>
      </c>
      <c r="B3100" s="54" t="s">
        <v>7059</v>
      </c>
      <c r="C3100" s="55" t="s">
        <v>7060</v>
      </c>
      <c r="D3100" s="54" t="s">
        <v>6718</v>
      </c>
      <c r="E3100" s="56">
        <v>0</v>
      </c>
      <c r="F3100" s="57" t="s">
        <v>6751</v>
      </c>
      <c r="G3100" s="58">
        <v>1661029</v>
      </c>
      <c r="H3100" s="59">
        <v>2005600</v>
      </c>
      <c r="I3100" s="59">
        <f t="shared" si="96"/>
        <v>0</v>
      </c>
    </row>
    <row r="3101" spans="1:9" customFormat="1" ht="23" x14ac:dyDescent="0.35">
      <c r="A3101" s="63">
        <f t="shared" si="97"/>
        <v>3100</v>
      </c>
      <c r="B3101" s="54" t="s">
        <v>7061</v>
      </c>
      <c r="C3101" s="55" t="s">
        <v>7062</v>
      </c>
      <c r="D3101" s="54" t="s">
        <v>6718</v>
      </c>
      <c r="E3101" s="56">
        <v>0</v>
      </c>
      <c r="F3101" s="57" t="s">
        <v>6751</v>
      </c>
      <c r="G3101" s="58">
        <v>455000</v>
      </c>
      <c r="H3101" s="59">
        <v>628860</v>
      </c>
      <c r="I3101" s="59">
        <f t="shared" si="96"/>
        <v>0</v>
      </c>
    </row>
    <row r="3102" spans="1:9" customFormat="1" x14ac:dyDescent="0.35">
      <c r="A3102" s="63">
        <f t="shared" si="97"/>
        <v>3101</v>
      </c>
      <c r="B3102" s="54" t="s">
        <v>7063</v>
      </c>
      <c r="C3102" s="55" t="s">
        <v>7064</v>
      </c>
      <c r="D3102" s="54" t="s">
        <v>6718</v>
      </c>
      <c r="E3102" s="56">
        <v>0</v>
      </c>
      <c r="F3102" s="57" t="s">
        <v>870</v>
      </c>
      <c r="G3102" s="58">
        <v>0</v>
      </c>
      <c r="H3102" s="59">
        <v>48760</v>
      </c>
      <c r="I3102" s="59">
        <f t="shared" si="96"/>
        <v>0</v>
      </c>
    </row>
    <row r="3103" spans="1:9" customFormat="1" x14ac:dyDescent="0.35">
      <c r="A3103" s="63">
        <f t="shared" si="97"/>
        <v>3102</v>
      </c>
      <c r="B3103" s="54" t="s">
        <v>7065</v>
      </c>
      <c r="C3103" s="55" t="s">
        <v>7066</v>
      </c>
      <c r="D3103" s="54" t="s">
        <v>6718</v>
      </c>
      <c r="E3103" s="56">
        <v>0</v>
      </c>
      <c r="F3103" s="57" t="s">
        <v>870</v>
      </c>
      <c r="G3103" s="58">
        <v>0</v>
      </c>
      <c r="H3103" s="59">
        <v>67620</v>
      </c>
      <c r="I3103" s="59">
        <f t="shared" si="96"/>
        <v>0</v>
      </c>
    </row>
    <row r="3104" spans="1:9" customFormat="1" x14ac:dyDescent="0.35">
      <c r="A3104" s="63">
        <f t="shared" si="97"/>
        <v>3103</v>
      </c>
      <c r="B3104" s="54" t="s">
        <v>7067</v>
      </c>
      <c r="C3104" s="55" t="s">
        <v>7068</v>
      </c>
      <c r="D3104" s="54" t="s">
        <v>6718</v>
      </c>
      <c r="E3104" s="56">
        <v>0</v>
      </c>
      <c r="F3104" s="57" t="s">
        <v>870</v>
      </c>
      <c r="G3104" s="58">
        <v>0</v>
      </c>
      <c r="H3104" s="59">
        <v>23000</v>
      </c>
      <c r="I3104" s="59">
        <f t="shared" si="96"/>
        <v>0</v>
      </c>
    </row>
    <row r="3105" spans="1:9" customFormat="1" x14ac:dyDescent="0.35">
      <c r="A3105" s="63">
        <f t="shared" si="97"/>
        <v>3104</v>
      </c>
      <c r="B3105" s="54" t="s">
        <v>7069</v>
      </c>
      <c r="C3105" s="55" t="s">
        <v>7070</v>
      </c>
      <c r="D3105" s="54" t="s">
        <v>6718</v>
      </c>
      <c r="E3105" s="56">
        <v>0</v>
      </c>
      <c r="F3105" s="57" t="s">
        <v>870</v>
      </c>
      <c r="G3105" s="58">
        <v>0</v>
      </c>
      <c r="H3105" s="59">
        <v>32660</v>
      </c>
      <c r="I3105" s="59">
        <f t="shared" si="96"/>
        <v>0</v>
      </c>
    </row>
    <row r="3106" spans="1:9" customFormat="1" x14ac:dyDescent="0.35">
      <c r="A3106" s="63">
        <f t="shared" si="97"/>
        <v>3105</v>
      </c>
      <c r="B3106" s="54" t="s">
        <v>7071</v>
      </c>
      <c r="C3106" s="55" t="s">
        <v>7072</v>
      </c>
      <c r="D3106" s="54" t="s">
        <v>6718</v>
      </c>
      <c r="E3106" s="56">
        <v>0</v>
      </c>
      <c r="F3106" s="57" t="s">
        <v>1217</v>
      </c>
      <c r="G3106" s="58">
        <v>0</v>
      </c>
      <c r="H3106" s="59">
        <v>4257495</v>
      </c>
      <c r="I3106" s="59">
        <f t="shared" si="96"/>
        <v>0</v>
      </c>
    </row>
    <row r="3107" spans="1:9" customFormat="1" x14ac:dyDescent="0.35">
      <c r="A3107" s="63">
        <f t="shared" si="97"/>
        <v>3106</v>
      </c>
      <c r="B3107" s="54" t="s">
        <v>7073</v>
      </c>
      <c r="C3107" s="55" t="s">
        <v>7074</v>
      </c>
      <c r="D3107" s="54" t="s">
        <v>6718</v>
      </c>
      <c r="E3107" s="56">
        <v>0</v>
      </c>
      <c r="F3107" s="57" t="s">
        <v>792</v>
      </c>
      <c r="G3107" s="58">
        <v>51500</v>
      </c>
      <c r="H3107" s="59">
        <v>75705</v>
      </c>
      <c r="I3107" s="59">
        <f t="shared" si="96"/>
        <v>0</v>
      </c>
    </row>
    <row r="3108" spans="1:9" customFormat="1" x14ac:dyDescent="0.35">
      <c r="A3108" s="63">
        <f t="shared" si="97"/>
        <v>3107</v>
      </c>
      <c r="B3108" s="54" t="s">
        <v>7075</v>
      </c>
      <c r="C3108" s="55" t="s">
        <v>7076</v>
      </c>
      <c r="D3108" s="54" t="s">
        <v>6718</v>
      </c>
      <c r="E3108" s="56">
        <v>0</v>
      </c>
      <c r="F3108" s="57" t="s">
        <v>6996</v>
      </c>
      <c r="G3108" s="58">
        <v>0</v>
      </c>
      <c r="H3108" s="59">
        <v>1500000</v>
      </c>
      <c r="I3108" s="59">
        <f t="shared" si="96"/>
        <v>0</v>
      </c>
    </row>
    <row r="3109" spans="1:9" customFormat="1" ht="23" x14ac:dyDescent="0.35">
      <c r="A3109" s="63">
        <f t="shared" si="97"/>
        <v>3108</v>
      </c>
      <c r="B3109" s="54" t="s">
        <v>7077</v>
      </c>
      <c r="C3109" s="55" t="s">
        <v>7078</v>
      </c>
      <c r="D3109" s="54" t="s">
        <v>6718</v>
      </c>
      <c r="E3109" s="56">
        <v>0</v>
      </c>
      <c r="F3109" s="57" t="s">
        <v>6751</v>
      </c>
      <c r="G3109" s="58">
        <v>627500</v>
      </c>
      <c r="H3109" s="59">
        <v>957000</v>
      </c>
      <c r="I3109" s="59">
        <f t="shared" si="96"/>
        <v>0</v>
      </c>
    </row>
    <row r="3110" spans="1:9" customFormat="1" ht="23" x14ac:dyDescent="0.35">
      <c r="A3110" s="63">
        <f t="shared" si="97"/>
        <v>3109</v>
      </c>
      <c r="B3110" s="54" t="s">
        <v>7079</v>
      </c>
      <c r="C3110" s="55" t="s">
        <v>7080</v>
      </c>
      <c r="D3110" s="54" t="s">
        <v>6718</v>
      </c>
      <c r="E3110" s="56">
        <v>0</v>
      </c>
      <c r="F3110" s="57" t="s">
        <v>1217</v>
      </c>
      <c r="G3110" s="58">
        <v>800000</v>
      </c>
      <c r="H3110" s="59">
        <v>880000</v>
      </c>
      <c r="I3110" s="59">
        <f t="shared" si="96"/>
        <v>0</v>
      </c>
    </row>
    <row r="3111" spans="1:9" customFormat="1" x14ac:dyDescent="0.35">
      <c r="A3111" s="63">
        <f t="shared" si="97"/>
        <v>3110</v>
      </c>
      <c r="B3111" s="54" t="s">
        <v>7081</v>
      </c>
      <c r="C3111" s="55" t="s">
        <v>7082</v>
      </c>
      <c r="D3111" s="54" t="s">
        <v>6718</v>
      </c>
      <c r="E3111" s="56">
        <v>0</v>
      </c>
      <c r="F3111" s="57" t="s">
        <v>1217</v>
      </c>
      <c r="G3111" s="58">
        <v>380000</v>
      </c>
      <c r="H3111" s="59">
        <v>660000</v>
      </c>
      <c r="I3111" s="59">
        <f t="shared" si="96"/>
        <v>0</v>
      </c>
    </row>
    <row r="3112" spans="1:9" customFormat="1" x14ac:dyDescent="0.35">
      <c r="A3112" s="63">
        <f t="shared" si="97"/>
        <v>3111</v>
      </c>
      <c r="B3112" s="54" t="s">
        <v>7083</v>
      </c>
      <c r="C3112" s="55" t="s">
        <v>7084</v>
      </c>
      <c r="D3112" s="54" t="s">
        <v>6718</v>
      </c>
      <c r="E3112" s="56">
        <v>0</v>
      </c>
      <c r="F3112" s="57" t="s">
        <v>6751</v>
      </c>
      <c r="G3112" s="58">
        <v>900000</v>
      </c>
      <c r="H3112" s="59">
        <v>1030000</v>
      </c>
      <c r="I3112" s="59">
        <f t="shared" si="96"/>
        <v>0</v>
      </c>
    </row>
    <row r="3113" spans="1:9" customFormat="1" ht="23" x14ac:dyDescent="0.35">
      <c r="A3113" s="63">
        <f t="shared" si="97"/>
        <v>3112</v>
      </c>
      <c r="B3113" s="54" t="s">
        <v>7085</v>
      </c>
      <c r="C3113" s="55" t="s">
        <v>7086</v>
      </c>
      <c r="D3113" s="54" t="s">
        <v>6718</v>
      </c>
      <c r="E3113" s="56">
        <v>0</v>
      </c>
      <c r="F3113" s="57" t="s">
        <v>878</v>
      </c>
      <c r="G3113" s="58">
        <v>1555000</v>
      </c>
      <c r="H3113" s="59">
        <v>1698838</v>
      </c>
      <c r="I3113" s="59">
        <f t="shared" si="96"/>
        <v>0</v>
      </c>
    </row>
    <row r="3114" spans="1:9" customFormat="1" x14ac:dyDescent="0.35">
      <c r="A3114" s="63">
        <f t="shared" si="97"/>
        <v>3113</v>
      </c>
      <c r="B3114" s="54" t="s">
        <v>7087</v>
      </c>
      <c r="C3114" s="55" t="s">
        <v>7088</v>
      </c>
      <c r="D3114" s="54" t="s">
        <v>6718</v>
      </c>
      <c r="E3114" s="56">
        <v>0</v>
      </c>
      <c r="F3114" s="57" t="s">
        <v>792</v>
      </c>
      <c r="G3114" s="58">
        <v>13200</v>
      </c>
      <c r="H3114" s="59">
        <v>13200</v>
      </c>
      <c r="I3114" s="59">
        <f t="shared" si="96"/>
        <v>0</v>
      </c>
    </row>
    <row r="3115" spans="1:9" customFormat="1" x14ac:dyDescent="0.35">
      <c r="A3115" s="63">
        <f t="shared" si="97"/>
        <v>3114</v>
      </c>
      <c r="B3115" s="54" t="s">
        <v>7089</v>
      </c>
      <c r="C3115" s="55" t="s">
        <v>7090</v>
      </c>
      <c r="D3115" s="54" t="s">
        <v>6718</v>
      </c>
      <c r="E3115" s="56">
        <v>0</v>
      </c>
      <c r="F3115" s="57" t="s">
        <v>792</v>
      </c>
      <c r="G3115" s="58">
        <v>35900</v>
      </c>
      <c r="H3115" s="59">
        <v>35900</v>
      </c>
      <c r="I3115" s="59">
        <f t="shared" si="96"/>
        <v>0</v>
      </c>
    </row>
    <row r="3116" spans="1:9" customFormat="1" x14ac:dyDescent="0.35">
      <c r="A3116" s="63">
        <f t="shared" si="97"/>
        <v>3115</v>
      </c>
      <c r="B3116" s="54" t="s">
        <v>7091</v>
      </c>
      <c r="C3116" s="55" t="s">
        <v>7092</v>
      </c>
      <c r="D3116" s="54" t="s">
        <v>6718</v>
      </c>
      <c r="E3116" s="56">
        <v>0</v>
      </c>
      <c r="F3116" s="57" t="s">
        <v>792</v>
      </c>
      <c r="G3116" s="58">
        <v>700</v>
      </c>
      <c r="H3116" s="59">
        <v>700</v>
      </c>
      <c r="I3116" s="59">
        <f t="shared" si="96"/>
        <v>0</v>
      </c>
    </row>
    <row r="3117" spans="1:9" customFormat="1" x14ac:dyDescent="0.35">
      <c r="A3117" s="63">
        <f t="shared" si="97"/>
        <v>3116</v>
      </c>
      <c r="B3117" s="54" t="s">
        <v>7093</v>
      </c>
      <c r="C3117" s="55" t="s">
        <v>7094</v>
      </c>
      <c r="D3117" s="54" t="s">
        <v>6718</v>
      </c>
      <c r="E3117" s="56">
        <v>0</v>
      </c>
      <c r="F3117" s="57" t="s">
        <v>792</v>
      </c>
      <c r="G3117" s="58">
        <v>1000</v>
      </c>
      <c r="H3117" s="59">
        <v>1000</v>
      </c>
      <c r="I3117" s="59">
        <f t="shared" si="96"/>
        <v>0</v>
      </c>
    </row>
    <row r="3118" spans="1:9" customFormat="1" x14ac:dyDescent="0.35">
      <c r="A3118" s="63">
        <f t="shared" si="97"/>
        <v>3117</v>
      </c>
      <c r="B3118" s="54" t="s">
        <v>7095</v>
      </c>
      <c r="C3118" s="55" t="s">
        <v>7096</v>
      </c>
      <c r="D3118" s="54" t="s">
        <v>6718</v>
      </c>
      <c r="E3118" s="56">
        <v>0</v>
      </c>
      <c r="F3118" s="57" t="s">
        <v>792</v>
      </c>
      <c r="G3118" s="58">
        <v>228</v>
      </c>
      <c r="H3118" s="59">
        <v>218</v>
      </c>
      <c r="I3118" s="59">
        <f t="shared" si="96"/>
        <v>0</v>
      </c>
    </row>
    <row r="3119" spans="1:9" customFormat="1" x14ac:dyDescent="0.35">
      <c r="A3119" s="63">
        <f t="shared" si="97"/>
        <v>3118</v>
      </c>
      <c r="B3119" s="54" t="s">
        <v>7097</v>
      </c>
      <c r="C3119" s="55" t="s">
        <v>7098</v>
      </c>
      <c r="D3119" s="54" t="s">
        <v>6718</v>
      </c>
      <c r="E3119" s="56">
        <v>0</v>
      </c>
      <c r="F3119" s="57" t="s">
        <v>844</v>
      </c>
      <c r="G3119" s="58">
        <v>12250000</v>
      </c>
      <c r="H3119" s="59">
        <v>17150000</v>
      </c>
      <c r="I3119" s="59">
        <f t="shared" si="96"/>
        <v>0</v>
      </c>
    </row>
    <row r="3120" spans="1:9" customFormat="1" x14ac:dyDescent="0.35">
      <c r="A3120" s="63">
        <f t="shared" si="97"/>
        <v>3119</v>
      </c>
      <c r="B3120" s="54" t="s">
        <v>7099</v>
      </c>
      <c r="C3120" s="55" t="s">
        <v>7100</v>
      </c>
      <c r="D3120" s="54" t="s">
        <v>6718</v>
      </c>
      <c r="E3120" s="56">
        <v>0</v>
      </c>
      <c r="F3120" s="57" t="s">
        <v>792</v>
      </c>
      <c r="G3120" s="58">
        <v>0</v>
      </c>
      <c r="H3120" s="59">
        <v>537000</v>
      </c>
      <c r="I3120" s="59">
        <f t="shared" si="96"/>
        <v>0</v>
      </c>
    </row>
    <row r="3121" spans="1:9" customFormat="1" ht="23" x14ac:dyDescent="0.35">
      <c r="A3121" s="63">
        <f t="shared" si="97"/>
        <v>3120</v>
      </c>
      <c r="B3121" s="54" t="s">
        <v>7101</v>
      </c>
      <c r="C3121" s="55" t="s">
        <v>7102</v>
      </c>
      <c r="D3121" s="54" t="s">
        <v>6718</v>
      </c>
      <c r="E3121" s="56">
        <v>0</v>
      </c>
      <c r="F3121" s="57" t="s">
        <v>6751</v>
      </c>
      <c r="G3121" s="58">
        <v>440670</v>
      </c>
      <c r="H3121" s="59">
        <v>707000</v>
      </c>
      <c r="I3121" s="59">
        <f t="shared" si="96"/>
        <v>0</v>
      </c>
    </row>
    <row r="3122" spans="1:9" customFormat="1" ht="23" x14ac:dyDescent="0.35">
      <c r="A3122" s="63">
        <f t="shared" si="97"/>
        <v>3121</v>
      </c>
      <c r="B3122" s="54" t="s">
        <v>7103</v>
      </c>
      <c r="C3122" s="55" t="s">
        <v>7104</v>
      </c>
      <c r="D3122" s="54" t="s">
        <v>6718</v>
      </c>
      <c r="E3122" s="56">
        <v>0</v>
      </c>
      <c r="F3122" s="57" t="s">
        <v>6751</v>
      </c>
      <c r="G3122" s="58">
        <v>460000</v>
      </c>
      <c r="H3122" s="59">
        <v>609040</v>
      </c>
      <c r="I3122" s="59">
        <f t="shared" si="96"/>
        <v>0</v>
      </c>
    </row>
    <row r="3123" spans="1:9" customFormat="1" x14ac:dyDescent="0.35">
      <c r="A3123" s="63">
        <f t="shared" si="97"/>
        <v>3122</v>
      </c>
      <c r="B3123" s="54" t="s">
        <v>7105</v>
      </c>
      <c r="C3123" s="55" t="s">
        <v>7106</v>
      </c>
      <c r="D3123" s="54" t="s">
        <v>6718</v>
      </c>
      <c r="E3123" s="56">
        <v>0</v>
      </c>
      <c r="F3123" s="57" t="s">
        <v>870</v>
      </c>
      <c r="G3123" s="58">
        <v>38000</v>
      </c>
      <c r="H3123" s="59">
        <v>47000</v>
      </c>
      <c r="I3123" s="59">
        <f t="shared" si="96"/>
        <v>0</v>
      </c>
    </row>
    <row r="3124" spans="1:9" customFormat="1" ht="23" x14ac:dyDescent="0.35">
      <c r="A3124" s="63">
        <f t="shared" si="97"/>
        <v>3123</v>
      </c>
      <c r="B3124" s="54" t="s">
        <v>7107</v>
      </c>
      <c r="C3124" s="55" t="s">
        <v>7108</v>
      </c>
      <c r="D3124" s="54" t="s">
        <v>6718</v>
      </c>
      <c r="E3124" s="56">
        <v>0</v>
      </c>
      <c r="F3124" s="57" t="s">
        <v>1217</v>
      </c>
      <c r="G3124" s="58">
        <v>500000</v>
      </c>
      <c r="H3124" s="59">
        <v>945000</v>
      </c>
      <c r="I3124" s="59">
        <f t="shared" si="96"/>
        <v>0</v>
      </c>
    </row>
    <row r="3125" spans="1:9" customFormat="1" x14ac:dyDescent="0.35">
      <c r="A3125" s="63">
        <f t="shared" si="97"/>
        <v>3124</v>
      </c>
      <c r="B3125" s="54" t="s">
        <v>7109</v>
      </c>
      <c r="C3125" s="55" t="s">
        <v>7110</v>
      </c>
      <c r="D3125" s="54" t="s">
        <v>6718</v>
      </c>
      <c r="E3125" s="56">
        <v>0</v>
      </c>
      <c r="F3125" s="57" t="s">
        <v>6751</v>
      </c>
      <c r="G3125" s="58">
        <v>113000</v>
      </c>
      <c r="H3125" s="59">
        <v>167000</v>
      </c>
      <c r="I3125" s="59">
        <f t="shared" si="96"/>
        <v>0</v>
      </c>
    </row>
    <row r="3126" spans="1:9" customFormat="1" x14ac:dyDescent="0.35">
      <c r="A3126" s="63">
        <f t="shared" si="97"/>
        <v>3125</v>
      </c>
      <c r="B3126" s="54" t="s">
        <v>7111</v>
      </c>
      <c r="C3126" s="55" t="s">
        <v>7112</v>
      </c>
      <c r="D3126" s="54" t="s">
        <v>6718</v>
      </c>
      <c r="E3126" s="56">
        <v>0</v>
      </c>
      <c r="F3126" s="57" t="s">
        <v>6751</v>
      </c>
      <c r="G3126" s="58">
        <v>307230</v>
      </c>
      <c r="H3126" s="59">
        <v>592515</v>
      </c>
      <c r="I3126" s="59">
        <f t="shared" si="96"/>
        <v>0</v>
      </c>
    </row>
    <row r="3127" spans="1:9" customFormat="1" x14ac:dyDescent="0.35">
      <c r="A3127" s="63">
        <f t="shared" si="97"/>
        <v>3126</v>
      </c>
      <c r="B3127" s="54" t="s">
        <v>7113</v>
      </c>
      <c r="C3127" s="55" t="s">
        <v>7114</v>
      </c>
      <c r="D3127" s="54" t="s">
        <v>6718</v>
      </c>
      <c r="E3127" s="56">
        <v>0</v>
      </c>
      <c r="F3127" s="57" t="s">
        <v>6751</v>
      </c>
      <c r="G3127" s="58">
        <v>45430</v>
      </c>
      <c r="H3127" s="59">
        <v>87615</v>
      </c>
      <c r="I3127" s="59">
        <f t="shared" si="96"/>
        <v>0</v>
      </c>
    </row>
    <row r="3128" spans="1:9" customFormat="1" x14ac:dyDescent="0.35">
      <c r="A3128" s="63">
        <f t="shared" si="97"/>
        <v>3127</v>
      </c>
      <c r="B3128" s="54" t="s">
        <v>7115</v>
      </c>
      <c r="C3128" s="55" t="s">
        <v>7116</v>
      </c>
      <c r="D3128" s="54" t="s">
        <v>6718</v>
      </c>
      <c r="E3128" s="56">
        <v>0</v>
      </c>
      <c r="F3128" s="57" t="s">
        <v>815</v>
      </c>
      <c r="G3128" s="58">
        <v>6850000</v>
      </c>
      <c r="H3128" s="59">
        <v>8692650</v>
      </c>
      <c r="I3128" s="59">
        <f t="shared" si="96"/>
        <v>0</v>
      </c>
    </row>
    <row r="3129" spans="1:9" customFormat="1" x14ac:dyDescent="0.35">
      <c r="A3129" s="63">
        <f t="shared" si="97"/>
        <v>3128</v>
      </c>
      <c r="B3129" s="54" t="s">
        <v>7117</v>
      </c>
      <c r="C3129" s="55" t="s">
        <v>7118</v>
      </c>
      <c r="D3129" s="54" t="s">
        <v>6718</v>
      </c>
      <c r="E3129" s="56">
        <v>0</v>
      </c>
      <c r="F3129" s="57" t="s">
        <v>792</v>
      </c>
      <c r="G3129" s="58">
        <v>15000</v>
      </c>
      <c r="H3129" s="59">
        <v>15000</v>
      </c>
      <c r="I3129" s="59">
        <f t="shared" si="96"/>
        <v>0</v>
      </c>
    </row>
    <row r="3130" spans="1:9" customFormat="1" x14ac:dyDescent="0.35">
      <c r="A3130" s="63">
        <f t="shared" si="97"/>
        <v>3129</v>
      </c>
      <c r="B3130" s="54" t="s">
        <v>7119</v>
      </c>
      <c r="C3130" s="55" t="s">
        <v>7120</v>
      </c>
      <c r="D3130" s="54" t="s">
        <v>6718</v>
      </c>
      <c r="E3130" s="56">
        <v>0</v>
      </c>
      <c r="F3130" s="57" t="s">
        <v>792</v>
      </c>
      <c r="G3130" s="58">
        <v>13000</v>
      </c>
      <c r="H3130" s="59">
        <v>13000</v>
      </c>
      <c r="I3130" s="59">
        <f t="shared" si="96"/>
        <v>0</v>
      </c>
    </row>
    <row r="3131" spans="1:9" customFormat="1" x14ac:dyDescent="0.35">
      <c r="A3131" s="63">
        <f t="shared" si="97"/>
        <v>3130</v>
      </c>
      <c r="B3131" s="54" t="s">
        <v>7121</v>
      </c>
      <c r="C3131" s="55" t="s">
        <v>7122</v>
      </c>
      <c r="D3131" s="54" t="s">
        <v>6718</v>
      </c>
      <c r="E3131" s="56">
        <v>0</v>
      </c>
      <c r="F3131" s="57" t="s">
        <v>6996</v>
      </c>
      <c r="G3131" s="58">
        <v>5200000</v>
      </c>
      <c r="H3131" s="59">
        <v>5775000</v>
      </c>
      <c r="I3131" s="59">
        <f t="shared" si="96"/>
        <v>0</v>
      </c>
    </row>
    <row r="3132" spans="1:9" customFormat="1" x14ac:dyDescent="0.35">
      <c r="A3132" s="63">
        <f t="shared" si="97"/>
        <v>3131</v>
      </c>
      <c r="B3132" s="54" t="s">
        <v>7123</v>
      </c>
      <c r="C3132" s="55" t="s">
        <v>7124</v>
      </c>
      <c r="D3132" s="54" t="s">
        <v>6718</v>
      </c>
      <c r="E3132" s="56">
        <v>0</v>
      </c>
      <c r="F3132" s="57" t="s">
        <v>6751</v>
      </c>
      <c r="G3132" s="58">
        <v>530000</v>
      </c>
      <c r="H3132" s="59">
        <v>702000</v>
      </c>
      <c r="I3132" s="59">
        <f t="shared" si="96"/>
        <v>0</v>
      </c>
    </row>
    <row r="3133" spans="1:9" customFormat="1" x14ac:dyDescent="0.35">
      <c r="A3133" s="63">
        <f t="shared" si="97"/>
        <v>3132</v>
      </c>
      <c r="B3133" s="54" t="s">
        <v>7125</v>
      </c>
      <c r="C3133" s="55" t="s">
        <v>7126</v>
      </c>
      <c r="D3133" s="54" t="s">
        <v>6718</v>
      </c>
      <c r="E3133" s="56">
        <v>0</v>
      </c>
      <c r="F3133" s="57" t="s">
        <v>1217</v>
      </c>
      <c r="G3133" s="58">
        <v>0</v>
      </c>
      <c r="H3133" s="59">
        <v>75000</v>
      </c>
      <c r="I3133" s="59">
        <f t="shared" si="96"/>
        <v>0</v>
      </c>
    </row>
    <row r="3134" spans="1:9" customFormat="1" x14ac:dyDescent="0.35">
      <c r="A3134" s="63">
        <f t="shared" si="97"/>
        <v>3133</v>
      </c>
      <c r="B3134" s="54" t="s">
        <v>7127</v>
      </c>
      <c r="C3134" s="55" t="s">
        <v>7128</v>
      </c>
      <c r="D3134" s="54" t="s">
        <v>6718</v>
      </c>
      <c r="E3134" s="56">
        <v>0</v>
      </c>
      <c r="F3134" s="57" t="s">
        <v>6751</v>
      </c>
      <c r="G3134" s="58">
        <v>2000000</v>
      </c>
      <c r="H3134" s="59">
        <v>2682900</v>
      </c>
      <c r="I3134" s="59">
        <f t="shared" si="96"/>
        <v>0</v>
      </c>
    </row>
    <row r="3135" spans="1:9" customFormat="1" x14ac:dyDescent="0.35">
      <c r="A3135" s="63">
        <f t="shared" si="97"/>
        <v>3134</v>
      </c>
      <c r="B3135" s="54" t="s">
        <v>7129</v>
      </c>
      <c r="C3135" s="55" t="s">
        <v>7130</v>
      </c>
      <c r="D3135" s="54" t="s">
        <v>6718</v>
      </c>
      <c r="E3135" s="56">
        <v>0</v>
      </c>
      <c r="F3135" s="57" t="s">
        <v>6751</v>
      </c>
      <c r="G3135" s="58">
        <v>25000</v>
      </c>
      <c r="H3135" s="59">
        <v>52000</v>
      </c>
      <c r="I3135" s="59">
        <f t="shared" si="96"/>
        <v>0</v>
      </c>
    </row>
    <row r="3136" spans="1:9" customFormat="1" x14ac:dyDescent="0.35">
      <c r="A3136" s="63">
        <f t="shared" si="97"/>
        <v>3135</v>
      </c>
      <c r="B3136" s="54" t="s">
        <v>7131</v>
      </c>
      <c r="C3136" s="55" t="s">
        <v>7132</v>
      </c>
      <c r="D3136" s="54" t="s">
        <v>6718</v>
      </c>
      <c r="E3136" s="56">
        <v>0</v>
      </c>
      <c r="F3136" s="57" t="s">
        <v>6751</v>
      </c>
      <c r="G3136" s="58">
        <v>10000</v>
      </c>
      <c r="H3136" s="59">
        <v>30000</v>
      </c>
      <c r="I3136" s="59">
        <f t="shared" si="96"/>
        <v>0</v>
      </c>
    </row>
    <row r="3137" spans="1:9" customFormat="1" x14ac:dyDescent="0.35">
      <c r="A3137" s="63">
        <f t="shared" si="97"/>
        <v>3136</v>
      </c>
      <c r="B3137" s="54" t="s">
        <v>7133</v>
      </c>
      <c r="C3137" s="55" t="s">
        <v>7134</v>
      </c>
      <c r="D3137" s="54" t="s">
        <v>6718</v>
      </c>
      <c r="E3137" s="56">
        <v>0</v>
      </c>
      <c r="F3137" s="57" t="s">
        <v>1217</v>
      </c>
      <c r="G3137" s="58">
        <v>64000</v>
      </c>
      <c r="H3137" s="59">
        <v>64000</v>
      </c>
      <c r="I3137" s="59">
        <f t="shared" si="96"/>
        <v>0</v>
      </c>
    </row>
    <row r="3138" spans="1:9" customFormat="1" x14ac:dyDescent="0.35">
      <c r="A3138" s="63">
        <f t="shared" si="97"/>
        <v>3137</v>
      </c>
      <c r="B3138" s="54" t="s">
        <v>7135</v>
      </c>
      <c r="C3138" s="55" t="s">
        <v>7136</v>
      </c>
      <c r="D3138" s="54" t="s">
        <v>6718</v>
      </c>
      <c r="E3138" s="56">
        <v>0</v>
      </c>
      <c r="F3138" s="57" t="s">
        <v>792</v>
      </c>
      <c r="G3138" s="58">
        <v>175000</v>
      </c>
      <c r="H3138" s="59">
        <v>245000</v>
      </c>
      <c r="I3138" s="59">
        <f t="shared" si="96"/>
        <v>0</v>
      </c>
    </row>
    <row r="3139" spans="1:9" customFormat="1" ht="23" x14ac:dyDescent="0.35">
      <c r="A3139" s="63">
        <f t="shared" si="97"/>
        <v>3138</v>
      </c>
      <c r="B3139" s="54" t="s">
        <v>7137</v>
      </c>
      <c r="C3139" s="55" t="s">
        <v>7138</v>
      </c>
      <c r="D3139" s="54" t="s">
        <v>6718</v>
      </c>
      <c r="E3139" s="56">
        <v>0</v>
      </c>
      <c r="F3139" s="57" t="s">
        <v>6751</v>
      </c>
      <c r="G3139" s="58">
        <v>4680000</v>
      </c>
      <c r="H3139" s="59">
        <v>5896800</v>
      </c>
      <c r="I3139" s="59">
        <f t="shared" ref="I3139:I3202" si="98">H3139*E3139</f>
        <v>0</v>
      </c>
    </row>
    <row r="3140" spans="1:9" customFormat="1" x14ac:dyDescent="0.35">
      <c r="A3140" s="63">
        <f t="shared" ref="A3140:A3203" si="99">A3139+1</f>
        <v>3139</v>
      </c>
      <c r="B3140" s="54" t="s">
        <v>7139</v>
      </c>
      <c r="C3140" s="55" t="s">
        <v>7140</v>
      </c>
      <c r="D3140" s="54" t="s">
        <v>6718</v>
      </c>
      <c r="E3140" s="56">
        <v>0</v>
      </c>
      <c r="F3140" s="57" t="s">
        <v>6751</v>
      </c>
      <c r="G3140" s="58">
        <v>6500</v>
      </c>
      <c r="H3140" s="59">
        <v>11000</v>
      </c>
      <c r="I3140" s="59">
        <f t="shared" si="98"/>
        <v>0</v>
      </c>
    </row>
    <row r="3141" spans="1:9" customFormat="1" x14ac:dyDescent="0.35">
      <c r="A3141" s="63">
        <f t="shared" si="99"/>
        <v>3140</v>
      </c>
      <c r="B3141" s="54" t="s">
        <v>7141</v>
      </c>
      <c r="C3141" s="55" t="s">
        <v>7142</v>
      </c>
      <c r="D3141" s="54" t="s">
        <v>6718</v>
      </c>
      <c r="E3141" s="56">
        <v>0</v>
      </c>
      <c r="F3141" s="57" t="s">
        <v>6751</v>
      </c>
      <c r="G3141" s="58">
        <v>157000</v>
      </c>
      <c r="H3141" s="59">
        <v>204600</v>
      </c>
      <c r="I3141" s="59">
        <f t="shared" si="98"/>
        <v>0</v>
      </c>
    </row>
    <row r="3142" spans="1:9" customFormat="1" x14ac:dyDescent="0.35">
      <c r="A3142" s="63">
        <f t="shared" si="99"/>
        <v>3141</v>
      </c>
      <c r="B3142" s="54" t="s">
        <v>7143</v>
      </c>
      <c r="C3142" s="55" t="s">
        <v>7144</v>
      </c>
      <c r="D3142" s="54" t="s">
        <v>6718</v>
      </c>
      <c r="E3142" s="56">
        <v>0</v>
      </c>
      <c r="F3142" s="57" t="s">
        <v>1217</v>
      </c>
      <c r="G3142" s="58">
        <v>130000</v>
      </c>
      <c r="H3142" s="59">
        <v>175000</v>
      </c>
      <c r="I3142" s="59">
        <f t="shared" si="98"/>
        <v>0</v>
      </c>
    </row>
    <row r="3143" spans="1:9" customFormat="1" x14ac:dyDescent="0.35">
      <c r="A3143" s="63">
        <f t="shared" si="99"/>
        <v>3142</v>
      </c>
      <c r="B3143" s="54" t="s">
        <v>7145</v>
      </c>
      <c r="C3143" s="55" t="s">
        <v>7146</v>
      </c>
      <c r="D3143" s="54" t="s">
        <v>6718</v>
      </c>
      <c r="E3143" s="56">
        <v>0</v>
      </c>
      <c r="F3143" s="57" t="s">
        <v>792</v>
      </c>
      <c r="G3143" s="58">
        <v>36500</v>
      </c>
      <c r="H3143" s="59">
        <v>53655</v>
      </c>
      <c r="I3143" s="59">
        <f t="shared" si="98"/>
        <v>0</v>
      </c>
    </row>
    <row r="3144" spans="1:9" customFormat="1" ht="23" x14ac:dyDescent="0.35">
      <c r="A3144" s="63">
        <f t="shared" si="99"/>
        <v>3143</v>
      </c>
      <c r="B3144" s="54" t="s">
        <v>7147</v>
      </c>
      <c r="C3144" s="55" t="s">
        <v>7148</v>
      </c>
      <c r="D3144" s="54" t="s">
        <v>6718</v>
      </c>
      <c r="E3144" s="56">
        <v>0</v>
      </c>
      <c r="F3144" s="57" t="s">
        <v>815</v>
      </c>
      <c r="G3144" s="58">
        <v>245000</v>
      </c>
      <c r="H3144" s="59">
        <v>330750</v>
      </c>
      <c r="I3144" s="59">
        <f t="shared" si="98"/>
        <v>0</v>
      </c>
    </row>
    <row r="3145" spans="1:9" customFormat="1" x14ac:dyDescent="0.35">
      <c r="A3145" s="63">
        <f t="shared" si="99"/>
        <v>3144</v>
      </c>
      <c r="B3145" s="54" t="s">
        <v>7149</v>
      </c>
      <c r="C3145" s="55" t="s">
        <v>7150</v>
      </c>
      <c r="D3145" s="54" t="s">
        <v>6718</v>
      </c>
      <c r="E3145" s="56">
        <v>0</v>
      </c>
      <c r="F3145" s="57" t="s">
        <v>6751</v>
      </c>
      <c r="G3145" s="58">
        <v>16129575</v>
      </c>
      <c r="H3145" s="59">
        <v>16129575</v>
      </c>
      <c r="I3145" s="59">
        <f t="shared" si="98"/>
        <v>0</v>
      </c>
    </row>
    <row r="3146" spans="1:9" customFormat="1" x14ac:dyDescent="0.35">
      <c r="A3146" s="63">
        <f t="shared" si="99"/>
        <v>3145</v>
      </c>
      <c r="B3146" s="54" t="s">
        <v>7151</v>
      </c>
      <c r="C3146" s="55" t="s">
        <v>7152</v>
      </c>
      <c r="D3146" s="54" t="s">
        <v>6718</v>
      </c>
      <c r="E3146" s="56">
        <v>0</v>
      </c>
      <c r="F3146" s="57" t="s">
        <v>792</v>
      </c>
      <c r="G3146" s="58">
        <v>5000</v>
      </c>
      <c r="H3146" s="59">
        <v>12400</v>
      </c>
      <c r="I3146" s="59">
        <f t="shared" si="98"/>
        <v>0</v>
      </c>
    </row>
    <row r="3147" spans="1:9" customFormat="1" x14ac:dyDescent="0.35">
      <c r="A3147" s="63">
        <f t="shared" si="99"/>
        <v>3146</v>
      </c>
      <c r="B3147" s="54" t="s">
        <v>7153</v>
      </c>
      <c r="C3147" s="55" t="s">
        <v>7154</v>
      </c>
      <c r="D3147" s="54" t="s">
        <v>6718</v>
      </c>
      <c r="E3147" s="56">
        <v>0</v>
      </c>
      <c r="F3147" s="57" t="s">
        <v>844</v>
      </c>
      <c r="G3147" s="58">
        <v>173000</v>
      </c>
      <c r="H3147" s="59">
        <v>227950</v>
      </c>
      <c r="I3147" s="59">
        <f t="shared" si="98"/>
        <v>0</v>
      </c>
    </row>
    <row r="3148" spans="1:9" customFormat="1" x14ac:dyDescent="0.35">
      <c r="A3148" s="63">
        <f t="shared" si="99"/>
        <v>3147</v>
      </c>
      <c r="B3148" s="54" t="s">
        <v>7155</v>
      </c>
      <c r="C3148" s="55" t="s">
        <v>7156</v>
      </c>
      <c r="D3148" s="54" t="s">
        <v>6718</v>
      </c>
      <c r="E3148" s="56">
        <v>0</v>
      </c>
      <c r="F3148" s="57" t="s">
        <v>878</v>
      </c>
      <c r="G3148" s="58">
        <v>525000</v>
      </c>
      <c r="H3148" s="59">
        <v>0</v>
      </c>
      <c r="I3148" s="59">
        <f t="shared" si="98"/>
        <v>0</v>
      </c>
    </row>
    <row r="3149" spans="1:9" customFormat="1" x14ac:dyDescent="0.35">
      <c r="A3149" s="63">
        <f t="shared" si="99"/>
        <v>3148</v>
      </c>
      <c r="B3149" s="54" t="s">
        <v>7157</v>
      </c>
      <c r="C3149" s="55" t="s">
        <v>7158</v>
      </c>
      <c r="D3149" s="54" t="s">
        <v>6718</v>
      </c>
      <c r="E3149" s="56">
        <v>0</v>
      </c>
      <c r="F3149" s="57" t="s">
        <v>878</v>
      </c>
      <c r="G3149" s="58">
        <v>44425</v>
      </c>
      <c r="H3149" s="59">
        <v>44425</v>
      </c>
      <c r="I3149" s="59">
        <f t="shared" si="98"/>
        <v>0</v>
      </c>
    </row>
    <row r="3150" spans="1:9" customFormat="1" x14ac:dyDescent="0.35">
      <c r="A3150" s="63">
        <f t="shared" si="99"/>
        <v>3149</v>
      </c>
      <c r="B3150" s="54" t="s">
        <v>7159</v>
      </c>
      <c r="C3150" s="55" t="s">
        <v>7160</v>
      </c>
      <c r="D3150" s="54" t="s">
        <v>6718</v>
      </c>
      <c r="E3150" s="56">
        <v>0</v>
      </c>
      <c r="F3150" s="57" t="s">
        <v>6751</v>
      </c>
      <c r="G3150" s="58">
        <v>1393300</v>
      </c>
      <c r="H3150" s="59">
        <v>1941000</v>
      </c>
      <c r="I3150" s="59">
        <f t="shared" si="98"/>
        <v>0</v>
      </c>
    </row>
    <row r="3151" spans="1:9" customFormat="1" ht="23" x14ac:dyDescent="0.35">
      <c r="A3151" s="63">
        <f t="shared" si="99"/>
        <v>3150</v>
      </c>
      <c r="B3151" s="54" t="s">
        <v>7161</v>
      </c>
      <c r="C3151" s="55" t="s">
        <v>7162</v>
      </c>
      <c r="D3151" s="54" t="s">
        <v>6718</v>
      </c>
      <c r="E3151" s="56">
        <v>0</v>
      </c>
      <c r="F3151" s="57" t="s">
        <v>792</v>
      </c>
      <c r="G3151" s="58">
        <v>2465000</v>
      </c>
      <c r="H3151" s="59">
        <v>3225300</v>
      </c>
      <c r="I3151" s="59">
        <f t="shared" si="98"/>
        <v>0</v>
      </c>
    </row>
    <row r="3152" spans="1:9" customFormat="1" ht="23" x14ac:dyDescent="0.35">
      <c r="A3152" s="63">
        <f t="shared" si="99"/>
        <v>3151</v>
      </c>
      <c r="B3152" s="54" t="s">
        <v>7163</v>
      </c>
      <c r="C3152" s="55" t="s">
        <v>7164</v>
      </c>
      <c r="D3152" s="54" t="s">
        <v>6718</v>
      </c>
      <c r="E3152" s="56">
        <v>0</v>
      </c>
      <c r="F3152" s="57" t="s">
        <v>6751</v>
      </c>
      <c r="G3152" s="58">
        <v>150000</v>
      </c>
      <c r="H3152" s="59">
        <v>202500</v>
      </c>
      <c r="I3152" s="59">
        <f t="shared" si="98"/>
        <v>0</v>
      </c>
    </row>
    <row r="3153" spans="1:9" customFormat="1" x14ac:dyDescent="0.35">
      <c r="A3153" s="63">
        <f t="shared" si="99"/>
        <v>3152</v>
      </c>
      <c r="B3153" s="54" t="s">
        <v>7165</v>
      </c>
      <c r="C3153" s="55" t="s">
        <v>7166</v>
      </c>
      <c r="D3153" s="54" t="s">
        <v>6718</v>
      </c>
      <c r="E3153" s="56">
        <v>0</v>
      </c>
      <c r="F3153" s="57" t="s">
        <v>6751</v>
      </c>
      <c r="G3153" s="58">
        <v>12000</v>
      </c>
      <c r="H3153" s="59">
        <v>18000</v>
      </c>
      <c r="I3153" s="59">
        <f t="shared" si="98"/>
        <v>0</v>
      </c>
    </row>
    <row r="3154" spans="1:9" customFormat="1" x14ac:dyDescent="0.35">
      <c r="A3154" s="63">
        <f t="shared" si="99"/>
        <v>3153</v>
      </c>
      <c r="B3154" s="54" t="s">
        <v>7167</v>
      </c>
      <c r="C3154" s="55" t="s">
        <v>7168</v>
      </c>
      <c r="D3154" s="54" t="s">
        <v>6718</v>
      </c>
      <c r="E3154" s="56">
        <v>0</v>
      </c>
      <c r="F3154" s="57" t="s">
        <v>1217</v>
      </c>
      <c r="G3154" s="58">
        <v>0</v>
      </c>
      <c r="H3154" s="59">
        <v>379728</v>
      </c>
      <c r="I3154" s="59">
        <f t="shared" si="98"/>
        <v>0</v>
      </c>
    </row>
    <row r="3155" spans="1:9" customFormat="1" x14ac:dyDescent="0.35">
      <c r="A3155" s="63">
        <f t="shared" si="99"/>
        <v>3154</v>
      </c>
      <c r="B3155" s="54" t="s">
        <v>7169</v>
      </c>
      <c r="C3155" s="55" t="s">
        <v>7170</v>
      </c>
      <c r="D3155" s="54" t="s">
        <v>6718</v>
      </c>
      <c r="E3155" s="56">
        <v>0</v>
      </c>
      <c r="F3155" s="57" t="s">
        <v>1563</v>
      </c>
      <c r="G3155" s="58">
        <v>0</v>
      </c>
      <c r="H3155" s="59">
        <v>237500</v>
      </c>
      <c r="I3155" s="59">
        <f t="shared" si="98"/>
        <v>0</v>
      </c>
    </row>
    <row r="3156" spans="1:9" customFormat="1" x14ac:dyDescent="0.35">
      <c r="A3156" s="63">
        <f t="shared" si="99"/>
        <v>3155</v>
      </c>
      <c r="B3156" s="54" t="s">
        <v>7171</v>
      </c>
      <c r="C3156" s="55" t="s">
        <v>7172</v>
      </c>
      <c r="D3156" s="54" t="s">
        <v>6718</v>
      </c>
      <c r="E3156" s="56">
        <v>0</v>
      </c>
      <c r="F3156" s="57" t="s">
        <v>994</v>
      </c>
      <c r="G3156" s="58">
        <v>0</v>
      </c>
      <c r="H3156" s="59">
        <v>95000</v>
      </c>
      <c r="I3156" s="59">
        <f t="shared" si="98"/>
        <v>0</v>
      </c>
    </row>
    <row r="3157" spans="1:9" customFormat="1" x14ac:dyDescent="0.35">
      <c r="A3157" s="63">
        <f t="shared" si="99"/>
        <v>3156</v>
      </c>
      <c r="B3157" s="54" t="s">
        <v>7173</v>
      </c>
      <c r="C3157" s="55" t="s">
        <v>7174</v>
      </c>
      <c r="D3157" s="54" t="s">
        <v>6718</v>
      </c>
      <c r="E3157" s="56">
        <v>0</v>
      </c>
      <c r="F3157" s="57" t="s">
        <v>994</v>
      </c>
      <c r="G3157" s="58">
        <v>0</v>
      </c>
      <c r="H3157" s="59">
        <v>45000</v>
      </c>
      <c r="I3157" s="59">
        <f t="shared" si="98"/>
        <v>0</v>
      </c>
    </row>
    <row r="3158" spans="1:9" customFormat="1" x14ac:dyDescent="0.35">
      <c r="A3158" s="63">
        <f t="shared" si="99"/>
        <v>3157</v>
      </c>
      <c r="B3158" s="54" t="s">
        <v>7175</v>
      </c>
      <c r="C3158" s="55" t="s">
        <v>7176</v>
      </c>
      <c r="D3158" s="54" t="s">
        <v>6718</v>
      </c>
      <c r="E3158" s="56">
        <v>0</v>
      </c>
      <c r="F3158" s="57" t="s">
        <v>1217</v>
      </c>
      <c r="G3158" s="58">
        <v>260000</v>
      </c>
      <c r="H3158" s="59">
        <v>367680</v>
      </c>
      <c r="I3158" s="59">
        <f t="shared" si="98"/>
        <v>0</v>
      </c>
    </row>
    <row r="3159" spans="1:9" customFormat="1" x14ac:dyDescent="0.35">
      <c r="A3159" s="63">
        <f t="shared" si="99"/>
        <v>3158</v>
      </c>
      <c r="B3159" s="54" t="s">
        <v>7177</v>
      </c>
      <c r="C3159" s="55" t="s">
        <v>7178</v>
      </c>
      <c r="D3159" s="54" t="s">
        <v>6718</v>
      </c>
      <c r="E3159" s="56">
        <v>0</v>
      </c>
      <c r="F3159" s="57" t="s">
        <v>1217</v>
      </c>
      <c r="G3159" s="58">
        <v>2200000</v>
      </c>
      <c r="H3159" s="59">
        <v>3235000</v>
      </c>
      <c r="I3159" s="59">
        <f t="shared" si="98"/>
        <v>0</v>
      </c>
    </row>
    <row r="3160" spans="1:9" customFormat="1" x14ac:dyDescent="0.35">
      <c r="A3160" s="63">
        <f t="shared" si="99"/>
        <v>3159</v>
      </c>
      <c r="B3160" s="54" t="s">
        <v>7179</v>
      </c>
      <c r="C3160" s="55" t="s">
        <v>7180</v>
      </c>
      <c r="D3160" s="54" t="s">
        <v>6718</v>
      </c>
      <c r="E3160" s="56">
        <v>0</v>
      </c>
      <c r="F3160" s="57" t="s">
        <v>870</v>
      </c>
      <c r="G3160" s="58">
        <v>42500</v>
      </c>
      <c r="H3160" s="59">
        <v>42500</v>
      </c>
      <c r="I3160" s="59">
        <f t="shared" si="98"/>
        <v>0</v>
      </c>
    </row>
    <row r="3161" spans="1:9" customFormat="1" x14ac:dyDescent="0.35">
      <c r="A3161" s="63">
        <f t="shared" si="99"/>
        <v>3160</v>
      </c>
      <c r="B3161" s="54" t="s">
        <v>7181</v>
      </c>
      <c r="C3161" s="55" t="s">
        <v>7182</v>
      </c>
      <c r="D3161" s="54" t="s">
        <v>6718</v>
      </c>
      <c r="E3161" s="56">
        <v>0</v>
      </c>
      <c r="F3161" s="57" t="s">
        <v>870</v>
      </c>
      <c r="G3161" s="58">
        <v>90000</v>
      </c>
      <c r="H3161" s="59">
        <v>90000</v>
      </c>
      <c r="I3161" s="59">
        <f t="shared" si="98"/>
        <v>0</v>
      </c>
    </row>
    <row r="3162" spans="1:9" customFormat="1" x14ac:dyDescent="0.35">
      <c r="A3162" s="63">
        <f t="shared" si="99"/>
        <v>3161</v>
      </c>
      <c r="B3162" s="54" t="s">
        <v>7183</v>
      </c>
      <c r="C3162" s="55" t="s">
        <v>7184</v>
      </c>
      <c r="D3162" s="54" t="s">
        <v>6718</v>
      </c>
      <c r="E3162" s="56">
        <v>0</v>
      </c>
      <c r="F3162" s="57" t="s">
        <v>870</v>
      </c>
      <c r="G3162" s="58">
        <v>125000</v>
      </c>
      <c r="H3162" s="59">
        <v>125000</v>
      </c>
      <c r="I3162" s="59">
        <f t="shared" si="98"/>
        <v>0</v>
      </c>
    </row>
    <row r="3163" spans="1:9" customFormat="1" x14ac:dyDescent="0.35">
      <c r="A3163" s="63">
        <f t="shared" si="99"/>
        <v>3162</v>
      </c>
      <c r="B3163" s="54" t="s">
        <v>7185</v>
      </c>
      <c r="C3163" s="55" t="s">
        <v>7186</v>
      </c>
      <c r="D3163" s="54" t="s">
        <v>6718</v>
      </c>
      <c r="E3163" s="56">
        <v>0</v>
      </c>
      <c r="F3163" s="57" t="s">
        <v>6751</v>
      </c>
      <c r="G3163" s="58">
        <v>200000</v>
      </c>
      <c r="H3163" s="59">
        <v>270000</v>
      </c>
      <c r="I3163" s="59">
        <f t="shared" si="98"/>
        <v>0</v>
      </c>
    </row>
    <row r="3164" spans="1:9" customFormat="1" ht="23" x14ac:dyDescent="0.35">
      <c r="A3164" s="63">
        <f t="shared" si="99"/>
        <v>3163</v>
      </c>
      <c r="B3164" s="54" t="s">
        <v>7187</v>
      </c>
      <c r="C3164" s="55" t="s">
        <v>7188</v>
      </c>
      <c r="D3164" s="54" t="s">
        <v>6718</v>
      </c>
      <c r="E3164" s="56">
        <v>0</v>
      </c>
      <c r="F3164" s="57" t="s">
        <v>792</v>
      </c>
      <c r="G3164" s="58">
        <v>420000</v>
      </c>
      <c r="H3164" s="59">
        <v>420000</v>
      </c>
      <c r="I3164" s="59">
        <f t="shared" si="98"/>
        <v>0</v>
      </c>
    </row>
    <row r="3165" spans="1:9" customFormat="1" x14ac:dyDescent="0.35">
      <c r="A3165" s="63">
        <f t="shared" si="99"/>
        <v>3164</v>
      </c>
      <c r="B3165" s="54" t="s">
        <v>7189</v>
      </c>
      <c r="C3165" s="55" t="s">
        <v>7190</v>
      </c>
      <c r="D3165" s="54" t="s">
        <v>6718</v>
      </c>
      <c r="E3165" s="56">
        <v>0</v>
      </c>
      <c r="F3165" s="57" t="s">
        <v>6751</v>
      </c>
      <c r="G3165" s="58">
        <v>1375000</v>
      </c>
      <c r="H3165" s="59">
        <v>1900680</v>
      </c>
      <c r="I3165" s="59">
        <f t="shared" si="98"/>
        <v>0</v>
      </c>
    </row>
    <row r="3166" spans="1:9" customFormat="1" ht="23" x14ac:dyDescent="0.35">
      <c r="A3166" s="63">
        <f t="shared" si="99"/>
        <v>3165</v>
      </c>
      <c r="B3166" s="54" t="s">
        <v>7191</v>
      </c>
      <c r="C3166" s="55" t="s">
        <v>7192</v>
      </c>
      <c r="D3166" s="54" t="s">
        <v>6718</v>
      </c>
      <c r="E3166" s="56">
        <v>0</v>
      </c>
      <c r="F3166" s="57" t="s">
        <v>6751</v>
      </c>
      <c r="G3166" s="58">
        <v>90000</v>
      </c>
      <c r="H3166" s="59">
        <v>126000</v>
      </c>
      <c r="I3166" s="59">
        <f t="shared" si="98"/>
        <v>0</v>
      </c>
    </row>
    <row r="3167" spans="1:9" customFormat="1" ht="23" x14ac:dyDescent="0.35">
      <c r="A3167" s="63">
        <f t="shared" si="99"/>
        <v>3166</v>
      </c>
      <c r="B3167" s="54" t="s">
        <v>7193</v>
      </c>
      <c r="C3167" s="55" t="s">
        <v>7194</v>
      </c>
      <c r="D3167" s="54" t="s">
        <v>6718</v>
      </c>
      <c r="E3167" s="56">
        <v>0</v>
      </c>
      <c r="F3167" s="57" t="s">
        <v>6751</v>
      </c>
      <c r="G3167" s="58">
        <v>130000</v>
      </c>
      <c r="H3167" s="59">
        <v>182000</v>
      </c>
      <c r="I3167" s="59">
        <f t="shared" si="98"/>
        <v>0</v>
      </c>
    </row>
    <row r="3168" spans="1:9" customFormat="1" ht="23" x14ac:dyDescent="0.35">
      <c r="A3168" s="63">
        <f t="shared" si="99"/>
        <v>3167</v>
      </c>
      <c r="B3168" s="54" t="s">
        <v>7195</v>
      </c>
      <c r="C3168" s="55" t="s">
        <v>7196</v>
      </c>
      <c r="D3168" s="54" t="s">
        <v>6718</v>
      </c>
      <c r="E3168" s="56">
        <v>0</v>
      </c>
      <c r="F3168" s="57" t="s">
        <v>1217</v>
      </c>
      <c r="G3168" s="58">
        <v>73000</v>
      </c>
      <c r="H3168" s="59">
        <v>98550</v>
      </c>
      <c r="I3168" s="59">
        <f t="shared" si="98"/>
        <v>0</v>
      </c>
    </row>
    <row r="3169" spans="1:9" customFormat="1" x14ac:dyDescent="0.35">
      <c r="A3169" s="63">
        <f t="shared" si="99"/>
        <v>3168</v>
      </c>
      <c r="B3169" s="54" t="s">
        <v>7197</v>
      </c>
      <c r="C3169" s="55" t="s">
        <v>7198</v>
      </c>
      <c r="D3169" s="54" t="s">
        <v>6718</v>
      </c>
      <c r="E3169" s="56">
        <v>0</v>
      </c>
      <c r="F3169" s="57" t="s">
        <v>792</v>
      </c>
      <c r="G3169" s="58">
        <v>236000</v>
      </c>
      <c r="H3169" s="59">
        <v>236000</v>
      </c>
      <c r="I3169" s="59">
        <f t="shared" si="98"/>
        <v>0</v>
      </c>
    </row>
    <row r="3170" spans="1:9" customFormat="1" x14ac:dyDescent="0.35">
      <c r="A3170" s="63">
        <f t="shared" si="99"/>
        <v>3169</v>
      </c>
      <c r="B3170" s="54" t="s">
        <v>7199</v>
      </c>
      <c r="C3170" s="55" t="s">
        <v>7200</v>
      </c>
      <c r="D3170" s="54" t="s">
        <v>6718</v>
      </c>
      <c r="E3170" s="56">
        <v>0</v>
      </c>
      <c r="F3170" s="57" t="s">
        <v>1217</v>
      </c>
      <c r="G3170" s="58">
        <v>0</v>
      </c>
      <c r="H3170" s="59">
        <v>373100</v>
      </c>
      <c r="I3170" s="59">
        <f t="shared" si="98"/>
        <v>0</v>
      </c>
    </row>
    <row r="3171" spans="1:9" customFormat="1" x14ac:dyDescent="0.35">
      <c r="A3171" s="63">
        <f t="shared" si="99"/>
        <v>3170</v>
      </c>
      <c r="B3171" s="54" t="s">
        <v>7201</v>
      </c>
      <c r="C3171" s="55" t="s">
        <v>7202</v>
      </c>
      <c r="D3171" s="54" t="s">
        <v>6718</v>
      </c>
      <c r="E3171" s="56">
        <v>0</v>
      </c>
      <c r="F3171" s="57" t="s">
        <v>1217</v>
      </c>
      <c r="G3171" s="58">
        <v>750000</v>
      </c>
      <c r="H3171" s="59">
        <v>750000</v>
      </c>
      <c r="I3171" s="59">
        <f t="shared" si="98"/>
        <v>0</v>
      </c>
    </row>
    <row r="3172" spans="1:9" customFormat="1" x14ac:dyDescent="0.35">
      <c r="A3172" s="63">
        <f t="shared" si="99"/>
        <v>3171</v>
      </c>
      <c r="B3172" s="54" t="s">
        <v>7203</v>
      </c>
      <c r="C3172" s="55" t="s">
        <v>7204</v>
      </c>
      <c r="D3172" s="54" t="s">
        <v>6718</v>
      </c>
      <c r="E3172" s="56">
        <v>0</v>
      </c>
      <c r="F3172" s="57" t="s">
        <v>1217</v>
      </c>
      <c r="G3172" s="58">
        <v>1350000</v>
      </c>
      <c r="H3172" s="59">
        <v>1350000</v>
      </c>
      <c r="I3172" s="59">
        <f t="shared" si="98"/>
        <v>0</v>
      </c>
    </row>
    <row r="3173" spans="1:9" customFormat="1" ht="23" x14ac:dyDescent="0.35">
      <c r="A3173" s="63">
        <f t="shared" si="99"/>
        <v>3172</v>
      </c>
      <c r="B3173" s="54" t="s">
        <v>7205</v>
      </c>
      <c r="C3173" s="55" t="s">
        <v>7206</v>
      </c>
      <c r="D3173" s="54" t="s">
        <v>6718</v>
      </c>
      <c r="E3173" s="56">
        <v>0</v>
      </c>
      <c r="F3173" s="57" t="s">
        <v>792</v>
      </c>
      <c r="G3173" s="58">
        <v>133027</v>
      </c>
      <c r="H3173" s="59">
        <v>180360</v>
      </c>
      <c r="I3173" s="59">
        <f t="shared" si="98"/>
        <v>0</v>
      </c>
    </row>
    <row r="3174" spans="1:9" customFormat="1" x14ac:dyDescent="0.35">
      <c r="A3174" s="63">
        <f t="shared" si="99"/>
        <v>3173</v>
      </c>
      <c r="B3174" s="54" t="s">
        <v>7207</v>
      </c>
      <c r="C3174" s="55" t="s">
        <v>7208</v>
      </c>
      <c r="D3174" s="54" t="s">
        <v>6718</v>
      </c>
      <c r="E3174" s="56">
        <v>0</v>
      </c>
      <c r="F3174" s="57" t="s">
        <v>792</v>
      </c>
      <c r="G3174" s="58">
        <v>65000</v>
      </c>
      <c r="H3174" s="59">
        <v>87750</v>
      </c>
      <c r="I3174" s="59">
        <f t="shared" si="98"/>
        <v>0</v>
      </c>
    </row>
    <row r="3175" spans="1:9" customFormat="1" x14ac:dyDescent="0.35">
      <c r="A3175" s="63">
        <f t="shared" si="99"/>
        <v>3174</v>
      </c>
      <c r="B3175" s="54" t="s">
        <v>7209</v>
      </c>
      <c r="C3175" s="55" t="s">
        <v>7210</v>
      </c>
      <c r="D3175" s="54" t="s">
        <v>6718</v>
      </c>
      <c r="E3175" s="56">
        <v>0</v>
      </c>
      <c r="F3175" s="57" t="s">
        <v>878</v>
      </c>
      <c r="G3175" s="58">
        <v>95600</v>
      </c>
      <c r="H3175" s="59">
        <v>132540</v>
      </c>
      <c r="I3175" s="59">
        <f t="shared" si="98"/>
        <v>0</v>
      </c>
    </row>
    <row r="3176" spans="1:9" customFormat="1" ht="23" x14ac:dyDescent="0.35">
      <c r="A3176" s="63">
        <f t="shared" si="99"/>
        <v>3175</v>
      </c>
      <c r="B3176" s="54" t="s">
        <v>7211</v>
      </c>
      <c r="C3176" s="55" t="s">
        <v>7212</v>
      </c>
      <c r="D3176" s="54" t="s">
        <v>6718</v>
      </c>
      <c r="E3176" s="56">
        <v>0</v>
      </c>
      <c r="F3176" s="57" t="s">
        <v>6751</v>
      </c>
      <c r="G3176" s="58">
        <v>165000</v>
      </c>
      <c r="H3176" s="59">
        <v>218700</v>
      </c>
      <c r="I3176" s="59">
        <f t="shared" si="98"/>
        <v>0</v>
      </c>
    </row>
    <row r="3177" spans="1:9" customFormat="1" x14ac:dyDescent="0.35">
      <c r="A3177" s="63">
        <f t="shared" si="99"/>
        <v>3176</v>
      </c>
      <c r="B3177" s="54" t="s">
        <v>7213</v>
      </c>
      <c r="C3177" s="55" t="s">
        <v>7214</v>
      </c>
      <c r="D3177" s="54" t="s">
        <v>6718</v>
      </c>
      <c r="E3177" s="56">
        <v>0</v>
      </c>
      <c r="F3177" s="57" t="s">
        <v>6751</v>
      </c>
      <c r="G3177" s="58">
        <v>404500</v>
      </c>
      <c r="H3177" s="59">
        <v>546075</v>
      </c>
      <c r="I3177" s="59">
        <f t="shared" si="98"/>
        <v>0</v>
      </c>
    </row>
    <row r="3178" spans="1:9" customFormat="1" x14ac:dyDescent="0.35">
      <c r="A3178" s="63">
        <f t="shared" si="99"/>
        <v>3177</v>
      </c>
      <c r="B3178" s="54" t="s">
        <v>7215</v>
      </c>
      <c r="C3178" s="55" t="s">
        <v>7216</v>
      </c>
      <c r="D3178" s="54" t="s">
        <v>6718</v>
      </c>
      <c r="E3178" s="56">
        <v>0</v>
      </c>
      <c r="F3178" s="57" t="s">
        <v>6751</v>
      </c>
      <c r="G3178" s="58">
        <v>304000</v>
      </c>
      <c r="H3178" s="59">
        <v>410400</v>
      </c>
      <c r="I3178" s="59">
        <f t="shared" si="98"/>
        <v>0</v>
      </c>
    </row>
    <row r="3179" spans="1:9" customFormat="1" x14ac:dyDescent="0.35">
      <c r="A3179" s="63">
        <f t="shared" si="99"/>
        <v>3178</v>
      </c>
      <c r="B3179" s="54" t="s">
        <v>7217</v>
      </c>
      <c r="C3179" s="55" t="s">
        <v>7218</v>
      </c>
      <c r="D3179" s="54" t="s">
        <v>7219</v>
      </c>
      <c r="E3179" s="56">
        <v>0</v>
      </c>
      <c r="F3179" s="57" t="s">
        <v>1087</v>
      </c>
      <c r="G3179" s="58">
        <v>95000</v>
      </c>
      <c r="H3179" s="59">
        <v>129000</v>
      </c>
      <c r="I3179" s="59">
        <f t="shared" si="98"/>
        <v>0</v>
      </c>
    </row>
    <row r="3180" spans="1:9" customFormat="1" x14ac:dyDescent="0.35">
      <c r="A3180" s="63">
        <f t="shared" si="99"/>
        <v>3179</v>
      </c>
      <c r="B3180" s="54" t="s">
        <v>7220</v>
      </c>
      <c r="C3180" s="55" t="s">
        <v>7221</v>
      </c>
      <c r="D3180" s="54" t="s">
        <v>7219</v>
      </c>
      <c r="E3180" s="56">
        <v>0</v>
      </c>
      <c r="F3180" s="57" t="s">
        <v>6751</v>
      </c>
      <c r="G3180" s="58">
        <v>0</v>
      </c>
      <c r="H3180" s="59">
        <v>24715000</v>
      </c>
      <c r="I3180" s="59">
        <f t="shared" si="98"/>
        <v>0</v>
      </c>
    </row>
    <row r="3181" spans="1:9" customFormat="1" x14ac:dyDescent="0.35">
      <c r="A3181" s="63">
        <f t="shared" si="99"/>
        <v>3180</v>
      </c>
      <c r="B3181" s="54" t="s">
        <v>7222</v>
      </c>
      <c r="C3181" s="55" t="s">
        <v>7223</v>
      </c>
      <c r="D3181" s="54" t="s">
        <v>7219</v>
      </c>
      <c r="E3181" s="56">
        <v>0</v>
      </c>
      <c r="F3181" s="57" t="s">
        <v>6751</v>
      </c>
      <c r="G3181" s="58">
        <v>1100000</v>
      </c>
      <c r="H3181" s="59">
        <v>1386000</v>
      </c>
      <c r="I3181" s="59">
        <f t="shared" si="98"/>
        <v>0</v>
      </c>
    </row>
    <row r="3182" spans="1:9" customFormat="1" x14ac:dyDescent="0.35">
      <c r="A3182" s="63">
        <f t="shared" si="99"/>
        <v>3181</v>
      </c>
      <c r="B3182" s="54" t="s">
        <v>7224</v>
      </c>
      <c r="C3182" s="55" t="s">
        <v>7225</v>
      </c>
      <c r="D3182" s="54" t="s">
        <v>7219</v>
      </c>
      <c r="E3182" s="56">
        <v>0</v>
      </c>
      <c r="F3182" s="57" t="s">
        <v>6996</v>
      </c>
      <c r="G3182" s="58">
        <v>0</v>
      </c>
      <c r="H3182" s="59">
        <v>8500000</v>
      </c>
      <c r="I3182" s="59">
        <f t="shared" si="98"/>
        <v>0</v>
      </c>
    </row>
    <row r="3183" spans="1:9" customFormat="1" ht="23" x14ac:dyDescent="0.35">
      <c r="A3183" s="63">
        <f t="shared" si="99"/>
        <v>3182</v>
      </c>
      <c r="B3183" s="54" t="s">
        <v>7226</v>
      </c>
      <c r="C3183" s="55" t="s">
        <v>7227</v>
      </c>
      <c r="D3183" s="54" t="s">
        <v>7219</v>
      </c>
      <c r="E3183" s="56">
        <v>0</v>
      </c>
      <c r="F3183" s="57" t="s">
        <v>6751</v>
      </c>
      <c r="G3183" s="58">
        <v>350000</v>
      </c>
      <c r="H3183" s="59">
        <v>490000</v>
      </c>
      <c r="I3183" s="59">
        <f t="shared" si="98"/>
        <v>0</v>
      </c>
    </row>
    <row r="3184" spans="1:9" customFormat="1" ht="23" x14ac:dyDescent="0.35">
      <c r="A3184" s="63">
        <f t="shared" si="99"/>
        <v>3183</v>
      </c>
      <c r="B3184" s="54" t="s">
        <v>7228</v>
      </c>
      <c r="C3184" s="55" t="s">
        <v>7229</v>
      </c>
      <c r="D3184" s="54" t="s">
        <v>7219</v>
      </c>
      <c r="E3184" s="56">
        <v>0</v>
      </c>
      <c r="F3184" s="57" t="s">
        <v>6751</v>
      </c>
      <c r="G3184" s="58">
        <v>4250000</v>
      </c>
      <c r="H3184" s="59">
        <v>6247500</v>
      </c>
      <c r="I3184" s="59">
        <f t="shared" si="98"/>
        <v>0</v>
      </c>
    </row>
    <row r="3185" spans="1:9" customFormat="1" x14ac:dyDescent="0.35">
      <c r="A3185" s="63">
        <f t="shared" si="99"/>
        <v>3184</v>
      </c>
      <c r="B3185" s="54" t="s">
        <v>7230</v>
      </c>
      <c r="C3185" s="55" t="s">
        <v>7231</v>
      </c>
      <c r="D3185" s="54" t="s">
        <v>7219</v>
      </c>
      <c r="E3185" s="56">
        <v>0</v>
      </c>
      <c r="F3185" s="57" t="s">
        <v>6751</v>
      </c>
      <c r="G3185" s="58">
        <v>809009</v>
      </c>
      <c r="H3185" s="59">
        <v>1195100</v>
      </c>
      <c r="I3185" s="59">
        <f t="shared" si="98"/>
        <v>0</v>
      </c>
    </row>
    <row r="3186" spans="1:9" customFormat="1" ht="23" x14ac:dyDescent="0.35">
      <c r="A3186" s="63">
        <f t="shared" si="99"/>
        <v>3185</v>
      </c>
      <c r="B3186" s="54" t="s">
        <v>7232</v>
      </c>
      <c r="C3186" s="55" t="s">
        <v>7233</v>
      </c>
      <c r="D3186" s="54" t="s">
        <v>7219</v>
      </c>
      <c r="E3186" s="56">
        <v>0</v>
      </c>
      <c r="F3186" s="57" t="s">
        <v>6751</v>
      </c>
      <c r="G3186" s="58">
        <v>630000</v>
      </c>
      <c r="H3186" s="59">
        <v>793359</v>
      </c>
      <c r="I3186" s="59">
        <f t="shared" si="98"/>
        <v>0</v>
      </c>
    </row>
    <row r="3187" spans="1:9" customFormat="1" ht="23" x14ac:dyDescent="0.35">
      <c r="A3187" s="63">
        <f t="shared" si="99"/>
        <v>3186</v>
      </c>
      <c r="B3187" s="54" t="s">
        <v>7234</v>
      </c>
      <c r="C3187" s="55" t="s">
        <v>7235</v>
      </c>
      <c r="D3187" s="54" t="s">
        <v>7219</v>
      </c>
      <c r="E3187" s="56">
        <v>0</v>
      </c>
      <c r="F3187" s="57" t="s">
        <v>6751</v>
      </c>
      <c r="G3187" s="58">
        <v>630000</v>
      </c>
      <c r="H3187" s="59">
        <v>882000</v>
      </c>
      <c r="I3187" s="59">
        <f t="shared" si="98"/>
        <v>0</v>
      </c>
    </row>
    <row r="3188" spans="1:9" customFormat="1" x14ac:dyDescent="0.35">
      <c r="A3188" s="63">
        <f t="shared" si="99"/>
        <v>3187</v>
      </c>
      <c r="B3188" s="54" t="s">
        <v>7236</v>
      </c>
      <c r="C3188" s="55" t="s">
        <v>7237</v>
      </c>
      <c r="D3188" s="54" t="s">
        <v>7219</v>
      </c>
      <c r="E3188" s="56">
        <v>0</v>
      </c>
      <c r="F3188" s="57" t="s">
        <v>6751</v>
      </c>
      <c r="G3188" s="58">
        <v>17000</v>
      </c>
      <c r="H3188" s="59">
        <v>23000</v>
      </c>
      <c r="I3188" s="59">
        <f t="shared" si="98"/>
        <v>0</v>
      </c>
    </row>
    <row r="3189" spans="1:9" customFormat="1" x14ac:dyDescent="0.35">
      <c r="A3189" s="63">
        <f t="shared" si="99"/>
        <v>3188</v>
      </c>
      <c r="B3189" s="54" t="s">
        <v>7238</v>
      </c>
      <c r="C3189" s="55" t="s">
        <v>7239</v>
      </c>
      <c r="D3189" s="54" t="s">
        <v>7219</v>
      </c>
      <c r="E3189" s="56">
        <v>0</v>
      </c>
      <c r="F3189" s="57" t="s">
        <v>6751</v>
      </c>
      <c r="G3189" s="58">
        <v>156950</v>
      </c>
      <c r="H3189" s="59">
        <v>231000</v>
      </c>
      <c r="I3189" s="59">
        <f t="shared" si="98"/>
        <v>0</v>
      </c>
    </row>
    <row r="3190" spans="1:9" customFormat="1" x14ac:dyDescent="0.35">
      <c r="A3190" s="63">
        <f t="shared" si="99"/>
        <v>3189</v>
      </c>
      <c r="B3190" s="54" t="s">
        <v>7240</v>
      </c>
      <c r="C3190" s="55" t="s">
        <v>7241</v>
      </c>
      <c r="D3190" s="54" t="s">
        <v>7219</v>
      </c>
      <c r="E3190" s="56">
        <v>0</v>
      </c>
      <c r="F3190" s="57" t="s">
        <v>6751</v>
      </c>
      <c r="G3190" s="58">
        <v>26625</v>
      </c>
      <c r="H3190" s="59">
        <v>39139</v>
      </c>
      <c r="I3190" s="59">
        <f t="shared" si="98"/>
        <v>0</v>
      </c>
    </row>
    <row r="3191" spans="1:9" customFormat="1" x14ac:dyDescent="0.35">
      <c r="A3191" s="63">
        <f t="shared" si="99"/>
        <v>3190</v>
      </c>
      <c r="B3191" s="54" t="s">
        <v>7242</v>
      </c>
      <c r="C3191" s="55" t="s">
        <v>7243</v>
      </c>
      <c r="D3191" s="54" t="s">
        <v>7219</v>
      </c>
      <c r="E3191" s="56">
        <v>0</v>
      </c>
      <c r="F3191" s="57" t="s">
        <v>6751</v>
      </c>
      <c r="G3191" s="58">
        <v>24762</v>
      </c>
      <c r="H3191" s="59">
        <v>36500</v>
      </c>
      <c r="I3191" s="59">
        <f t="shared" si="98"/>
        <v>0</v>
      </c>
    </row>
    <row r="3192" spans="1:9" customFormat="1" x14ac:dyDescent="0.35">
      <c r="A3192" s="63">
        <f t="shared" si="99"/>
        <v>3191</v>
      </c>
      <c r="B3192" s="54" t="s">
        <v>7244</v>
      </c>
      <c r="C3192" s="55" t="s">
        <v>7245</v>
      </c>
      <c r="D3192" s="54" t="s">
        <v>7219</v>
      </c>
      <c r="E3192" s="56">
        <v>0</v>
      </c>
      <c r="F3192" s="57" t="s">
        <v>6751</v>
      </c>
      <c r="G3192" s="58">
        <v>45000</v>
      </c>
      <c r="H3192" s="59">
        <v>84000</v>
      </c>
      <c r="I3192" s="59">
        <f t="shared" si="98"/>
        <v>0</v>
      </c>
    </row>
    <row r="3193" spans="1:9" customFormat="1" x14ac:dyDescent="0.35">
      <c r="A3193" s="63">
        <f t="shared" si="99"/>
        <v>3192</v>
      </c>
      <c r="B3193" s="54" t="s">
        <v>7246</v>
      </c>
      <c r="C3193" s="55" t="s">
        <v>7247</v>
      </c>
      <c r="D3193" s="54" t="s">
        <v>7219</v>
      </c>
      <c r="E3193" s="56">
        <v>0</v>
      </c>
      <c r="F3193" s="57" t="s">
        <v>878</v>
      </c>
      <c r="G3193" s="58">
        <v>0</v>
      </c>
      <c r="H3193" s="59">
        <v>760000</v>
      </c>
      <c r="I3193" s="59">
        <f t="shared" si="98"/>
        <v>0</v>
      </c>
    </row>
    <row r="3194" spans="1:9" customFormat="1" x14ac:dyDescent="0.35">
      <c r="A3194" s="63">
        <f t="shared" si="99"/>
        <v>3193</v>
      </c>
      <c r="B3194" s="54" t="s">
        <v>7248</v>
      </c>
      <c r="C3194" s="55" t="s">
        <v>7249</v>
      </c>
      <c r="D3194" s="54" t="s">
        <v>7219</v>
      </c>
      <c r="E3194" s="56">
        <v>0</v>
      </c>
      <c r="F3194" s="57" t="s">
        <v>6751</v>
      </c>
      <c r="G3194" s="58">
        <v>84360</v>
      </c>
      <c r="H3194" s="59">
        <v>109147</v>
      </c>
      <c r="I3194" s="59">
        <f t="shared" si="98"/>
        <v>0</v>
      </c>
    </row>
    <row r="3195" spans="1:9" customFormat="1" ht="23" x14ac:dyDescent="0.35">
      <c r="A3195" s="63">
        <f t="shared" si="99"/>
        <v>3194</v>
      </c>
      <c r="B3195" s="54" t="s">
        <v>7250</v>
      </c>
      <c r="C3195" s="55" t="s">
        <v>7251</v>
      </c>
      <c r="D3195" s="54" t="s">
        <v>7219</v>
      </c>
      <c r="E3195" s="56">
        <v>0</v>
      </c>
      <c r="F3195" s="57" t="s">
        <v>6751</v>
      </c>
      <c r="G3195" s="58">
        <v>725000</v>
      </c>
      <c r="H3195" s="59">
        <v>1015000</v>
      </c>
      <c r="I3195" s="59">
        <f t="shared" si="98"/>
        <v>0</v>
      </c>
    </row>
    <row r="3196" spans="1:9" customFormat="1" ht="23" x14ac:dyDescent="0.35">
      <c r="A3196" s="63">
        <f t="shared" si="99"/>
        <v>3195</v>
      </c>
      <c r="B3196" s="54" t="s">
        <v>7252</v>
      </c>
      <c r="C3196" s="55" t="s">
        <v>7253</v>
      </c>
      <c r="D3196" s="54" t="s">
        <v>7219</v>
      </c>
      <c r="E3196" s="56">
        <v>0</v>
      </c>
      <c r="F3196" s="57" t="s">
        <v>6751</v>
      </c>
      <c r="G3196" s="58">
        <v>725000</v>
      </c>
      <c r="H3196" s="59">
        <v>1015000</v>
      </c>
      <c r="I3196" s="59">
        <f t="shared" si="98"/>
        <v>0</v>
      </c>
    </row>
    <row r="3197" spans="1:9" customFormat="1" x14ac:dyDescent="0.35">
      <c r="A3197" s="63">
        <f t="shared" si="99"/>
        <v>3196</v>
      </c>
      <c r="B3197" s="54" t="s">
        <v>7254</v>
      </c>
      <c r="C3197" s="55" t="s">
        <v>7255</v>
      </c>
      <c r="D3197" s="54" t="s">
        <v>7219</v>
      </c>
      <c r="E3197" s="56">
        <v>0</v>
      </c>
      <c r="F3197" s="57" t="s">
        <v>6751</v>
      </c>
      <c r="G3197" s="58">
        <v>78810</v>
      </c>
      <c r="H3197" s="59">
        <v>101950</v>
      </c>
      <c r="I3197" s="59">
        <f t="shared" si="98"/>
        <v>0</v>
      </c>
    </row>
    <row r="3198" spans="1:9" customFormat="1" x14ac:dyDescent="0.35">
      <c r="A3198" s="63">
        <f t="shared" si="99"/>
        <v>3197</v>
      </c>
      <c r="B3198" s="54" t="s">
        <v>7256</v>
      </c>
      <c r="C3198" s="55" t="s">
        <v>7257</v>
      </c>
      <c r="D3198" s="54" t="s">
        <v>7219</v>
      </c>
      <c r="E3198" s="56">
        <v>0</v>
      </c>
      <c r="F3198" s="57" t="s">
        <v>6751</v>
      </c>
      <c r="G3198" s="58">
        <v>4323000</v>
      </c>
      <c r="H3198" s="59">
        <v>6192425</v>
      </c>
      <c r="I3198" s="59">
        <f t="shared" si="98"/>
        <v>0</v>
      </c>
    </row>
    <row r="3199" spans="1:9" customFormat="1" x14ac:dyDescent="0.35">
      <c r="A3199" s="63">
        <f t="shared" si="99"/>
        <v>3198</v>
      </c>
      <c r="B3199" s="54" t="s">
        <v>7258</v>
      </c>
      <c r="C3199" s="55" t="s">
        <v>7259</v>
      </c>
      <c r="D3199" s="54" t="s">
        <v>7219</v>
      </c>
      <c r="E3199" s="56">
        <v>0</v>
      </c>
      <c r="F3199" s="57" t="s">
        <v>6751</v>
      </c>
      <c r="G3199" s="58">
        <v>0</v>
      </c>
      <c r="H3199" s="59">
        <v>210000</v>
      </c>
      <c r="I3199" s="59">
        <f t="shared" si="98"/>
        <v>0</v>
      </c>
    </row>
    <row r="3200" spans="1:9" customFormat="1" x14ac:dyDescent="0.35">
      <c r="A3200" s="63">
        <f t="shared" si="99"/>
        <v>3199</v>
      </c>
      <c r="B3200" s="54" t="s">
        <v>7260</v>
      </c>
      <c r="C3200" s="55" t="s">
        <v>7261</v>
      </c>
      <c r="D3200" s="54" t="s">
        <v>7219</v>
      </c>
      <c r="E3200" s="56">
        <v>0</v>
      </c>
      <c r="F3200" s="57" t="s">
        <v>6751</v>
      </c>
      <c r="G3200" s="58">
        <v>160000</v>
      </c>
      <c r="H3200" s="59">
        <v>236000</v>
      </c>
      <c r="I3200" s="59">
        <f t="shared" si="98"/>
        <v>0</v>
      </c>
    </row>
    <row r="3201" spans="1:9" customFormat="1" ht="23" x14ac:dyDescent="0.35">
      <c r="A3201" s="63">
        <f t="shared" si="99"/>
        <v>3200</v>
      </c>
      <c r="B3201" s="54" t="s">
        <v>7262</v>
      </c>
      <c r="C3201" s="55" t="s">
        <v>7263</v>
      </c>
      <c r="D3201" s="54" t="s">
        <v>7219</v>
      </c>
      <c r="E3201" s="56">
        <v>0</v>
      </c>
      <c r="F3201" s="57" t="s">
        <v>6751</v>
      </c>
      <c r="G3201" s="58">
        <v>2500</v>
      </c>
      <c r="H3201" s="59">
        <v>3375</v>
      </c>
      <c r="I3201" s="59">
        <f t="shared" si="98"/>
        <v>0</v>
      </c>
    </row>
    <row r="3202" spans="1:9" customFormat="1" ht="23" x14ac:dyDescent="0.35">
      <c r="A3202" s="63">
        <f t="shared" si="99"/>
        <v>3201</v>
      </c>
      <c r="B3202" s="54" t="s">
        <v>7264</v>
      </c>
      <c r="C3202" s="55" t="s">
        <v>7265</v>
      </c>
      <c r="D3202" s="54" t="s">
        <v>7219</v>
      </c>
      <c r="E3202" s="56">
        <v>0</v>
      </c>
      <c r="F3202" s="57" t="s">
        <v>6751</v>
      </c>
      <c r="G3202" s="58">
        <v>62100</v>
      </c>
      <c r="H3202" s="59">
        <v>87000</v>
      </c>
      <c r="I3202" s="59">
        <f t="shared" si="98"/>
        <v>0</v>
      </c>
    </row>
    <row r="3203" spans="1:9" customFormat="1" x14ac:dyDescent="0.35">
      <c r="A3203" s="63">
        <f t="shared" si="99"/>
        <v>3202</v>
      </c>
      <c r="B3203" s="54" t="s">
        <v>7266</v>
      </c>
      <c r="C3203" s="55" t="s">
        <v>7267</v>
      </c>
      <c r="D3203" s="54" t="s">
        <v>7219</v>
      </c>
      <c r="E3203" s="56">
        <v>0</v>
      </c>
      <c r="F3203" s="57" t="s">
        <v>1563</v>
      </c>
      <c r="G3203" s="58">
        <v>930000</v>
      </c>
      <c r="H3203" s="59">
        <v>1320000</v>
      </c>
      <c r="I3203" s="59">
        <f t="shared" ref="I3203:I3266" si="100">H3203*E3203</f>
        <v>0</v>
      </c>
    </row>
    <row r="3204" spans="1:9" customFormat="1" x14ac:dyDescent="0.35">
      <c r="A3204" s="63">
        <f t="shared" ref="A3204:A3267" si="101">A3203+1</f>
        <v>3203</v>
      </c>
      <c r="B3204" s="54" t="s">
        <v>7268</v>
      </c>
      <c r="C3204" s="55" t="s">
        <v>7269</v>
      </c>
      <c r="D3204" s="54" t="s">
        <v>7219</v>
      </c>
      <c r="E3204" s="56">
        <v>0</v>
      </c>
      <c r="F3204" s="57" t="s">
        <v>6751</v>
      </c>
      <c r="G3204" s="58">
        <v>38000</v>
      </c>
      <c r="H3204" s="59">
        <v>6100</v>
      </c>
      <c r="I3204" s="59">
        <f t="shared" si="100"/>
        <v>0</v>
      </c>
    </row>
    <row r="3205" spans="1:9" customFormat="1" x14ac:dyDescent="0.35">
      <c r="A3205" s="63">
        <f t="shared" si="101"/>
        <v>3204</v>
      </c>
      <c r="B3205" s="54" t="s">
        <v>7270</v>
      </c>
      <c r="C3205" s="55" t="s">
        <v>7271</v>
      </c>
      <c r="D3205" s="54" t="s">
        <v>7219</v>
      </c>
      <c r="E3205" s="56">
        <v>0</v>
      </c>
      <c r="F3205" s="57" t="s">
        <v>6751</v>
      </c>
      <c r="G3205" s="58">
        <v>271250</v>
      </c>
      <c r="H3205" s="59">
        <v>347700</v>
      </c>
      <c r="I3205" s="59">
        <f t="shared" si="100"/>
        <v>0</v>
      </c>
    </row>
    <row r="3206" spans="1:9" customFormat="1" x14ac:dyDescent="0.35">
      <c r="A3206" s="63">
        <f t="shared" si="101"/>
        <v>3205</v>
      </c>
      <c r="B3206" s="54" t="s">
        <v>7272</v>
      </c>
      <c r="C3206" s="55" t="s">
        <v>7273</v>
      </c>
      <c r="D3206" s="54" t="s">
        <v>7219</v>
      </c>
      <c r="E3206" s="56">
        <v>0</v>
      </c>
      <c r="F3206" s="57" t="s">
        <v>6751</v>
      </c>
      <c r="G3206" s="58">
        <v>3800</v>
      </c>
      <c r="H3206" s="59">
        <v>6175</v>
      </c>
      <c r="I3206" s="59">
        <f t="shared" si="100"/>
        <v>0</v>
      </c>
    </row>
    <row r="3207" spans="1:9" customFormat="1" x14ac:dyDescent="0.35">
      <c r="A3207" s="63">
        <f t="shared" si="101"/>
        <v>3206</v>
      </c>
      <c r="B3207" s="54" t="s">
        <v>7274</v>
      </c>
      <c r="C3207" s="55" t="s">
        <v>7275</v>
      </c>
      <c r="D3207" s="54" t="s">
        <v>7219</v>
      </c>
      <c r="E3207" s="56">
        <v>0</v>
      </c>
      <c r="F3207" s="57" t="s">
        <v>6751</v>
      </c>
      <c r="G3207" s="58">
        <v>1024</v>
      </c>
      <c r="H3207" s="59">
        <v>1800</v>
      </c>
      <c r="I3207" s="59">
        <f t="shared" si="100"/>
        <v>0</v>
      </c>
    </row>
    <row r="3208" spans="1:9" customFormat="1" x14ac:dyDescent="0.35">
      <c r="A3208" s="63">
        <f t="shared" si="101"/>
        <v>3207</v>
      </c>
      <c r="B3208" s="54" t="s">
        <v>7276</v>
      </c>
      <c r="C3208" s="55" t="s">
        <v>7277</v>
      </c>
      <c r="D3208" s="54" t="s">
        <v>7219</v>
      </c>
      <c r="E3208" s="56">
        <v>0</v>
      </c>
      <c r="F3208" s="57" t="s">
        <v>6751</v>
      </c>
      <c r="G3208" s="58">
        <v>750</v>
      </c>
      <c r="H3208" s="59">
        <v>1211.25</v>
      </c>
      <c r="I3208" s="59">
        <f t="shared" si="100"/>
        <v>0</v>
      </c>
    </row>
    <row r="3209" spans="1:9" customFormat="1" x14ac:dyDescent="0.35">
      <c r="A3209" s="63">
        <f t="shared" si="101"/>
        <v>3208</v>
      </c>
      <c r="B3209" s="54" t="s">
        <v>7278</v>
      </c>
      <c r="C3209" s="55" t="s">
        <v>7279</v>
      </c>
      <c r="D3209" s="54" t="s">
        <v>7219</v>
      </c>
      <c r="E3209" s="56">
        <v>0</v>
      </c>
      <c r="F3209" s="57" t="s">
        <v>6751</v>
      </c>
      <c r="G3209" s="58">
        <v>5500</v>
      </c>
      <c r="H3209" s="59">
        <v>9000</v>
      </c>
      <c r="I3209" s="59">
        <f t="shared" si="100"/>
        <v>0</v>
      </c>
    </row>
    <row r="3210" spans="1:9" customFormat="1" x14ac:dyDescent="0.35">
      <c r="A3210" s="63">
        <f t="shared" si="101"/>
        <v>3209</v>
      </c>
      <c r="B3210" s="54" t="s">
        <v>7280</v>
      </c>
      <c r="C3210" s="55" t="s">
        <v>7281</v>
      </c>
      <c r="D3210" s="54" t="s">
        <v>7219</v>
      </c>
      <c r="E3210" s="56">
        <v>0</v>
      </c>
      <c r="F3210" s="57" t="s">
        <v>6751</v>
      </c>
      <c r="G3210" s="58">
        <v>34000</v>
      </c>
      <c r="H3210" s="59">
        <v>50000</v>
      </c>
      <c r="I3210" s="59">
        <f t="shared" si="100"/>
        <v>0</v>
      </c>
    </row>
    <row r="3211" spans="1:9" customFormat="1" x14ac:dyDescent="0.35">
      <c r="A3211" s="63">
        <f t="shared" si="101"/>
        <v>3210</v>
      </c>
      <c r="B3211" s="54" t="s">
        <v>7282</v>
      </c>
      <c r="C3211" s="55" t="s">
        <v>7283</v>
      </c>
      <c r="D3211" s="54" t="s">
        <v>7219</v>
      </c>
      <c r="E3211" s="56">
        <v>0</v>
      </c>
      <c r="F3211" s="57" t="s">
        <v>6751</v>
      </c>
      <c r="G3211" s="58">
        <v>25000</v>
      </c>
      <c r="H3211" s="59">
        <v>35000</v>
      </c>
      <c r="I3211" s="59">
        <f t="shared" si="100"/>
        <v>0</v>
      </c>
    </row>
    <row r="3212" spans="1:9" customFormat="1" x14ac:dyDescent="0.35">
      <c r="A3212" s="63">
        <f t="shared" si="101"/>
        <v>3211</v>
      </c>
      <c r="B3212" s="54" t="s">
        <v>7284</v>
      </c>
      <c r="C3212" s="55" t="s">
        <v>7285</v>
      </c>
      <c r="D3212" s="54" t="s">
        <v>7219</v>
      </c>
      <c r="E3212" s="56">
        <v>0</v>
      </c>
      <c r="F3212" s="57" t="s">
        <v>6751</v>
      </c>
      <c r="G3212" s="58">
        <v>1765010</v>
      </c>
      <c r="H3212" s="59">
        <v>3350000</v>
      </c>
      <c r="I3212" s="59">
        <f t="shared" si="100"/>
        <v>0</v>
      </c>
    </row>
    <row r="3213" spans="1:9" customFormat="1" x14ac:dyDescent="0.35">
      <c r="A3213" s="63">
        <f t="shared" si="101"/>
        <v>3212</v>
      </c>
      <c r="B3213" s="54" t="s">
        <v>7286</v>
      </c>
      <c r="C3213" s="55" t="s">
        <v>7287</v>
      </c>
      <c r="D3213" s="54" t="s">
        <v>7219</v>
      </c>
      <c r="E3213" s="56">
        <v>0</v>
      </c>
      <c r="F3213" s="57" t="s">
        <v>878</v>
      </c>
      <c r="G3213" s="58">
        <v>0</v>
      </c>
      <c r="H3213" s="59">
        <v>1500000</v>
      </c>
      <c r="I3213" s="59">
        <f t="shared" si="100"/>
        <v>0</v>
      </c>
    </row>
    <row r="3214" spans="1:9" customFormat="1" x14ac:dyDescent="0.35">
      <c r="A3214" s="63">
        <f t="shared" si="101"/>
        <v>3213</v>
      </c>
      <c r="B3214" s="54" t="s">
        <v>7288</v>
      </c>
      <c r="C3214" s="55" t="s">
        <v>7289</v>
      </c>
      <c r="D3214" s="54" t="s">
        <v>7219</v>
      </c>
      <c r="E3214" s="56">
        <v>0</v>
      </c>
      <c r="F3214" s="57" t="s">
        <v>6751</v>
      </c>
      <c r="G3214" s="58">
        <v>166500</v>
      </c>
      <c r="H3214" s="59">
        <v>245000</v>
      </c>
      <c r="I3214" s="59">
        <f t="shared" si="100"/>
        <v>0</v>
      </c>
    </row>
    <row r="3215" spans="1:9" customFormat="1" x14ac:dyDescent="0.35">
      <c r="A3215" s="63">
        <f t="shared" si="101"/>
        <v>3214</v>
      </c>
      <c r="B3215" s="54" t="s">
        <v>7290</v>
      </c>
      <c r="C3215" s="55" t="s">
        <v>7291</v>
      </c>
      <c r="D3215" s="54" t="s">
        <v>7219</v>
      </c>
      <c r="E3215" s="56">
        <v>0</v>
      </c>
      <c r="F3215" s="57" t="s">
        <v>6751</v>
      </c>
      <c r="G3215" s="58">
        <v>60000</v>
      </c>
      <c r="H3215" s="59">
        <v>88500</v>
      </c>
      <c r="I3215" s="59">
        <f t="shared" si="100"/>
        <v>0</v>
      </c>
    </row>
    <row r="3216" spans="1:9" customFormat="1" ht="34.5" x14ac:dyDescent="0.35">
      <c r="A3216" s="63">
        <f t="shared" si="101"/>
        <v>3215</v>
      </c>
      <c r="B3216" s="54" t="s">
        <v>7292</v>
      </c>
      <c r="C3216" s="55" t="s">
        <v>7293</v>
      </c>
      <c r="D3216" s="54" t="s">
        <v>7219</v>
      </c>
      <c r="E3216" s="56">
        <v>0</v>
      </c>
      <c r="F3216" s="57" t="s">
        <v>6751</v>
      </c>
      <c r="G3216" s="58">
        <v>16000000</v>
      </c>
      <c r="H3216" s="59">
        <v>22275000</v>
      </c>
      <c r="I3216" s="59">
        <f t="shared" si="100"/>
        <v>0</v>
      </c>
    </row>
    <row r="3217" spans="1:9" customFormat="1" x14ac:dyDescent="0.35">
      <c r="A3217" s="63">
        <f t="shared" si="101"/>
        <v>3216</v>
      </c>
      <c r="B3217" s="54" t="s">
        <v>7294</v>
      </c>
      <c r="C3217" s="55" t="s">
        <v>7295</v>
      </c>
      <c r="D3217" s="54" t="s">
        <v>7219</v>
      </c>
      <c r="E3217" s="56">
        <v>0</v>
      </c>
      <c r="F3217" s="57" t="s">
        <v>6751</v>
      </c>
      <c r="G3217" s="58">
        <v>31850</v>
      </c>
      <c r="H3217" s="59">
        <v>47000</v>
      </c>
      <c r="I3217" s="59">
        <f t="shared" si="100"/>
        <v>0</v>
      </c>
    </row>
    <row r="3218" spans="1:9" customFormat="1" x14ac:dyDescent="0.35">
      <c r="A3218" s="63">
        <f t="shared" si="101"/>
        <v>3217</v>
      </c>
      <c r="B3218" s="54" t="s">
        <v>7296</v>
      </c>
      <c r="C3218" s="55" t="s">
        <v>7297</v>
      </c>
      <c r="D3218" s="54" t="s">
        <v>7219</v>
      </c>
      <c r="E3218" s="56">
        <v>0</v>
      </c>
      <c r="F3218" s="57" t="s">
        <v>6751</v>
      </c>
      <c r="G3218" s="58">
        <v>47000</v>
      </c>
      <c r="H3218" s="59">
        <v>47000</v>
      </c>
      <c r="I3218" s="59">
        <f t="shared" si="100"/>
        <v>0</v>
      </c>
    </row>
    <row r="3219" spans="1:9" customFormat="1" x14ac:dyDescent="0.35">
      <c r="A3219" s="63">
        <f t="shared" si="101"/>
        <v>3218</v>
      </c>
      <c r="B3219" s="54" t="s">
        <v>7298</v>
      </c>
      <c r="C3219" s="55" t="s">
        <v>7299</v>
      </c>
      <c r="D3219" s="54" t="s">
        <v>7219</v>
      </c>
      <c r="E3219" s="56">
        <v>0</v>
      </c>
      <c r="F3219" s="57" t="s">
        <v>6751</v>
      </c>
      <c r="G3219" s="58">
        <v>1500000</v>
      </c>
      <c r="H3219" s="59">
        <v>2100000</v>
      </c>
      <c r="I3219" s="59">
        <f t="shared" si="100"/>
        <v>0</v>
      </c>
    </row>
    <row r="3220" spans="1:9" customFormat="1" x14ac:dyDescent="0.35">
      <c r="A3220" s="63">
        <f t="shared" si="101"/>
        <v>3219</v>
      </c>
      <c r="B3220" s="54" t="s">
        <v>7300</v>
      </c>
      <c r="C3220" s="55" t="s">
        <v>7301</v>
      </c>
      <c r="D3220" s="54" t="s">
        <v>7219</v>
      </c>
      <c r="E3220" s="56">
        <v>0</v>
      </c>
      <c r="F3220" s="57" t="s">
        <v>6751</v>
      </c>
      <c r="G3220" s="58">
        <v>155550</v>
      </c>
      <c r="H3220" s="59">
        <v>318400</v>
      </c>
      <c r="I3220" s="59">
        <f t="shared" si="100"/>
        <v>0</v>
      </c>
    </row>
    <row r="3221" spans="1:9" customFormat="1" x14ac:dyDescent="0.35">
      <c r="A3221" s="63">
        <f t="shared" si="101"/>
        <v>3220</v>
      </c>
      <c r="B3221" s="54" t="s">
        <v>7302</v>
      </c>
      <c r="C3221" s="55" t="s">
        <v>7303</v>
      </c>
      <c r="D3221" s="54" t="s">
        <v>7219</v>
      </c>
      <c r="E3221" s="56">
        <v>0</v>
      </c>
      <c r="F3221" s="57" t="s">
        <v>6751</v>
      </c>
      <c r="G3221" s="58">
        <v>8000</v>
      </c>
      <c r="H3221" s="59">
        <v>13300</v>
      </c>
      <c r="I3221" s="59">
        <f t="shared" si="100"/>
        <v>0</v>
      </c>
    </row>
    <row r="3222" spans="1:9" customFormat="1" x14ac:dyDescent="0.35">
      <c r="A3222" s="63">
        <f t="shared" si="101"/>
        <v>3221</v>
      </c>
      <c r="B3222" s="54" t="s">
        <v>7304</v>
      </c>
      <c r="C3222" s="55" t="s">
        <v>7305</v>
      </c>
      <c r="D3222" s="54" t="s">
        <v>7219</v>
      </c>
      <c r="E3222" s="56">
        <v>0</v>
      </c>
      <c r="F3222" s="57" t="s">
        <v>6751</v>
      </c>
      <c r="G3222" s="58">
        <v>900</v>
      </c>
      <c r="H3222" s="59">
        <v>1938</v>
      </c>
      <c r="I3222" s="59">
        <f t="shared" si="100"/>
        <v>0</v>
      </c>
    </row>
    <row r="3223" spans="1:9" customFormat="1" x14ac:dyDescent="0.35">
      <c r="A3223" s="63">
        <f t="shared" si="101"/>
        <v>3222</v>
      </c>
      <c r="B3223" s="54" t="s">
        <v>7306</v>
      </c>
      <c r="C3223" s="55" t="s">
        <v>7307</v>
      </c>
      <c r="D3223" s="54" t="s">
        <v>7219</v>
      </c>
      <c r="E3223" s="56">
        <v>0</v>
      </c>
      <c r="F3223" s="57" t="s">
        <v>6751</v>
      </c>
      <c r="G3223" s="58">
        <v>8450</v>
      </c>
      <c r="H3223" s="59">
        <v>11407</v>
      </c>
      <c r="I3223" s="59">
        <f t="shared" si="100"/>
        <v>0</v>
      </c>
    </row>
    <row r="3224" spans="1:9" customFormat="1" x14ac:dyDescent="0.35">
      <c r="A3224" s="63">
        <f t="shared" si="101"/>
        <v>3223</v>
      </c>
      <c r="B3224" s="54" t="s">
        <v>7308</v>
      </c>
      <c r="C3224" s="55" t="s">
        <v>7309</v>
      </c>
      <c r="D3224" s="54" t="s">
        <v>7219</v>
      </c>
      <c r="E3224" s="56">
        <v>0</v>
      </c>
      <c r="F3224" s="57" t="s">
        <v>6751</v>
      </c>
      <c r="G3224" s="58">
        <v>13750</v>
      </c>
      <c r="H3224" s="59">
        <v>18567</v>
      </c>
      <c r="I3224" s="59">
        <f t="shared" si="100"/>
        <v>0</v>
      </c>
    </row>
    <row r="3225" spans="1:9" customFormat="1" ht="23" x14ac:dyDescent="0.35">
      <c r="A3225" s="63">
        <f t="shared" si="101"/>
        <v>3224</v>
      </c>
      <c r="B3225" s="54" t="s">
        <v>7310</v>
      </c>
      <c r="C3225" s="55" t="s">
        <v>7311</v>
      </c>
      <c r="D3225" s="54" t="s">
        <v>7219</v>
      </c>
      <c r="E3225" s="56">
        <v>0</v>
      </c>
      <c r="F3225" s="57" t="s">
        <v>6751</v>
      </c>
      <c r="G3225" s="58">
        <v>3700</v>
      </c>
      <c r="H3225" s="59">
        <v>4995</v>
      </c>
      <c r="I3225" s="59">
        <f t="shared" si="100"/>
        <v>0</v>
      </c>
    </row>
    <row r="3226" spans="1:9" customFormat="1" ht="23" x14ac:dyDescent="0.35">
      <c r="A3226" s="63">
        <f t="shared" si="101"/>
        <v>3225</v>
      </c>
      <c r="B3226" s="54" t="s">
        <v>7312</v>
      </c>
      <c r="C3226" s="55" t="s">
        <v>7313</v>
      </c>
      <c r="D3226" s="54" t="s">
        <v>7219</v>
      </c>
      <c r="E3226" s="56">
        <v>0</v>
      </c>
      <c r="F3226" s="57" t="s">
        <v>6751</v>
      </c>
      <c r="G3226" s="58">
        <v>20500</v>
      </c>
      <c r="H3226" s="59">
        <v>27675</v>
      </c>
      <c r="I3226" s="59">
        <f t="shared" si="100"/>
        <v>0</v>
      </c>
    </row>
    <row r="3227" spans="1:9" customFormat="1" ht="23" x14ac:dyDescent="0.35">
      <c r="A3227" s="63">
        <f t="shared" si="101"/>
        <v>3226</v>
      </c>
      <c r="B3227" s="54" t="s">
        <v>7314</v>
      </c>
      <c r="C3227" s="55" t="s">
        <v>7315</v>
      </c>
      <c r="D3227" s="54" t="s">
        <v>7219</v>
      </c>
      <c r="E3227" s="56">
        <v>0</v>
      </c>
      <c r="F3227" s="57" t="s">
        <v>6751</v>
      </c>
      <c r="G3227" s="58">
        <v>119950</v>
      </c>
      <c r="H3227" s="59">
        <v>161932</v>
      </c>
      <c r="I3227" s="59">
        <f t="shared" si="100"/>
        <v>0</v>
      </c>
    </row>
    <row r="3228" spans="1:9" customFormat="1" x14ac:dyDescent="0.35">
      <c r="A3228" s="63">
        <f t="shared" si="101"/>
        <v>3227</v>
      </c>
      <c r="B3228" s="54" t="s">
        <v>7316</v>
      </c>
      <c r="C3228" s="55" t="s">
        <v>7317</v>
      </c>
      <c r="D3228" s="54" t="s">
        <v>7219</v>
      </c>
      <c r="E3228" s="56">
        <v>0</v>
      </c>
      <c r="F3228" s="57" t="s">
        <v>792</v>
      </c>
      <c r="G3228" s="58">
        <v>5471</v>
      </c>
      <c r="H3228" s="59">
        <v>7200</v>
      </c>
      <c r="I3228" s="59">
        <f t="shared" si="100"/>
        <v>0</v>
      </c>
    </row>
    <row r="3229" spans="1:9" customFormat="1" x14ac:dyDescent="0.35">
      <c r="A3229" s="63">
        <f t="shared" si="101"/>
        <v>3228</v>
      </c>
      <c r="B3229" s="54" t="s">
        <v>7318</v>
      </c>
      <c r="C3229" s="55" t="s">
        <v>7319</v>
      </c>
      <c r="D3229" s="54" t="s">
        <v>7219</v>
      </c>
      <c r="E3229" s="56">
        <v>0</v>
      </c>
      <c r="F3229" s="57" t="s">
        <v>6751</v>
      </c>
      <c r="G3229" s="58">
        <v>662533</v>
      </c>
      <c r="H3229" s="59">
        <v>936000</v>
      </c>
      <c r="I3229" s="59">
        <f t="shared" si="100"/>
        <v>0</v>
      </c>
    </row>
    <row r="3230" spans="1:9" customFormat="1" x14ac:dyDescent="0.35">
      <c r="A3230" s="63">
        <f t="shared" si="101"/>
        <v>3229</v>
      </c>
      <c r="B3230" s="54" t="s">
        <v>7320</v>
      </c>
      <c r="C3230" s="55" t="s">
        <v>7321</v>
      </c>
      <c r="D3230" s="54" t="s">
        <v>7219</v>
      </c>
      <c r="E3230" s="56">
        <v>0</v>
      </c>
      <c r="F3230" s="57" t="s">
        <v>6751</v>
      </c>
      <c r="G3230" s="58">
        <v>2650000</v>
      </c>
      <c r="H3230" s="59">
        <v>3450300</v>
      </c>
      <c r="I3230" s="59">
        <f t="shared" si="100"/>
        <v>0</v>
      </c>
    </row>
    <row r="3231" spans="1:9" customFormat="1" ht="23" x14ac:dyDescent="0.35">
      <c r="A3231" s="63">
        <f t="shared" si="101"/>
        <v>3230</v>
      </c>
      <c r="B3231" s="54" t="s">
        <v>7322</v>
      </c>
      <c r="C3231" s="55" t="s">
        <v>7323</v>
      </c>
      <c r="D3231" s="54" t="s">
        <v>7219</v>
      </c>
      <c r="E3231" s="56">
        <v>0</v>
      </c>
      <c r="F3231" s="57" t="s">
        <v>870</v>
      </c>
      <c r="G3231" s="58">
        <v>525000</v>
      </c>
      <c r="H3231" s="59">
        <v>710240</v>
      </c>
      <c r="I3231" s="59">
        <f t="shared" si="100"/>
        <v>0</v>
      </c>
    </row>
    <row r="3232" spans="1:9" customFormat="1" x14ac:dyDescent="0.35">
      <c r="A3232" s="63">
        <f t="shared" si="101"/>
        <v>3231</v>
      </c>
      <c r="B3232" s="54" t="s">
        <v>7324</v>
      </c>
      <c r="C3232" s="55" t="s">
        <v>7325</v>
      </c>
      <c r="D3232" s="54" t="s">
        <v>7219</v>
      </c>
      <c r="E3232" s="56">
        <v>0</v>
      </c>
      <c r="F3232" s="57" t="s">
        <v>6751</v>
      </c>
      <c r="G3232" s="58">
        <v>1049580</v>
      </c>
      <c r="H3232" s="59">
        <v>1543000</v>
      </c>
      <c r="I3232" s="59">
        <f t="shared" si="100"/>
        <v>0</v>
      </c>
    </row>
    <row r="3233" spans="1:9" customFormat="1" x14ac:dyDescent="0.35">
      <c r="A3233" s="63">
        <f t="shared" si="101"/>
        <v>3232</v>
      </c>
      <c r="B3233" s="54" t="s">
        <v>7326</v>
      </c>
      <c r="C3233" s="55" t="s">
        <v>7327</v>
      </c>
      <c r="D3233" s="54" t="s">
        <v>7219</v>
      </c>
      <c r="E3233" s="56">
        <v>0</v>
      </c>
      <c r="F3233" s="57" t="s">
        <v>6751</v>
      </c>
      <c r="G3233" s="58">
        <v>2000000</v>
      </c>
      <c r="H3233" s="59">
        <v>2660000</v>
      </c>
      <c r="I3233" s="59">
        <f t="shared" si="100"/>
        <v>0</v>
      </c>
    </row>
    <row r="3234" spans="1:9" customFormat="1" x14ac:dyDescent="0.35">
      <c r="A3234" s="63">
        <f t="shared" si="101"/>
        <v>3233</v>
      </c>
      <c r="B3234" s="54" t="s">
        <v>7328</v>
      </c>
      <c r="C3234" s="55" t="s">
        <v>7329</v>
      </c>
      <c r="D3234" s="54" t="s">
        <v>7219</v>
      </c>
      <c r="E3234" s="56">
        <v>0</v>
      </c>
      <c r="F3234" s="57" t="s">
        <v>6751</v>
      </c>
      <c r="G3234" s="58">
        <v>293000</v>
      </c>
      <c r="H3234" s="59">
        <v>378120</v>
      </c>
      <c r="I3234" s="59">
        <f t="shared" si="100"/>
        <v>0</v>
      </c>
    </row>
    <row r="3235" spans="1:9" customFormat="1" x14ac:dyDescent="0.35">
      <c r="A3235" s="63">
        <f t="shared" si="101"/>
        <v>3234</v>
      </c>
      <c r="B3235" s="54" t="s">
        <v>7330</v>
      </c>
      <c r="C3235" s="55" t="s">
        <v>7331</v>
      </c>
      <c r="D3235" s="54" t="s">
        <v>7219</v>
      </c>
      <c r="E3235" s="56">
        <v>0</v>
      </c>
      <c r="F3235" s="57" t="s">
        <v>6751</v>
      </c>
      <c r="G3235" s="58">
        <v>175540</v>
      </c>
      <c r="H3235" s="59">
        <v>175540</v>
      </c>
      <c r="I3235" s="59">
        <f t="shared" si="100"/>
        <v>0</v>
      </c>
    </row>
    <row r="3236" spans="1:9" customFormat="1" x14ac:dyDescent="0.35">
      <c r="A3236" s="63">
        <f t="shared" si="101"/>
        <v>3235</v>
      </c>
      <c r="B3236" s="54" t="s">
        <v>7332</v>
      </c>
      <c r="C3236" s="55" t="s">
        <v>7333</v>
      </c>
      <c r="D3236" s="54" t="s">
        <v>7219</v>
      </c>
      <c r="E3236" s="56">
        <v>0</v>
      </c>
      <c r="F3236" s="57" t="s">
        <v>878</v>
      </c>
      <c r="G3236" s="58">
        <v>1800000</v>
      </c>
      <c r="H3236" s="59">
        <v>4004000</v>
      </c>
      <c r="I3236" s="59">
        <f t="shared" si="100"/>
        <v>0</v>
      </c>
    </row>
    <row r="3237" spans="1:9" customFormat="1" x14ac:dyDescent="0.35">
      <c r="A3237" s="63">
        <f t="shared" si="101"/>
        <v>3236</v>
      </c>
      <c r="B3237" s="54" t="s">
        <v>7334</v>
      </c>
      <c r="C3237" s="55" t="s">
        <v>7335</v>
      </c>
      <c r="D3237" s="54" t="s">
        <v>7219</v>
      </c>
      <c r="E3237" s="56">
        <v>0</v>
      </c>
      <c r="F3237" s="57" t="s">
        <v>6751</v>
      </c>
      <c r="G3237" s="58">
        <v>356532</v>
      </c>
      <c r="H3237" s="59">
        <v>475000</v>
      </c>
      <c r="I3237" s="59">
        <f t="shared" si="100"/>
        <v>0</v>
      </c>
    </row>
    <row r="3238" spans="1:9" customFormat="1" x14ac:dyDescent="0.35">
      <c r="A3238" s="63">
        <f t="shared" si="101"/>
        <v>3237</v>
      </c>
      <c r="B3238" s="54" t="s">
        <v>7336</v>
      </c>
      <c r="C3238" s="55" t="s">
        <v>7337</v>
      </c>
      <c r="D3238" s="54" t="s">
        <v>7219</v>
      </c>
      <c r="E3238" s="56">
        <v>0</v>
      </c>
      <c r="F3238" s="57" t="s">
        <v>815</v>
      </c>
      <c r="G3238" s="58">
        <v>190000</v>
      </c>
      <c r="H3238" s="59">
        <v>190000</v>
      </c>
      <c r="I3238" s="59">
        <f t="shared" si="100"/>
        <v>0</v>
      </c>
    </row>
    <row r="3239" spans="1:9" customFormat="1" x14ac:dyDescent="0.35">
      <c r="A3239" s="63">
        <f t="shared" si="101"/>
        <v>3238</v>
      </c>
      <c r="B3239" s="54" t="s">
        <v>7338</v>
      </c>
      <c r="C3239" s="55" t="s">
        <v>7339</v>
      </c>
      <c r="D3239" s="54" t="s">
        <v>7219</v>
      </c>
      <c r="E3239" s="56">
        <v>0</v>
      </c>
      <c r="F3239" s="57" t="s">
        <v>6751</v>
      </c>
      <c r="G3239" s="58">
        <v>35000</v>
      </c>
      <c r="H3239" s="59">
        <v>55200</v>
      </c>
      <c r="I3239" s="59">
        <f t="shared" si="100"/>
        <v>0</v>
      </c>
    </row>
    <row r="3240" spans="1:9" customFormat="1" ht="23" x14ac:dyDescent="0.35">
      <c r="A3240" s="63">
        <f t="shared" si="101"/>
        <v>3239</v>
      </c>
      <c r="B3240" s="54" t="s">
        <v>7340</v>
      </c>
      <c r="C3240" s="55" t="s">
        <v>7341</v>
      </c>
      <c r="D3240" s="54" t="s">
        <v>7219</v>
      </c>
      <c r="E3240" s="56">
        <v>0</v>
      </c>
      <c r="F3240" s="57" t="s">
        <v>6751</v>
      </c>
      <c r="G3240" s="58">
        <v>120000</v>
      </c>
      <c r="H3240" s="59">
        <v>152000</v>
      </c>
      <c r="I3240" s="59">
        <f t="shared" si="100"/>
        <v>0</v>
      </c>
    </row>
    <row r="3241" spans="1:9" customFormat="1" ht="23" x14ac:dyDescent="0.35">
      <c r="A3241" s="63">
        <f t="shared" si="101"/>
        <v>3240</v>
      </c>
      <c r="B3241" s="54" t="s">
        <v>7342</v>
      </c>
      <c r="C3241" s="55" t="s">
        <v>7343</v>
      </c>
      <c r="D3241" s="54" t="s">
        <v>7219</v>
      </c>
      <c r="E3241" s="56">
        <v>0</v>
      </c>
      <c r="F3241" s="57" t="s">
        <v>6751</v>
      </c>
      <c r="G3241" s="58">
        <v>157500</v>
      </c>
      <c r="H3241" s="59">
        <v>246000</v>
      </c>
      <c r="I3241" s="59">
        <f t="shared" si="100"/>
        <v>0</v>
      </c>
    </row>
    <row r="3242" spans="1:9" customFormat="1" x14ac:dyDescent="0.35">
      <c r="A3242" s="63">
        <f t="shared" si="101"/>
        <v>3241</v>
      </c>
      <c r="B3242" s="54" t="s">
        <v>7344</v>
      </c>
      <c r="C3242" s="55" t="s">
        <v>7345</v>
      </c>
      <c r="D3242" s="54" t="s">
        <v>7219</v>
      </c>
      <c r="E3242" s="56">
        <v>0</v>
      </c>
      <c r="F3242" s="57" t="s">
        <v>6751</v>
      </c>
      <c r="G3242" s="58">
        <v>55000</v>
      </c>
      <c r="H3242" s="59">
        <v>76950</v>
      </c>
      <c r="I3242" s="59">
        <f t="shared" si="100"/>
        <v>0</v>
      </c>
    </row>
    <row r="3243" spans="1:9" customFormat="1" x14ac:dyDescent="0.35">
      <c r="A3243" s="63">
        <f t="shared" si="101"/>
        <v>3242</v>
      </c>
      <c r="B3243" s="54" t="s">
        <v>7346</v>
      </c>
      <c r="C3243" s="55" t="s">
        <v>7347</v>
      </c>
      <c r="D3243" s="54" t="s">
        <v>7219</v>
      </c>
      <c r="E3243" s="56">
        <v>0</v>
      </c>
      <c r="F3243" s="57" t="s">
        <v>6751</v>
      </c>
      <c r="G3243" s="58">
        <v>3545</v>
      </c>
      <c r="H3243" s="59">
        <v>6000</v>
      </c>
      <c r="I3243" s="59">
        <f t="shared" si="100"/>
        <v>0</v>
      </c>
    </row>
    <row r="3244" spans="1:9" customFormat="1" x14ac:dyDescent="0.35">
      <c r="A3244" s="63">
        <f t="shared" si="101"/>
        <v>3243</v>
      </c>
      <c r="B3244" s="54" t="s">
        <v>7348</v>
      </c>
      <c r="C3244" s="55" t="s">
        <v>7349</v>
      </c>
      <c r="D3244" s="54" t="s">
        <v>7219</v>
      </c>
      <c r="E3244" s="56">
        <v>0</v>
      </c>
      <c r="F3244" s="57" t="s">
        <v>6751</v>
      </c>
      <c r="G3244" s="58">
        <v>20240</v>
      </c>
      <c r="H3244" s="59">
        <v>30500</v>
      </c>
      <c r="I3244" s="59">
        <f t="shared" si="100"/>
        <v>0</v>
      </c>
    </row>
    <row r="3245" spans="1:9" customFormat="1" ht="23" x14ac:dyDescent="0.35">
      <c r="A3245" s="63">
        <f t="shared" si="101"/>
        <v>3244</v>
      </c>
      <c r="B3245" s="54" t="s">
        <v>7350</v>
      </c>
      <c r="C3245" s="55" t="s">
        <v>7351</v>
      </c>
      <c r="D3245" s="54" t="s">
        <v>7219</v>
      </c>
      <c r="E3245" s="56">
        <v>0</v>
      </c>
      <c r="F3245" s="57" t="s">
        <v>6751</v>
      </c>
      <c r="G3245" s="58">
        <v>13500</v>
      </c>
      <c r="H3245" s="59">
        <v>20000</v>
      </c>
      <c r="I3245" s="59">
        <f t="shared" si="100"/>
        <v>0</v>
      </c>
    </row>
    <row r="3246" spans="1:9" customFormat="1" ht="23" x14ac:dyDescent="0.35">
      <c r="A3246" s="63">
        <f t="shared" si="101"/>
        <v>3245</v>
      </c>
      <c r="B3246" s="54" t="s">
        <v>7352</v>
      </c>
      <c r="C3246" s="55" t="s">
        <v>7353</v>
      </c>
      <c r="D3246" s="54" t="s">
        <v>7219</v>
      </c>
      <c r="E3246" s="56">
        <v>0</v>
      </c>
      <c r="F3246" s="57" t="s">
        <v>6751</v>
      </c>
      <c r="G3246" s="58">
        <v>17500</v>
      </c>
      <c r="H3246" s="59">
        <v>26000</v>
      </c>
      <c r="I3246" s="59">
        <f t="shared" si="100"/>
        <v>0</v>
      </c>
    </row>
    <row r="3247" spans="1:9" customFormat="1" x14ac:dyDescent="0.35">
      <c r="A3247" s="63">
        <f t="shared" si="101"/>
        <v>3246</v>
      </c>
      <c r="B3247" s="54" t="s">
        <v>7354</v>
      </c>
      <c r="C3247" s="55" t="s">
        <v>7355</v>
      </c>
      <c r="D3247" s="54" t="s">
        <v>7219</v>
      </c>
      <c r="E3247" s="56">
        <v>0</v>
      </c>
      <c r="F3247" s="57" t="s">
        <v>6751</v>
      </c>
      <c r="G3247" s="58">
        <v>22607</v>
      </c>
      <c r="H3247" s="59">
        <v>33250</v>
      </c>
      <c r="I3247" s="59">
        <f t="shared" si="100"/>
        <v>0</v>
      </c>
    </row>
    <row r="3248" spans="1:9" customFormat="1" ht="23" x14ac:dyDescent="0.35">
      <c r="A3248" s="63">
        <f t="shared" si="101"/>
        <v>3247</v>
      </c>
      <c r="B3248" s="54" t="s">
        <v>7356</v>
      </c>
      <c r="C3248" s="55" t="s">
        <v>7357</v>
      </c>
      <c r="D3248" s="54" t="s">
        <v>7219</v>
      </c>
      <c r="E3248" s="56">
        <v>0</v>
      </c>
      <c r="F3248" s="57" t="s">
        <v>878</v>
      </c>
      <c r="G3248" s="58">
        <v>35904000</v>
      </c>
      <c r="H3248" s="59">
        <v>47347739</v>
      </c>
      <c r="I3248" s="59">
        <f t="shared" si="100"/>
        <v>0</v>
      </c>
    </row>
    <row r="3249" spans="1:10" customFormat="1" x14ac:dyDescent="0.35">
      <c r="A3249" s="63">
        <f t="shared" si="101"/>
        <v>3248</v>
      </c>
      <c r="B3249" s="54" t="s">
        <v>7358</v>
      </c>
      <c r="C3249" s="55" t="s">
        <v>7359</v>
      </c>
      <c r="D3249" s="54" t="s">
        <v>7219</v>
      </c>
      <c r="E3249" s="56">
        <v>0</v>
      </c>
      <c r="F3249" s="57" t="s">
        <v>6751</v>
      </c>
      <c r="G3249" s="58">
        <v>0</v>
      </c>
      <c r="H3249" s="59">
        <v>1104000</v>
      </c>
      <c r="I3249" s="59">
        <f t="shared" si="100"/>
        <v>0</v>
      </c>
    </row>
    <row r="3250" spans="1:10" customFormat="1" ht="23" x14ac:dyDescent="0.35">
      <c r="A3250" s="63">
        <f t="shared" si="101"/>
        <v>3249</v>
      </c>
      <c r="B3250" s="54" t="s">
        <v>7360</v>
      </c>
      <c r="C3250" s="55" t="s">
        <v>7361</v>
      </c>
      <c r="D3250" s="54" t="s">
        <v>7219</v>
      </c>
      <c r="E3250" s="56">
        <v>0</v>
      </c>
      <c r="F3250" s="57" t="s">
        <v>6751</v>
      </c>
      <c r="G3250" s="58">
        <v>595370</v>
      </c>
      <c r="H3250" s="59">
        <v>783960</v>
      </c>
      <c r="I3250" s="59">
        <f t="shared" si="100"/>
        <v>0</v>
      </c>
    </row>
    <row r="3251" spans="1:10" customFormat="1" x14ac:dyDescent="0.35">
      <c r="A3251" s="63">
        <f t="shared" si="101"/>
        <v>3250</v>
      </c>
      <c r="B3251" s="54" t="s">
        <v>7362</v>
      </c>
      <c r="C3251" s="55" t="s">
        <v>7363</v>
      </c>
      <c r="D3251" s="54" t="s">
        <v>7219</v>
      </c>
      <c r="E3251" s="56">
        <v>0</v>
      </c>
      <c r="F3251" s="57" t="s">
        <v>878</v>
      </c>
      <c r="G3251" s="58">
        <v>92500</v>
      </c>
      <c r="H3251" s="59">
        <v>115000</v>
      </c>
      <c r="I3251" s="59">
        <f t="shared" si="100"/>
        <v>0</v>
      </c>
    </row>
    <row r="3252" spans="1:10" customFormat="1" x14ac:dyDescent="0.35">
      <c r="A3252" s="63">
        <f t="shared" si="101"/>
        <v>3251</v>
      </c>
      <c r="B3252" s="54" t="s">
        <v>7364</v>
      </c>
      <c r="C3252" s="55" t="s">
        <v>7365</v>
      </c>
      <c r="D3252" s="54" t="s">
        <v>7219</v>
      </c>
      <c r="E3252" s="56">
        <v>0</v>
      </c>
      <c r="F3252" s="57" t="s">
        <v>1180</v>
      </c>
      <c r="G3252" s="58">
        <v>90000</v>
      </c>
      <c r="H3252" s="59">
        <v>139650</v>
      </c>
      <c r="I3252" s="59">
        <f t="shared" si="100"/>
        <v>0</v>
      </c>
    </row>
    <row r="3253" spans="1:10" customFormat="1" ht="23" x14ac:dyDescent="0.35">
      <c r="A3253" s="63">
        <f t="shared" si="101"/>
        <v>3252</v>
      </c>
      <c r="B3253" s="54" t="s">
        <v>7366</v>
      </c>
      <c r="C3253" s="55" t="s">
        <v>7367</v>
      </c>
      <c r="D3253" s="54" t="s">
        <v>7219</v>
      </c>
      <c r="E3253" s="56">
        <v>0</v>
      </c>
      <c r="F3253" s="57" t="s">
        <v>6751</v>
      </c>
      <c r="G3253" s="58">
        <v>7190000</v>
      </c>
      <c r="H3253" s="59">
        <v>9059400</v>
      </c>
      <c r="I3253" s="59">
        <f t="shared" si="100"/>
        <v>0</v>
      </c>
      <c r="J3253" s="91"/>
    </row>
    <row r="3254" spans="1:10" customFormat="1" x14ac:dyDescent="0.35">
      <c r="A3254" s="63">
        <f t="shared" si="101"/>
        <v>3253</v>
      </c>
      <c r="B3254" s="54" t="s">
        <v>7368</v>
      </c>
      <c r="C3254" s="55" t="s">
        <v>7369</v>
      </c>
      <c r="D3254" s="54" t="s">
        <v>7219</v>
      </c>
      <c r="E3254" s="56">
        <v>0</v>
      </c>
      <c r="F3254" s="57" t="s">
        <v>878</v>
      </c>
      <c r="G3254" s="58">
        <v>730000</v>
      </c>
      <c r="H3254" s="59">
        <v>845000</v>
      </c>
      <c r="I3254" s="59">
        <f t="shared" si="100"/>
        <v>0</v>
      </c>
    </row>
    <row r="3255" spans="1:10" customFormat="1" x14ac:dyDescent="0.35">
      <c r="A3255" s="63">
        <f t="shared" si="101"/>
        <v>3254</v>
      </c>
      <c r="B3255" s="54" t="s">
        <v>7370</v>
      </c>
      <c r="C3255" s="55" t="s">
        <v>7371</v>
      </c>
      <c r="D3255" s="54" t="s">
        <v>7219</v>
      </c>
      <c r="E3255" s="56">
        <v>0</v>
      </c>
      <c r="F3255" s="57" t="s">
        <v>6751</v>
      </c>
      <c r="G3255" s="58">
        <v>575490</v>
      </c>
      <c r="H3255" s="59">
        <v>811500</v>
      </c>
      <c r="I3255" s="59">
        <f t="shared" si="100"/>
        <v>0</v>
      </c>
    </row>
    <row r="3256" spans="1:10" customFormat="1" x14ac:dyDescent="0.35">
      <c r="A3256" s="63">
        <f t="shared" si="101"/>
        <v>3255</v>
      </c>
      <c r="B3256" s="54" t="s">
        <v>7372</v>
      </c>
      <c r="C3256" s="55" t="s">
        <v>7373</v>
      </c>
      <c r="D3256" s="54" t="s">
        <v>7219</v>
      </c>
      <c r="E3256" s="56">
        <v>0</v>
      </c>
      <c r="F3256" s="57" t="s">
        <v>6751</v>
      </c>
      <c r="G3256" s="58">
        <v>73340</v>
      </c>
      <c r="H3256" s="59">
        <v>108000</v>
      </c>
      <c r="I3256" s="59">
        <f t="shared" si="100"/>
        <v>0</v>
      </c>
    </row>
    <row r="3257" spans="1:10" customFormat="1" x14ac:dyDescent="0.35">
      <c r="A3257" s="63">
        <f t="shared" si="101"/>
        <v>3256</v>
      </c>
      <c r="B3257" s="54" t="s">
        <v>7374</v>
      </c>
      <c r="C3257" s="55" t="s">
        <v>7375</v>
      </c>
      <c r="D3257" s="54" t="s">
        <v>7219</v>
      </c>
      <c r="E3257" s="56">
        <v>0</v>
      </c>
      <c r="F3257" s="57" t="s">
        <v>878</v>
      </c>
      <c r="G3257" s="58">
        <v>810000</v>
      </c>
      <c r="H3257" s="59">
        <v>1134000</v>
      </c>
      <c r="I3257" s="59">
        <f t="shared" si="100"/>
        <v>0</v>
      </c>
    </row>
    <row r="3258" spans="1:10" customFormat="1" x14ac:dyDescent="0.35">
      <c r="A3258" s="63">
        <f t="shared" si="101"/>
        <v>3257</v>
      </c>
      <c r="B3258" s="54" t="s">
        <v>7376</v>
      </c>
      <c r="C3258" s="55" t="s">
        <v>7377</v>
      </c>
      <c r="D3258" s="54" t="s">
        <v>7219</v>
      </c>
      <c r="E3258" s="56">
        <v>0</v>
      </c>
      <c r="F3258" s="57" t="s">
        <v>6751</v>
      </c>
      <c r="G3258" s="58">
        <v>0</v>
      </c>
      <c r="H3258" s="59">
        <v>9791040</v>
      </c>
      <c r="I3258" s="59">
        <f t="shared" si="100"/>
        <v>0</v>
      </c>
    </row>
    <row r="3259" spans="1:10" customFormat="1" x14ac:dyDescent="0.35">
      <c r="A3259" s="63">
        <f t="shared" si="101"/>
        <v>3258</v>
      </c>
      <c r="B3259" s="54" t="s">
        <v>7378</v>
      </c>
      <c r="C3259" s="55" t="s">
        <v>7379</v>
      </c>
      <c r="D3259" s="54" t="s">
        <v>7219</v>
      </c>
      <c r="E3259" s="56">
        <v>0</v>
      </c>
      <c r="F3259" s="57" t="s">
        <v>6751</v>
      </c>
      <c r="G3259" s="58">
        <v>21120</v>
      </c>
      <c r="H3259" s="59">
        <v>32300</v>
      </c>
      <c r="I3259" s="59">
        <f t="shared" si="100"/>
        <v>0</v>
      </c>
    </row>
    <row r="3260" spans="1:10" customFormat="1" x14ac:dyDescent="0.35">
      <c r="A3260" s="63">
        <f t="shared" si="101"/>
        <v>3259</v>
      </c>
      <c r="B3260" s="54" t="s">
        <v>7380</v>
      </c>
      <c r="C3260" s="55" t="s">
        <v>7381</v>
      </c>
      <c r="D3260" s="54" t="s">
        <v>7219</v>
      </c>
      <c r="E3260" s="56">
        <v>0</v>
      </c>
      <c r="F3260" s="57" t="s">
        <v>6751</v>
      </c>
      <c r="G3260" s="58">
        <v>0</v>
      </c>
      <c r="H3260" s="59">
        <v>0</v>
      </c>
      <c r="I3260" s="59">
        <f t="shared" si="100"/>
        <v>0</v>
      </c>
    </row>
    <row r="3261" spans="1:10" customFormat="1" x14ac:dyDescent="0.35">
      <c r="A3261" s="63">
        <f t="shared" si="101"/>
        <v>3260</v>
      </c>
      <c r="B3261" s="54" t="s">
        <v>7382</v>
      </c>
      <c r="C3261" s="55" t="s">
        <v>7383</v>
      </c>
      <c r="D3261" s="54" t="s">
        <v>7219</v>
      </c>
      <c r="E3261" s="56">
        <v>0</v>
      </c>
      <c r="F3261" s="57" t="s">
        <v>6751</v>
      </c>
      <c r="G3261" s="58">
        <v>15640</v>
      </c>
      <c r="H3261" s="59">
        <v>22000</v>
      </c>
      <c r="I3261" s="59">
        <f t="shared" si="100"/>
        <v>0</v>
      </c>
    </row>
    <row r="3262" spans="1:10" customFormat="1" x14ac:dyDescent="0.35">
      <c r="A3262" s="63">
        <f t="shared" si="101"/>
        <v>3261</v>
      </c>
      <c r="B3262" s="54" t="s">
        <v>7384</v>
      </c>
      <c r="C3262" s="55" t="s">
        <v>7385</v>
      </c>
      <c r="D3262" s="54" t="s">
        <v>7219</v>
      </c>
      <c r="E3262" s="56">
        <v>0</v>
      </c>
      <c r="F3262" s="57" t="s">
        <v>6751</v>
      </c>
      <c r="G3262" s="58">
        <v>2000</v>
      </c>
      <c r="H3262" s="59">
        <v>2375</v>
      </c>
      <c r="I3262" s="59">
        <f t="shared" si="100"/>
        <v>0</v>
      </c>
    </row>
    <row r="3263" spans="1:10" customFormat="1" x14ac:dyDescent="0.35">
      <c r="A3263" s="63">
        <f t="shared" si="101"/>
        <v>3262</v>
      </c>
      <c r="B3263" s="54" t="s">
        <v>7386</v>
      </c>
      <c r="C3263" s="55" t="s">
        <v>7387</v>
      </c>
      <c r="D3263" s="54" t="s">
        <v>7219</v>
      </c>
      <c r="E3263" s="56">
        <v>0</v>
      </c>
      <c r="F3263" s="57" t="s">
        <v>6751</v>
      </c>
      <c r="G3263" s="58">
        <v>80500</v>
      </c>
      <c r="H3263" s="59">
        <v>120000</v>
      </c>
      <c r="I3263" s="59">
        <f t="shared" si="100"/>
        <v>0</v>
      </c>
    </row>
    <row r="3264" spans="1:10" customFormat="1" x14ac:dyDescent="0.35">
      <c r="A3264" s="63">
        <f t="shared" si="101"/>
        <v>3263</v>
      </c>
      <c r="B3264" s="54" t="s">
        <v>7388</v>
      </c>
      <c r="C3264" s="55" t="s">
        <v>7389</v>
      </c>
      <c r="D3264" s="54" t="s">
        <v>7219</v>
      </c>
      <c r="E3264" s="56">
        <v>0</v>
      </c>
      <c r="F3264" s="57" t="s">
        <v>878</v>
      </c>
      <c r="G3264" s="58">
        <v>85000</v>
      </c>
      <c r="H3264" s="59">
        <v>110000</v>
      </c>
      <c r="I3264" s="59">
        <f t="shared" si="100"/>
        <v>0</v>
      </c>
    </row>
    <row r="3265" spans="1:9" customFormat="1" x14ac:dyDescent="0.35">
      <c r="A3265" s="63">
        <f t="shared" si="101"/>
        <v>3264</v>
      </c>
      <c r="B3265" s="54" t="s">
        <v>7390</v>
      </c>
      <c r="C3265" s="55" t="s">
        <v>7391</v>
      </c>
      <c r="D3265" s="54" t="s">
        <v>7219</v>
      </c>
      <c r="E3265" s="56">
        <v>0</v>
      </c>
      <c r="F3265" s="57" t="s">
        <v>6751</v>
      </c>
      <c r="G3265" s="58">
        <v>2000</v>
      </c>
      <c r="H3265" s="59">
        <v>3500</v>
      </c>
      <c r="I3265" s="59">
        <f t="shared" si="100"/>
        <v>0</v>
      </c>
    </row>
    <row r="3266" spans="1:9" customFormat="1" x14ac:dyDescent="0.35">
      <c r="A3266" s="63">
        <f t="shared" si="101"/>
        <v>3265</v>
      </c>
      <c r="B3266" s="54" t="s">
        <v>7392</v>
      </c>
      <c r="C3266" s="55" t="s">
        <v>7393</v>
      </c>
      <c r="D3266" s="54" t="s">
        <v>7219</v>
      </c>
      <c r="E3266" s="56">
        <v>0</v>
      </c>
      <c r="F3266" s="57" t="s">
        <v>6751</v>
      </c>
      <c r="G3266" s="58">
        <v>3000</v>
      </c>
      <c r="H3266" s="59">
        <v>5000</v>
      </c>
      <c r="I3266" s="59">
        <f t="shared" si="100"/>
        <v>0</v>
      </c>
    </row>
    <row r="3267" spans="1:9" customFormat="1" x14ac:dyDescent="0.35">
      <c r="A3267" s="63">
        <f t="shared" si="101"/>
        <v>3266</v>
      </c>
      <c r="B3267" s="54" t="s">
        <v>7394</v>
      </c>
      <c r="C3267" s="55" t="s">
        <v>7395</v>
      </c>
      <c r="D3267" s="54" t="s">
        <v>7219</v>
      </c>
      <c r="E3267" s="56">
        <v>0</v>
      </c>
      <c r="F3267" s="57" t="s">
        <v>6751</v>
      </c>
      <c r="G3267" s="58">
        <v>15180</v>
      </c>
      <c r="H3267" s="59">
        <v>146300</v>
      </c>
      <c r="I3267" s="59">
        <f t="shared" ref="I3267:I3309" si="102">H3267*E3267</f>
        <v>0</v>
      </c>
    </row>
    <row r="3268" spans="1:9" customFormat="1" x14ac:dyDescent="0.35">
      <c r="A3268" s="63">
        <f t="shared" ref="A3268:A3309" si="103">A3267+1</f>
        <v>3267</v>
      </c>
      <c r="B3268" s="54" t="s">
        <v>7396</v>
      </c>
      <c r="C3268" s="55" t="s">
        <v>7397</v>
      </c>
      <c r="D3268" s="54" t="s">
        <v>7219</v>
      </c>
      <c r="E3268" s="56">
        <v>0</v>
      </c>
      <c r="F3268" s="57" t="s">
        <v>6751</v>
      </c>
      <c r="G3268" s="58">
        <v>99000</v>
      </c>
      <c r="H3268" s="59">
        <v>139000</v>
      </c>
      <c r="I3268" s="59">
        <f t="shared" si="102"/>
        <v>0</v>
      </c>
    </row>
    <row r="3269" spans="1:9" customFormat="1" x14ac:dyDescent="0.35">
      <c r="A3269" s="63">
        <f t="shared" si="103"/>
        <v>3268</v>
      </c>
      <c r="B3269" s="54" t="s">
        <v>7398</v>
      </c>
      <c r="C3269" s="55" t="s">
        <v>7399</v>
      </c>
      <c r="D3269" s="54" t="s">
        <v>7219</v>
      </c>
      <c r="E3269" s="56">
        <v>0</v>
      </c>
      <c r="F3269" s="57" t="s">
        <v>6751</v>
      </c>
      <c r="G3269" s="58">
        <v>3200</v>
      </c>
      <c r="H3269" s="59">
        <v>5500</v>
      </c>
      <c r="I3269" s="59">
        <f t="shared" si="102"/>
        <v>0</v>
      </c>
    </row>
    <row r="3270" spans="1:9" customFormat="1" x14ac:dyDescent="0.35">
      <c r="A3270" s="63">
        <f t="shared" si="103"/>
        <v>3269</v>
      </c>
      <c r="B3270" s="54" t="s">
        <v>7400</v>
      </c>
      <c r="C3270" s="55" t="s">
        <v>7401</v>
      </c>
      <c r="D3270" s="54" t="s">
        <v>7219</v>
      </c>
      <c r="E3270" s="56">
        <v>0</v>
      </c>
      <c r="F3270" s="57" t="s">
        <v>6751</v>
      </c>
      <c r="G3270" s="58">
        <v>462500</v>
      </c>
      <c r="H3270" s="59">
        <v>648000</v>
      </c>
      <c r="I3270" s="59">
        <f t="shared" si="102"/>
        <v>0</v>
      </c>
    </row>
    <row r="3271" spans="1:9" customFormat="1" x14ac:dyDescent="0.35">
      <c r="A3271" s="63">
        <f t="shared" si="103"/>
        <v>3270</v>
      </c>
      <c r="B3271" s="54" t="s">
        <v>7402</v>
      </c>
      <c r="C3271" s="55" t="s">
        <v>7403</v>
      </c>
      <c r="D3271" s="54" t="s">
        <v>7219</v>
      </c>
      <c r="E3271" s="56">
        <v>0</v>
      </c>
      <c r="F3271" s="57" t="s">
        <v>6751</v>
      </c>
      <c r="G3271" s="58">
        <v>146640</v>
      </c>
      <c r="H3271" s="59">
        <v>213000</v>
      </c>
      <c r="I3271" s="59">
        <f t="shared" si="102"/>
        <v>0</v>
      </c>
    </row>
    <row r="3272" spans="1:9" customFormat="1" x14ac:dyDescent="0.35">
      <c r="A3272" s="63">
        <f t="shared" si="103"/>
        <v>3271</v>
      </c>
      <c r="B3272" s="54" t="s">
        <v>7404</v>
      </c>
      <c r="C3272" s="55" t="s">
        <v>7405</v>
      </c>
      <c r="D3272" s="54" t="s">
        <v>7219</v>
      </c>
      <c r="E3272" s="56">
        <v>0</v>
      </c>
      <c r="F3272" s="57" t="s">
        <v>6751</v>
      </c>
      <c r="G3272" s="58">
        <v>50000</v>
      </c>
      <c r="H3272" s="59">
        <v>66500</v>
      </c>
      <c r="I3272" s="59">
        <f t="shared" si="102"/>
        <v>0</v>
      </c>
    </row>
    <row r="3273" spans="1:9" customFormat="1" x14ac:dyDescent="0.35">
      <c r="A3273" s="63">
        <f t="shared" si="103"/>
        <v>3272</v>
      </c>
      <c r="B3273" s="54" t="s">
        <v>7406</v>
      </c>
      <c r="C3273" s="55" t="s">
        <v>7407</v>
      </c>
      <c r="D3273" s="54" t="s">
        <v>7219</v>
      </c>
      <c r="E3273" s="56">
        <v>0</v>
      </c>
      <c r="F3273" s="57" t="s">
        <v>6751</v>
      </c>
      <c r="G3273" s="58">
        <v>85000</v>
      </c>
      <c r="H3273" s="59">
        <v>113050</v>
      </c>
      <c r="I3273" s="59">
        <f t="shared" si="102"/>
        <v>0</v>
      </c>
    </row>
    <row r="3274" spans="1:9" customFormat="1" x14ac:dyDescent="0.35">
      <c r="A3274" s="63">
        <f t="shared" si="103"/>
        <v>3273</v>
      </c>
      <c r="B3274" s="54" t="s">
        <v>7408</v>
      </c>
      <c r="C3274" s="55" t="s">
        <v>7409</v>
      </c>
      <c r="D3274" s="54" t="s">
        <v>7219</v>
      </c>
      <c r="E3274" s="56">
        <v>0</v>
      </c>
      <c r="F3274" s="57" t="s">
        <v>6751</v>
      </c>
      <c r="G3274" s="58">
        <v>440000</v>
      </c>
      <c r="H3274" s="59">
        <v>555000</v>
      </c>
      <c r="I3274" s="59">
        <f t="shared" si="102"/>
        <v>0</v>
      </c>
    </row>
    <row r="3275" spans="1:9" customFormat="1" ht="23" x14ac:dyDescent="0.35">
      <c r="A3275" s="63">
        <f t="shared" si="103"/>
        <v>3274</v>
      </c>
      <c r="B3275" s="54" t="s">
        <v>7410</v>
      </c>
      <c r="C3275" s="55" t="s">
        <v>7411</v>
      </c>
      <c r="D3275" s="54" t="s">
        <v>7219</v>
      </c>
      <c r="E3275" s="56">
        <v>0</v>
      </c>
      <c r="F3275" s="57" t="s">
        <v>6751</v>
      </c>
      <c r="G3275" s="58">
        <v>200000</v>
      </c>
      <c r="H3275" s="59">
        <v>280000</v>
      </c>
      <c r="I3275" s="59">
        <f t="shared" si="102"/>
        <v>0</v>
      </c>
    </row>
    <row r="3276" spans="1:9" customFormat="1" x14ac:dyDescent="0.35">
      <c r="A3276" s="63">
        <f t="shared" si="103"/>
        <v>3275</v>
      </c>
      <c r="B3276" s="54" t="s">
        <v>7412</v>
      </c>
      <c r="C3276" s="55" t="s">
        <v>7413</v>
      </c>
      <c r="D3276" s="54" t="s">
        <v>7219</v>
      </c>
      <c r="E3276" s="56">
        <v>0</v>
      </c>
      <c r="F3276" s="57" t="s">
        <v>6751</v>
      </c>
      <c r="G3276" s="58">
        <v>17500</v>
      </c>
      <c r="H3276" s="59">
        <v>23750</v>
      </c>
      <c r="I3276" s="59">
        <f t="shared" si="102"/>
        <v>0</v>
      </c>
    </row>
    <row r="3277" spans="1:9" customFormat="1" x14ac:dyDescent="0.35">
      <c r="A3277" s="63">
        <f t="shared" si="103"/>
        <v>3276</v>
      </c>
      <c r="B3277" s="54" t="s">
        <v>7414</v>
      </c>
      <c r="C3277" s="55" t="s">
        <v>7415</v>
      </c>
      <c r="D3277" s="54" t="s">
        <v>7219</v>
      </c>
      <c r="E3277" s="56">
        <v>0</v>
      </c>
      <c r="F3277" s="57" t="s">
        <v>6751</v>
      </c>
      <c r="G3277" s="58">
        <v>800000</v>
      </c>
      <c r="H3277" s="59">
        <v>880000</v>
      </c>
      <c r="I3277" s="59">
        <f t="shared" si="102"/>
        <v>0</v>
      </c>
    </row>
    <row r="3278" spans="1:9" customFormat="1" x14ac:dyDescent="0.35">
      <c r="A3278" s="63">
        <f t="shared" si="103"/>
        <v>3277</v>
      </c>
      <c r="B3278" s="54" t="s">
        <v>7416</v>
      </c>
      <c r="C3278" s="55" t="s">
        <v>7417</v>
      </c>
      <c r="D3278" s="54" t="s">
        <v>7219</v>
      </c>
      <c r="E3278" s="56">
        <v>0</v>
      </c>
      <c r="F3278" s="57" t="s">
        <v>6751</v>
      </c>
      <c r="G3278" s="58">
        <v>600000</v>
      </c>
      <c r="H3278" s="59">
        <v>660000</v>
      </c>
      <c r="I3278" s="59">
        <f t="shared" si="102"/>
        <v>0</v>
      </c>
    </row>
    <row r="3279" spans="1:9" customFormat="1" x14ac:dyDescent="0.35">
      <c r="A3279" s="63">
        <f t="shared" si="103"/>
        <v>3278</v>
      </c>
      <c r="B3279" s="54" t="s">
        <v>7418</v>
      </c>
      <c r="C3279" s="55" t="s">
        <v>7419</v>
      </c>
      <c r="D3279" s="54" t="s">
        <v>7219</v>
      </c>
      <c r="E3279" s="56">
        <v>0</v>
      </c>
      <c r="F3279" s="57" t="s">
        <v>6751</v>
      </c>
      <c r="G3279" s="58">
        <v>800000</v>
      </c>
      <c r="H3279" s="59">
        <v>896000</v>
      </c>
      <c r="I3279" s="59">
        <f t="shared" si="102"/>
        <v>0</v>
      </c>
    </row>
    <row r="3280" spans="1:9" customFormat="1" x14ac:dyDescent="0.35">
      <c r="A3280" s="63">
        <f t="shared" si="103"/>
        <v>3279</v>
      </c>
      <c r="B3280" s="54" t="s">
        <v>7420</v>
      </c>
      <c r="C3280" s="55" t="s">
        <v>7421</v>
      </c>
      <c r="D3280" s="54" t="s">
        <v>7219</v>
      </c>
      <c r="E3280" s="56">
        <v>0</v>
      </c>
      <c r="F3280" s="57" t="s">
        <v>6751</v>
      </c>
      <c r="G3280" s="58">
        <v>800000</v>
      </c>
      <c r="H3280" s="59">
        <v>880000</v>
      </c>
      <c r="I3280" s="59">
        <f t="shared" si="102"/>
        <v>0</v>
      </c>
    </row>
    <row r="3281" spans="1:9" customFormat="1" x14ac:dyDescent="0.35">
      <c r="A3281" s="63">
        <f t="shared" si="103"/>
        <v>3280</v>
      </c>
      <c r="B3281" s="54" t="s">
        <v>7422</v>
      </c>
      <c r="C3281" s="55" t="s">
        <v>7423</v>
      </c>
      <c r="D3281" s="54" t="s">
        <v>7219</v>
      </c>
      <c r="E3281" s="56">
        <v>0</v>
      </c>
      <c r="F3281" s="57" t="s">
        <v>6751</v>
      </c>
      <c r="G3281" s="58">
        <v>1400000</v>
      </c>
      <c r="H3281" s="59">
        <v>1540000</v>
      </c>
      <c r="I3281" s="59">
        <f t="shared" si="102"/>
        <v>0</v>
      </c>
    </row>
    <row r="3282" spans="1:9" customFormat="1" x14ac:dyDescent="0.35">
      <c r="A3282" s="63">
        <f t="shared" si="103"/>
        <v>3281</v>
      </c>
      <c r="B3282" s="54" t="s">
        <v>7424</v>
      </c>
      <c r="C3282" s="55" t="s">
        <v>7425</v>
      </c>
      <c r="D3282" s="54" t="s">
        <v>7219</v>
      </c>
      <c r="E3282" s="56">
        <v>0</v>
      </c>
      <c r="F3282" s="57" t="s">
        <v>6751</v>
      </c>
      <c r="G3282" s="58">
        <v>95000</v>
      </c>
      <c r="H3282" s="59">
        <v>132715</v>
      </c>
      <c r="I3282" s="59">
        <f t="shared" si="102"/>
        <v>0</v>
      </c>
    </row>
    <row r="3283" spans="1:9" customFormat="1" ht="23" x14ac:dyDescent="0.35">
      <c r="A3283" s="63">
        <f t="shared" si="103"/>
        <v>3282</v>
      </c>
      <c r="B3283" s="54" t="s">
        <v>7426</v>
      </c>
      <c r="C3283" s="55" t="s">
        <v>7427</v>
      </c>
      <c r="D3283" s="54" t="s">
        <v>7219</v>
      </c>
      <c r="E3283" s="56">
        <v>0</v>
      </c>
      <c r="F3283" s="57" t="s">
        <v>6751</v>
      </c>
      <c r="G3283" s="58">
        <v>515580</v>
      </c>
      <c r="H3283" s="59">
        <v>846000</v>
      </c>
      <c r="I3283" s="59">
        <f t="shared" si="102"/>
        <v>0</v>
      </c>
    </row>
    <row r="3284" spans="1:9" customFormat="1" x14ac:dyDescent="0.35">
      <c r="A3284" s="63">
        <f t="shared" si="103"/>
        <v>3283</v>
      </c>
      <c r="B3284" s="54" t="s">
        <v>7428</v>
      </c>
      <c r="C3284" s="55" t="s">
        <v>7429</v>
      </c>
      <c r="D3284" s="54" t="s">
        <v>7219</v>
      </c>
      <c r="E3284" s="56">
        <v>0</v>
      </c>
      <c r="F3284" s="57" t="s">
        <v>6751</v>
      </c>
      <c r="G3284" s="58">
        <v>15000</v>
      </c>
      <c r="H3284" s="59">
        <v>21000</v>
      </c>
      <c r="I3284" s="59">
        <f t="shared" si="102"/>
        <v>0</v>
      </c>
    </row>
    <row r="3285" spans="1:9" customFormat="1" x14ac:dyDescent="0.35">
      <c r="A3285" s="63">
        <f t="shared" si="103"/>
        <v>3284</v>
      </c>
      <c r="B3285" s="54" t="s">
        <v>7430</v>
      </c>
      <c r="C3285" s="55" t="s">
        <v>7431</v>
      </c>
      <c r="D3285" s="54" t="s">
        <v>7219</v>
      </c>
      <c r="E3285" s="56">
        <v>0</v>
      </c>
      <c r="F3285" s="57" t="s">
        <v>6751</v>
      </c>
      <c r="G3285" s="58">
        <v>21800</v>
      </c>
      <c r="H3285" s="59">
        <v>30500</v>
      </c>
      <c r="I3285" s="59">
        <f t="shared" si="102"/>
        <v>0</v>
      </c>
    </row>
    <row r="3286" spans="1:9" customFormat="1" x14ac:dyDescent="0.35">
      <c r="A3286" s="63">
        <f t="shared" si="103"/>
        <v>3285</v>
      </c>
      <c r="B3286" s="54" t="s">
        <v>7432</v>
      </c>
      <c r="C3286" s="55" t="s">
        <v>7433</v>
      </c>
      <c r="D3286" s="54" t="s">
        <v>7219</v>
      </c>
      <c r="E3286" s="56">
        <v>0</v>
      </c>
      <c r="F3286" s="57" t="s">
        <v>6751</v>
      </c>
      <c r="G3286" s="58">
        <v>1158300</v>
      </c>
      <c r="H3286" s="59">
        <v>1492240</v>
      </c>
      <c r="I3286" s="59">
        <f t="shared" si="102"/>
        <v>0</v>
      </c>
    </row>
    <row r="3287" spans="1:9" customFormat="1" x14ac:dyDescent="0.35">
      <c r="A3287" s="63">
        <f t="shared" si="103"/>
        <v>3286</v>
      </c>
      <c r="B3287" s="54" t="s">
        <v>7434</v>
      </c>
      <c r="C3287" s="55" t="s">
        <v>7435</v>
      </c>
      <c r="D3287" s="54" t="s">
        <v>7219</v>
      </c>
      <c r="E3287" s="56">
        <v>0</v>
      </c>
      <c r="F3287" s="57" t="s">
        <v>974</v>
      </c>
      <c r="G3287" s="58">
        <v>50000</v>
      </c>
      <c r="H3287" s="59">
        <v>70000</v>
      </c>
      <c r="I3287" s="59">
        <f t="shared" si="102"/>
        <v>0</v>
      </c>
    </row>
    <row r="3288" spans="1:9" customFormat="1" x14ac:dyDescent="0.35">
      <c r="A3288" s="63">
        <f t="shared" si="103"/>
        <v>3287</v>
      </c>
      <c r="B3288" s="54" t="s">
        <v>7436</v>
      </c>
      <c r="C3288" s="55" t="s">
        <v>7437</v>
      </c>
      <c r="D3288" s="54" t="s">
        <v>7219</v>
      </c>
      <c r="E3288" s="56">
        <v>0</v>
      </c>
      <c r="F3288" s="57" t="s">
        <v>6751</v>
      </c>
      <c r="G3288" s="58">
        <v>300000</v>
      </c>
      <c r="H3288" s="59">
        <v>437611.5</v>
      </c>
      <c r="I3288" s="59">
        <f t="shared" si="102"/>
        <v>0</v>
      </c>
    </row>
    <row r="3289" spans="1:9" customFormat="1" x14ac:dyDescent="0.35">
      <c r="A3289" s="63">
        <f t="shared" si="103"/>
        <v>3288</v>
      </c>
      <c r="B3289" s="54" t="s">
        <v>7438</v>
      </c>
      <c r="C3289" s="55" t="s">
        <v>7439</v>
      </c>
      <c r="D3289" s="54" t="s">
        <v>7219</v>
      </c>
      <c r="E3289" s="56">
        <v>0</v>
      </c>
      <c r="F3289" s="57" t="s">
        <v>1563</v>
      </c>
      <c r="G3289" s="58">
        <v>229622</v>
      </c>
      <c r="H3289" s="59">
        <v>353100</v>
      </c>
      <c r="I3289" s="59">
        <f t="shared" si="102"/>
        <v>0</v>
      </c>
    </row>
    <row r="3290" spans="1:9" customFormat="1" ht="23" x14ac:dyDescent="0.35">
      <c r="A3290" s="63">
        <f t="shared" si="103"/>
        <v>3289</v>
      </c>
      <c r="B3290" s="54" t="s">
        <v>7440</v>
      </c>
      <c r="C3290" s="55" t="s">
        <v>7441</v>
      </c>
      <c r="D3290" s="54" t="s">
        <v>7219</v>
      </c>
      <c r="E3290" s="56">
        <v>0</v>
      </c>
      <c r="F3290" s="57" t="s">
        <v>878</v>
      </c>
      <c r="G3290" s="58">
        <v>1095000</v>
      </c>
      <c r="H3290" s="59">
        <v>1456350</v>
      </c>
      <c r="I3290" s="59">
        <f t="shared" si="102"/>
        <v>0</v>
      </c>
    </row>
    <row r="3291" spans="1:9" customFormat="1" ht="23" x14ac:dyDescent="0.35">
      <c r="A3291" s="63">
        <f t="shared" si="103"/>
        <v>3290</v>
      </c>
      <c r="B3291" s="54" t="s">
        <v>7442</v>
      </c>
      <c r="C3291" s="55" t="s">
        <v>7443</v>
      </c>
      <c r="D3291" s="54" t="s">
        <v>7219</v>
      </c>
      <c r="E3291" s="56">
        <v>0</v>
      </c>
      <c r="F3291" s="57" t="s">
        <v>878</v>
      </c>
      <c r="G3291" s="58">
        <v>0</v>
      </c>
      <c r="H3291" s="59">
        <v>10682750</v>
      </c>
      <c r="I3291" s="59">
        <f t="shared" si="102"/>
        <v>0</v>
      </c>
    </row>
    <row r="3292" spans="1:9" customFormat="1" x14ac:dyDescent="0.35">
      <c r="A3292" s="63">
        <f t="shared" si="103"/>
        <v>3291</v>
      </c>
      <c r="B3292" s="54" t="s">
        <v>7444</v>
      </c>
      <c r="C3292" s="55" t="s">
        <v>7445</v>
      </c>
      <c r="D3292" s="54" t="s">
        <v>7219</v>
      </c>
      <c r="E3292" s="56">
        <v>0</v>
      </c>
      <c r="F3292" s="57" t="s">
        <v>6751</v>
      </c>
      <c r="G3292" s="58">
        <v>2500</v>
      </c>
      <c r="H3292" s="59">
        <v>4000</v>
      </c>
      <c r="I3292" s="59">
        <f t="shared" si="102"/>
        <v>0</v>
      </c>
    </row>
    <row r="3293" spans="1:9" customFormat="1" x14ac:dyDescent="0.35">
      <c r="A3293" s="63">
        <f t="shared" si="103"/>
        <v>3292</v>
      </c>
      <c r="B3293" s="54" t="s">
        <v>7446</v>
      </c>
      <c r="C3293" s="55" t="s">
        <v>7447</v>
      </c>
      <c r="D3293" s="54" t="s">
        <v>7219</v>
      </c>
      <c r="E3293" s="56">
        <v>0</v>
      </c>
      <c r="F3293" s="57" t="s">
        <v>6751</v>
      </c>
      <c r="G3293" s="58">
        <v>3700</v>
      </c>
      <c r="H3293" s="59">
        <v>6000</v>
      </c>
      <c r="I3293" s="59">
        <f t="shared" si="102"/>
        <v>0</v>
      </c>
    </row>
    <row r="3294" spans="1:9" customFormat="1" x14ac:dyDescent="0.35">
      <c r="A3294" s="63">
        <f t="shared" si="103"/>
        <v>3293</v>
      </c>
      <c r="B3294" s="54" t="s">
        <v>7448</v>
      </c>
      <c r="C3294" s="55" t="s">
        <v>7449</v>
      </c>
      <c r="D3294" s="54" t="s">
        <v>7219</v>
      </c>
      <c r="E3294" s="56">
        <v>0</v>
      </c>
      <c r="F3294" s="57" t="s">
        <v>6751</v>
      </c>
      <c r="G3294" s="58">
        <v>90000</v>
      </c>
      <c r="H3294" s="59">
        <v>133000</v>
      </c>
      <c r="I3294" s="59">
        <f t="shared" si="102"/>
        <v>0</v>
      </c>
    </row>
    <row r="3295" spans="1:9" customFormat="1" x14ac:dyDescent="0.35">
      <c r="A3295" s="63">
        <f t="shared" si="103"/>
        <v>3294</v>
      </c>
      <c r="B3295" s="54" t="s">
        <v>7450</v>
      </c>
      <c r="C3295" s="55" t="s">
        <v>7451</v>
      </c>
      <c r="D3295" s="54" t="s">
        <v>7219</v>
      </c>
      <c r="E3295" s="56">
        <v>0</v>
      </c>
      <c r="F3295" s="57" t="s">
        <v>6751</v>
      </c>
      <c r="G3295" s="58">
        <v>90000</v>
      </c>
      <c r="H3295" s="59">
        <v>133000</v>
      </c>
      <c r="I3295" s="59">
        <f t="shared" si="102"/>
        <v>0</v>
      </c>
    </row>
    <row r="3296" spans="1:9" customFormat="1" x14ac:dyDescent="0.35">
      <c r="A3296" s="63">
        <f t="shared" si="103"/>
        <v>3295</v>
      </c>
      <c r="B3296" s="54" t="s">
        <v>7452</v>
      </c>
      <c r="C3296" s="55" t="s">
        <v>7453</v>
      </c>
      <c r="D3296" s="54" t="s">
        <v>7219</v>
      </c>
      <c r="E3296" s="56">
        <v>0</v>
      </c>
      <c r="F3296" s="57" t="s">
        <v>6751</v>
      </c>
      <c r="G3296" s="58">
        <v>90000</v>
      </c>
      <c r="H3296" s="59">
        <v>133000</v>
      </c>
      <c r="I3296" s="59">
        <f t="shared" si="102"/>
        <v>0</v>
      </c>
    </row>
    <row r="3297" spans="1:9" customFormat="1" x14ac:dyDescent="0.35">
      <c r="A3297" s="63">
        <f t="shared" si="103"/>
        <v>3296</v>
      </c>
      <c r="B3297" s="54" t="s">
        <v>7454</v>
      </c>
      <c r="C3297" s="55" t="s">
        <v>7455</v>
      </c>
      <c r="D3297" s="54" t="s">
        <v>7219</v>
      </c>
      <c r="E3297" s="56">
        <v>0</v>
      </c>
      <c r="F3297" s="57" t="s">
        <v>6751</v>
      </c>
      <c r="G3297" s="58">
        <v>74000</v>
      </c>
      <c r="H3297" s="59">
        <v>99750</v>
      </c>
      <c r="I3297" s="59">
        <f t="shared" si="102"/>
        <v>0</v>
      </c>
    </row>
    <row r="3298" spans="1:9" customFormat="1" x14ac:dyDescent="0.35">
      <c r="A3298" s="63">
        <f t="shared" si="103"/>
        <v>3297</v>
      </c>
      <c r="B3298" s="54" t="s">
        <v>7456</v>
      </c>
      <c r="C3298" s="55" t="s">
        <v>7457</v>
      </c>
      <c r="D3298" s="54" t="s">
        <v>7219</v>
      </c>
      <c r="E3298" s="56">
        <v>0</v>
      </c>
      <c r="F3298" s="57" t="s">
        <v>6751</v>
      </c>
      <c r="G3298" s="58">
        <v>3500000</v>
      </c>
      <c r="H3298" s="59">
        <v>4410000</v>
      </c>
      <c r="I3298" s="59">
        <f t="shared" si="102"/>
        <v>0</v>
      </c>
    </row>
    <row r="3299" spans="1:9" customFormat="1" x14ac:dyDescent="0.35">
      <c r="A3299" s="63">
        <f t="shared" si="103"/>
        <v>3298</v>
      </c>
      <c r="B3299" s="54" t="s">
        <v>7458</v>
      </c>
      <c r="C3299" s="55" t="s">
        <v>7459</v>
      </c>
      <c r="D3299" s="54" t="s">
        <v>7219</v>
      </c>
      <c r="E3299" s="56">
        <v>0</v>
      </c>
      <c r="F3299" s="57" t="s">
        <v>6751</v>
      </c>
      <c r="G3299" s="58">
        <v>5000000</v>
      </c>
      <c r="H3299" s="59">
        <v>6975000</v>
      </c>
      <c r="I3299" s="59">
        <f t="shared" si="102"/>
        <v>0</v>
      </c>
    </row>
    <row r="3300" spans="1:9" customFormat="1" x14ac:dyDescent="0.35">
      <c r="A3300" s="63">
        <f t="shared" si="103"/>
        <v>3299</v>
      </c>
      <c r="B3300" s="54" t="s">
        <v>7460</v>
      </c>
      <c r="C3300" s="55" t="s">
        <v>7461</v>
      </c>
      <c r="D3300" s="54" t="s">
        <v>7219</v>
      </c>
      <c r="E3300" s="56">
        <v>0</v>
      </c>
      <c r="F3300" s="57" t="s">
        <v>6751</v>
      </c>
      <c r="G3300" s="58">
        <v>20000</v>
      </c>
      <c r="H3300" s="59">
        <v>35000</v>
      </c>
      <c r="I3300" s="59">
        <f t="shared" si="102"/>
        <v>0</v>
      </c>
    </row>
    <row r="3301" spans="1:9" customFormat="1" x14ac:dyDescent="0.35">
      <c r="A3301" s="63">
        <f t="shared" si="103"/>
        <v>3300</v>
      </c>
      <c r="B3301" s="54" t="s">
        <v>7462</v>
      </c>
      <c r="C3301" s="55" t="s">
        <v>7463</v>
      </c>
      <c r="D3301" s="54" t="s">
        <v>7219</v>
      </c>
      <c r="E3301" s="56">
        <v>0</v>
      </c>
      <c r="F3301" s="57" t="s">
        <v>6751</v>
      </c>
      <c r="G3301" s="58">
        <v>94718</v>
      </c>
      <c r="H3301" s="59">
        <v>139650</v>
      </c>
      <c r="I3301" s="59">
        <f t="shared" si="102"/>
        <v>0</v>
      </c>
    </row>
    <row r="3302" spans="1:9" customFormat="1" x14ac:dyDescent="0.35">
      <c r="A3302" s="63">
        <f t="shared" si="103"/>
        <v>3301</v>
      </c>
      <c r="B3302" s="54" t="s">
        <v>7464</v>
      </c>
      <c r="C3302" s="55" t="s">
        <v>7465</v>
      </c>
      <c r="D3302" s="54" t="s">
        <v>7219</v>
      </c>
      <c r="E3302" s="56">
        <v>0</v>
      </c>
      <c r="F3302" s="57" t="s">
        <v>6751</v>
      </c>
      <c r="G3302" s="58">
        <v>0</v>
      </c>
      <c r="H3302" s="59">
        <v>353280</v>
      </c>
      <c r="I3302" s="59">
        <f t="shared" si="102"/>
        <v>0</v>
      </c>
    </row>
    <row r="3303" spans="1:9" customFormat="1" x14ac:dyDescent="0.35">
      <c r="A3303" s="63">
        <f t="shared" si="103"/>
        <v>3302</v>
      </c>
      <c r="B3303" s="54" t="s">
        <v>7466</v>
      </c>
      <c r="C3303" s="55" t="s">
        <v>7467</v>
      </c>
      <c r="D3303" s="54" t="s">
        <v>7219</v>
      </c>
      <c r="E3303" s="56">
        <v>0</v>
      </c>
      <c r="F3303" s="57" t="s">
        <v>870</v>
      </c>
      <c r="G3303" s="58">
        <v>17000</v>
      </c>
      <c r="H3303" s="59">
        <v>22800</v>
      </c>
      <c r="I3303" s="59">
        <f t="shared" si="102"/>
        <v>0</v>
      </c>
    </row>
    <row r="3304" spans="1:9" customFormat="1" ht="23" x14ac:dyDescent="0.35">
      <c r="A3304" s="63">
        <f t="shared" si="103"/>
        <v>3303</v>
      </c>
      <c r="B3304" s="54" t="s">
        <v>7468</v>
      </c>
      <c r="C3304" s="55" t="s">
        <v>7469</v>
      </c>
      <c r="D3304" s="54" t="s">
        <v>7219</v>
      </c>
      <c r="E3304" s="56">
        <v>0</v>
      </c>
      <c r="F3304" s="57" t="s">
        <v>6751</v>
      </c>
      <c r="G3304" s="58">
        <v>40000</v>
      </c>
      <c r="H3304" s="59">
        <v>54000</v>
      </c>
      <c r="I3304" s="59">
        <f t="shared" si="102"/>
        <v>0</v>
      </c>
    </row>
    <row r="3305" spans="1:9" customFormat="1" ht="23" x14ac:dyDescent="0.35">
      <c r="A3305" s="63">
        <f t="shared" si="103"/>
        <v>3304</v>
      </c>
      <c r="B3305" s="54" t="s">
        <v>7470</v>
      </c>
      <c r="C3305" s="55" t="s">
        <v>7471</v>
      </c>
      <c r="D3305" s="54" t="s">
        <v>7219</v>
      </c>
      <c r="E3305" s="56">
        <v>0</v>
      </c>
      <c r="F3305" s="57" t="s">
        <v>6751</v>
      </c>
      <c r="G3305" s="58">
        <v>70000</v>
      </c>
      <c r="H3305" s="59">
        <v>94500</v>
      </c>
      <c r="I3305" s="59">
        <f t="shared" si="102"/>
        <v>0</v>
      </c>
    </row>
    <row r="3306" spans="1:9" customFormat="1" ht="23" x14ac:dyDescent="0.35">
      <c r="A3306" s="63">
        <f t="shared" si="103"/>
        <v>3305</v>
      </c>
      <c r="B3306" s="54" t="s">
        <v>7472</v>
      </c>
      <c r="C3306" s="55" t="s">
        <v>7473</v>
      </c>
      <c r="D3306" s="54" t="s">
        <v>7219</v>
      </c>
      <c r="E3306" s="56">
        <v>0</v>
      </c>
      <c r="F3306" s="57" t="s">
        <v>6751</v>
      </c>
      <c r="G3306" s="58">
        <v>80000</v>
      </c>
      <c r="H3306" s="59">
        <v>108000</v>
      </c>
      <c r="I3306" s="59">
        <f t="shared" si="102"/>
        <v>0</v>
      </c>
    </row>
    <row r="3307" spans="1:9" customFormat="1" x14ac:dyDescent="0.35">
      <c r="A3307" s="63">
        <f t="shared" si="103"/>
        <v>3306</v>
      </c>
      <c r="B3307" s="54" t="s">
        <v>7474</v>
      </c>
      <c r="C3307" s="55" t="s">
        <v>7475</v>
      </c>
      <c r="D3307" s="54" t="s">
        <v>7219</v>
      </c>
      <c r="E3307" s="56">
        <v>0</v>
      </c>
      <c r="F3307" s="57" t="s">
        <v>6751</v>
      </c>
      <c r="G3307" s="58">
        <v>0</v>
      </c>
      <c r="H3307" s="59">
        <v>204000</v>
      </c>
      <c r="I3307" s="59">
        <f t="shared" si="102"/>
        <v>0</v>
      </c>
    </row>
    <row r="3308" spans="1:9" customFormat="1" x14ac:dyDescent="0.35">
      <c r="A3308" s="63">
        <f t="shared" si="103"/>
        <v>3307</v>
      </c>
      <c r="B3308" s="54" t="s">
        <v>7476</v>
      </c>
      <c r="C3308" s="55" t="s">
        <v>7477</v>
      </c>
      <c r="D3308" s="54" t="s">
        <v>7219</v>
      </c>
      <c r="E3308" s="56">
        <v>0</v>
      </c>
      <c r="F3308" s="57" t="s">
        <v>870</v>
      </c>
      <c r="G3308" s="58">
        <v>7500</v>
      </c>
      <c r="H3308" s="59">
        <v>11040</v>
      </c>
      <c r="I3308" s="59">
        <f t="shared" si="102"/>
        <v>0</v>
      </c>
    </row>
    <row r="3309" spans="1:9" customFormat="1" x14ac:dyDescent="0.35">
      <c r="A3309" s="63">
        <f t="shared" si="103"/>
        <v>3308</v>
      </c>
      <c r="B3309" s="54" t="s">
        <v>7478</v>
      </c>
      <c r="C3309" s="55" t="s">
        <v>7479</v>
      </c>
      <c r="D3309" s="54" t="s">
        <v>7219</v>
      </c>
      <c r="E3309" s="56">
        <v>0</v>
      </c>
      <c r="F3309" s="57" t="s">
        <v>6751</v>
      </c>
      <c r="G3309" s="58">
        <v>350000</v>
      </c>
      <c r="H3309" s="59">
        <v>441000</v>
      </c>
      <c r="I3309" s="59">
        <f t="shared" si="102"/>
        <v>0</v>
      </c>
    </row>
    <row r="3310" spans="1:9" customFormat="1" ht="25.4" customHeight="1" x14ac:dyDescent="0.35">
      <c r="A3310" s="119" t="s">
        <v>530</v>
      </c>
      <c r="B3310" s="120"/>
      <c r="C3310" s="121"/>
      <c r="D3310" s="60"/>
      <c r="E3310" s="94">
        <f>SUM(E2:E3309)</f>
        <v>637454</v>
      </c>
      <c r="F3310" s="60"/>
      <c r="G3310" s="61"/>
      <c r="H3310" s="62"/>
      <c r="I3310" s="62">
        <f>SUM(I2:I3309)</f>
        <v>2147801468.7420001</v>
      </c>
    </row>
    <row r="3312" spans="1:9" x14ac:dyDescent="0.35">
      <c r="B3312" s="78"/>
      <c r="C3312" s="79"/>
      <c r="D3312" s="78"/>
      <c r="E3312" s="95"/>
      <c r="F3312" s="78"/>
      <c r="G3312" s="80"/>
      <c r="H3312" s="81"/>
      <c r="I3312" s="81"/>
    </row>
    <row r="3314" spans="3:3" x14ac:dyDescent="0.35">
      <c r="C3314" s="82"/>
    </row>
    <row r="3315" spans="3:3" x14ac:dyDescent="0.35">
      <c r="C3315" s="82"/>
    </row>
    <row r="3316" spans="3:3" x14ac:dyDescent="0.35">
      <c r="C3316" s="82"/>
    </row>
    <row r="3317" spans="3:3" x14ac:dyDescent="0.35">
      <c r="C3317" s="82"/>
    </row>
    <row r="3318" spans="3:3" x14ac:dyDescent="0.35">
      <c r="C3318" s="82"/>
    </row>
    <row r="3319" spans="3:3" x14ac:dyDescent="0.35">
      <c r="C3319" s="82"/>
    </row>
    <row r="3320" spans="3:3" x14ac:dyDescent="0.35">
      <c r="C3320" s="82"/>
    </row>
    <row r="3321" spans="3:3" x14ac:dyDescent="0.35">
      <c r="C3321" s="82"/>
    </row>
    <row r="3322" spans="3:3" x14ac:dyDescent="0.35">
      <c r="C3322" s="82"/>
    </row>
    <row r="3323" spans="3:3" x14ac:dyDescent="0.35">
      <c r="C3323" s="82"/>
    </row>
    <row r="3324" spans="3:3" x14ac:dyDescent="0.35">
      <c r="C3324" s="82"/>
    </row>
    <row r="3325" spans="3:3" x14ac:dyDescent="0.35">
      <c r="C3325" s="82"/>
    </row>
    <row r="3326" spans="3:3" x14ac:dyDescent="0.35">
      <c r="C3326" s="82"/>
    </row>
    <row r="3327" spans="3:3" x14ac:dyDescent="0.35">
      <c r="C3327" s="82"/>
    </row>
    <row r="3328" spans="3:3" x14ac:dyDescent="0.35">
      <c r="C3328" s="82"/>
    </row>
    <row r="3329" spans="3:3" x14ac:dyDescent="0.35">
      <c r="C3329" s="82"/>
    </row>
    <row r="3330" spans="3:3" x14ac:dyDescent="0.35">
      <c r="C3330" s="82"/>
    </row>
    <row r="3331" spans="3:3" x14ac:dyDescent="0.35">
      <c r="C3331" s="82"/>
    </row>
    <row r="3332" spans="3:3" x14ac:dyDescent="0.35">
      <c r="C3332" s="82"/>
    </row>
    <row r="3333" spans="3:3" x14ac:dyDescent="0.35">
      <c r="C3333" s="82"/>
    </row>
    <row r="3334" spans="3:3" x14ac:dyDescent="0.35">
      <c r="C3334" s="82"/>
    </row>
    <row r="3335" spans="3:3" x14ac:dyDescent="0.35">
      <c r="C3335" s="82"/>
    </row>
    <row r="3336" spans="3:3" x14ac:dyDescent="0.35">
      <c r="C3336" s="82"/>
    </row>
    <row r="3337" spans="3:3" x14ac:dyDescent="0.35">
      <c r="C3337" s="82"/>
    </row>
    <row r="3338" spans="3:3" x14ac:dyDescent="0.35">
      <c r="C3338" s="82"/>
    </row>
    <row r="3339" spans="3:3" x14ac:dyDescent="0.35">
      <c r="C3339" s="82"/>
    </row>
    <row r="3340" spans="3:3" x14ac:dyDescent="0.35">
      <c r="C3340" s="82"/>
    </row>
    <row r="3341" spans="3:3" x14ac:dyDescent="0.35">
      <c r="C3341" s="82"/>
    </row>
    <row r="3342" spans="3:3" x14ac:dyDescent="0.35">
      <c r="C3342" s="82"/>
    </row>
    <row r="3343" spans="3:3" x14ac:dyDescent="0.35">
      <c r="C3343" s="82"/>
    </row>
    <row r="3344" spans="3:3" x14ac:dyDescent="0.35">
      <c r="C3344" s="82"/>
    </row>
    <row r="3345" spans="1:7" x14ac:dyDescent="0.35">
      <c r="C3345" s="82"/>
    </row>
    <row r="3346" spans="1:7" x14ac:dyDescent="0.35">
      <c r="C3346" s="82"/>
    </row>
    <row r="3347" spans="1:7" x14ac:dyDescent="0.35">
      <c r="C3347" s="82"/>
    </row>
    <row r="3348" spans="1:7" x14ac:dyDescent="0.35">
      <c r="C3348" s="82"/>
    </row>
    <row r="3349" spans="1:7" x14ac:dyDescent="0.35">
      <c r="C3349" s="82"/>
    </row>
    <row r="3350" spans="1:7" x14ac:dyDescent="0.35">
      <c r="C3350" s="82"/>
    </row>
    <row r="3351" spans="1:7" x14ac:dyDescent="0.35">
      <c r="C3351" s="82"/>
    </row>
    <row r="3352" spans="1:7" x14ac:dyDescent="0.35">
      <c r="C3352" s="82"/>
    </row>
    <row r="3353" spans="1:7" x14ac:dyDescent="0.35">
      <c r="C3353" s="82"/>
    </row>
    <row r="3354" spans="1:7" x14ac:dyDescent="0.35">
      <c r="C3354" s="82"/>
    </row>
    <row r="3355" spans="1:7" x14ac:dyDescent="0.35">
      <c r="C3355" s="82"/>
    </row>
    <row r="3356" spans="1:7" x14ac:dyDescent="0.35">
      <c r="C3356" s="82"/>
    </row>
    <row r="3357" spans="1:7" x14ac:dyDescent="0.35">
      <c r="C3357" s="82"/>
    </row>
    <row r="3358" spans="1:7" s="84" customFormat="1" x14ac:dyDescent="0.35">
      <c r="A3358" s="77"/>
      <c r="B3358" s="64"/>
      <c r="C3358" s="82"/>
      <c r="D3358" s="64"/>
      <c r="E3358" s="96"/>
      <c r="F3358" s="64"/>
      <c r="G3358" s="70"/>
    </row>
    <row r="3359" spans="1:7" s="84" customFormat="1" x14ac:dyDescent="0.35">
      <c r="A3359" s="77"/>
      <c r="B3359" s="64"/>
      <c r="C3359" s="82"/>
      <c r="D3359" s="64"/>
      <c r="E3359" s="96"/>
      <c r="F3359" s="64"/>
      <c r="G3359" s="70"/>
    </row>
    <row r="3360" spans="1:7" s="84" customFormat="1" x14ac:dyDescent="0.35">
      <c r="A3360" s="77"/>
      <c r="B3360" s="64"/>
      <c r="C3360" s="82"/>
      <c r="D3360" s="64"/>
      <c r="E3360" s="96"/>
      <c r="F3360" s="64"/>
      <c r="G3360" s="70"/>
    </row>
    <row r="3361" spans="1:7" s="84" customFormat="1" x14ac:dyDescent="0.35">
      <c r="A3361" s="77"/>
      <c r="B3361" s="64"/>
      <c r="C3361" s="82"/>
      <c r="D3361" s="64"/>
      <c r="E3361" s="96"/>
      <c r="F3361" s="64"/>
      <c r="G3361" s="70"/>
    </row>
    <row r="3362" spans="1:7" s="84" customFormat="1" x14ac:dyDescent="0.35">
      <c r="A3362" s="77"/>
      <c r="B3362" s="64"/>
      <c r="C3362" s="82"/>
      <c r="D3362" s="64"/>
      <c r="E3362" s="96"/>
      <c r="F3362" s="64"/>
      <c r="G3362" s="70"/>
    </row>
    <row r="3363" spans="1:7" s="84" customFormat="1" x14ac:dyDescent="0.35">
      <c r="A3363" s="77"/>
      <c r="B3363" s="64"/>
      <c r="C3363" s="82"/>
      <c r="D3363" s="64"/>
      <c r="E3363" s="96"/>
      <c r="F3363" s="64"/>
      <c r="G3363" s="70"/>
    </row>
    <row r="3364" spans="1:7" s="84" customFormat="1" x14ac:dyDescent="0.35">
      <c r="A3364" s="77"/>
      <c r="B3364" s="64"/>
      <c r="C3364" s="82"/>
      <c r="D3364" s="64"/>
      <c r="E3364" s="96"/>
      <c r="F3364" s="64"/>
      <c r="G3364" s="70"/>
    </row>
    <row r="3365" spans="1:7" s="84" customFormat="1" x14ac:dyDescent="0.35">
      <c r="A3365" s="77"/>
      <c r="B3365" s="64"/>
      <c r="C3365" s="82"/>
      <c r="D3365" s="64"/>
      <c r="E3365" s="96"/>
      <c r="F3365" s="64"/>
      <c r="G3365" s="70"/>
    </row>
    <row r="3366" spans="1:7" s="84" customFormat="1" x14ac:dyDescent="0.35">
      <c r="A3366" s="77"/>
      <c r="B3366" s="64"/>
      <c r="C3366" s="82"/>
      <c r="D3366" s="64"/>
      <c r="E3366" s="96"/>
      <c r="F3366" s="64"/>
      <c r="G3366" s="70"/>
    </row>
    <row r="3367" spans="1:7" s="84" customFormat="1" x14ac:dyDescent="0.35">
      <c r="A3367" s="77"/>
      <c r="B3367" s="64"/>
      <c r="C3367" s="82"/>
      <c r="D3367" s="64"/>
      <c r="E3367" s="96"/>
      <c r="F3367" s="64"/>
      <c r="G3367" s="70"/>
    </row>
    <row r="3368" spans="1:7" s="84" customFormat="1" x14ac:dyDescent="0.35">
      <c r="A3368" s="77"/>
      <c r="B3368" s="64"/>
      <c r="C3368" s="82"/>
      <c r="D3368" s="64"/>
      <c r="E3368" s="96"/>
      <c r="F3368" s="64"/>
      <c r="G3368" s="70"/>
    </row>
    <row r="3369" spans="1:7" s="84" customFormat="1" x14ac:dyDescent="0.35">
      <c r="A3369" s="77"/>
      <c r="B3369" s="64"/>
      <c r="C3369" s="82"/>
      <c r="D3369" s="64"/>
      <c r="E3369" s="96"/>
      <c r="F3369" s="64"/>
      <c r="G3369" s="70"/>
    </row>
    <row r="3370" spans="1:7" s="84" customFormat="1" x14ac:dyDescent="0.35">
      <c r="A3370" s="77"/>
      <c r="B3370" s="64"/>
      <c r="C3370" s="82"/>
      <c r="D3370" s="64"/>
      <c r="E3370" s="96"/>
      <c r="F3370" s="64"/>
      <c r="G3370" s="70"/>
    </row>
    <row r="3371" spans="1:7" s="84" customFormat="1" x14ac:dyDescent="0.35">
      <c r="A3371" s="77"/>
      <c r="B3371" s="64"/>
      <c r="C3371" s="82"/>
      <c r="D3371" s="64"/>
      <c r="E3371" s="96"/>
      <c r="F3371" s="64"/>
      <c r="G3371" s="85"/>
    </row>
    <row r="3372" spans="1:7" s="84" customFormat="1" x14ac:dyDescent="0.35">
      <c r="A3372" s="77"/>
      <c r="B3372" s="64"/>
      <c r="C3372" s="82"/>
      <c r="D3372" s="64"/>
      <c r="E3372" s="96"/>
      <c r="F3372" s="64"/>
      <c r="G3372" s="70"/>
    </row>
    <row r="3373" spans="1:7" s="84" customFormat="1" x14ac:dyDescent="0.35">
      <c r="A3373" s="77"/>
      <c r="B3373" s="64"/>
      <c r="C3373" s="82"/>
      <c r="D3373" s="64"/>
      <c r="E3373" s="96"/>
      <c r="F3373" s="64"/>
      <c r="G3373" s="70"/>
    </row>
    <row r="3374" spans="1:7" x14ac:dyDescent="0.35">
      <c r="C3374" s="82"/>
    </row>
    <row r="3375" spans="1:7" x14ac:dyDescent="0.35">
      <c r="C3375" s="82"/>
    </row>
    <row r="3376" spans="1:7" x14ac:dyDescent="0.35">
      <c r="C3376" s="82"/>
    </row>
    <row r="3377" spans="1:7" x14ac:dyDescent="0.35">
      <c r="C3377" s="82"/>
    </row>
    <row r="3378" spans="1:7" x14ac:dyDescent="0.35">
      <c r="C3378" s="82"/>
    </row>
    <row r="3379" spans="1:7" x14ac:dyDescent="0.35">
      <c r="C3379" s="82"/>
    </row>
    <row r="3380" spans="1:7" x14ac:dyDescent="0.35">
      <c r="C3380" s="82"/>
    </row>
    <row r="3381" spans="1:7" x14ac:dyDescent="0.35">
      <c r="C3381" s="82"/>
    </row>
    <row r="3382" spans="1:7" x14ac:dyDescent="0.35">
      <c r="C3382" s="82"/>
    </row>
    <row r="3383" spans="1:7" x14ac:dyDescent="0.35">
      <c r="C3383" s="82"/>
    </row>
    <row r="3384" spans="1:7" x14ac:dyDescent="0.35">
      <c r="C3384" s="82"/>
    </row>
    <row r="3385" spans="1:7" x14ac:dyDescent="0.35">
      <c r="C3385" s="82"/>
    </row>
    <row r="3386" spans="1:7" x14ac:dyDescent="0.35">
      <c r="C3386" s="82"/>
    </row>
    <row r="3387" spans="1:7" x14ac:dyDescent="0.35">
      <c r="C3387" s="82"/>
    </row>
    <row r="3388" spans="1:7" x14ac:dyDescent="0.35">
      <c r="C3388" s="82"/>
    </row>
    <row r="3389" spans="1:7" x14ac:dyDescent="0.35">
      <c r="C3389" s="82"/>
    </row>
    <row r="3390" spans="1:7" s="84" customFormat="1" x14ac:dyDescent="0.35">
      <c r="A3390" s="77"/>
      <c r="B3390" s="64"/>
      <c r="C3390" s="82"/>
      <c r="D3390" s="64"/>
      <c r="E3390" s="96"/>
      <c r="F3390" s="64"/>
      <c r="G3390" s="85"/>
    </row>
    <row r="3391" spans="1:7" s="84" customFormat="1" x14ac:dyDescent="0.35">
      <c r="A3391" s="77"/>
      <c r="B3391" s="64"/>
      <c r="C3391" s="82"/>
      <c r="D3391" s="64"/>
      <c r="E3391" s="96"/>
      <c r="F3391" s="64"/>
      <c r="G3391" s="70"/>
    </row>
    <row r="3392" spans="1:7" s="84" customFormat="1" x14ac:dyDescent="0.35">
      <c r="A3392" s="77"/>
      <c r="B3392" s="64"/>
      <c r="C3392" s="82"/>
      <c r="D3392" s="64"/>
      <c r="E3392" s="96"/>
      <c r="F3392" s="64"/>
      <c r="G3392" s="70"/>
    </row>
    <row r="3393" spans="1:7" s="84" customFormat="1" x14ac:dyDescent="0.35">
      <c r="A3393" s="77"/>
      <c r="B3393" s="64"/>
      <c r="C3393" s="82"/>
      <c r="D3393" s="64"/>
      <c r="E3393" s="96"/>
      <c r="F3393" s="64"/>
      <c r="G3393" s="70"/>
    </row>
    <row r="3394" spans="1:7" s="84" customFormat="1" x14ac:dyDescent="0.35">
      <c r="A3394" s="77"/>
      <c r="B3394" s="64"/>
      <c r="C3394" s="82"/>
      <c r="D3394" s="64"/>
      <c r="E3394" s="96"/>
      <c r="F3394" s="64"/>
      <c r="G3394" s="70"/>
    </row>
    <row r="3395" spans="1:7" s="84" customFormat="1" x14ac:dyDescent="0.35">
      <c r="A3395" s="77"/>
      <c r="B3395" s="64"/>
      <c r="C3395" s="82"/>
      <c r="D3395" s="64"/>
      <c r="E3395" s="96"/>
      <c r="F3395" s="64"/>
      <c r="G3395" s="70"/>
    </row>
    <row r="3396" spans="1:7" s="84" customFormat="1" x14ac:dyDescent="0.35">
      <c r="A3396" s="77"/>
      <c r="B3396" s="64"/>
      <c r="C3396" s="82"/>
      <c r="D3396" s="64"/>
      <c r="E3396" s="96"/>
      <c r="F3396" s="64"/>
      <c r="G3396" s="70"/>
    </row>
    <row r="3397" spans="1:7" s="84" customFormat="1" x14ac:dyDescent="0.35">
      <c r="A3397" s="77"/>
      <c r="B3397" s="64"/>
      <c r="C3397" s="82"/>
      <c r="D3397" s="64"/>
      <c r="E3397" s="96"/>
      <c r="F3397" s="64"/>
      <c r="G3397" s="70"/>
    </row>
    <row r="3398" spans="1:7" s="84" customFormat="1" x14ac:dyDescent="0.35">
      <c r="A3398" s="77"/>
      <c r="B3398" s="64"/>
      <c r="C3398" s="82"/>
      <c r="D3398" s="64"/>
      <c r="E3398" s="96"/>
      <c r="F3398" s="64"/>
      <c r="G3398" s="70"/>
    </row>
    <row r="3399" spans="1:7" s="84" customFormat="1" x14ac:dyDescent="0.35">
      <c r="A3399" s="77"/>
      <c r="B3399" s="64"/>
      <c r="C3399" s="82"/>
      <c r="D3399" s="64"/>
      <c r="E3399" s="96"/>
      <c r="F3399" s="64"/>
      <c r="G3399" s="70"/>
    </row>
    <row r="3400" spans="1:7" s="84" customFormat="1" x14ac:dyDescent="0.35">
      <c r="A3400" s="77"/>
      <c r="B3400" s="64"/>
      <c r="C3400" s="82"/>
      <c r="D3400" s="64"/>
      <c r="E3400" s="96"/>
      <c r="F3400" s="64"/>
      <c r="G3400" s="70"/>
    </row>
    <row r="3401" spans="1:7" s="84" customFormat="1" x14ac:dyDescent="0.35">
      <c r="A3401" s="77"/>
      <c r="B3401" s="64"/>
      <c r="C3401" s="82"/>
      <c r="D3401" s="64"/>
      <c r="E3401" s="96"/>
      <c r="F3401" s="64"/>
      <c r="G3401" s="70"/>
    </row>
    <row r="3402" spans="1:7" s="84" customFormat="1" x14ac:dyDescent="0.35">
      <c r="A3402" s="77"/>
      <c r="B3402" s="64"/>
      <c r="C3402" s="82"/>
      <c r="D3402" s="64"/>
      <c r="E3402" s="96"/>
      <c r="F3402" s="64"/>
      <c r="G3402" s="70"/>
    </row>
    <row r="3403" spans="1:7" s="84" customFormat="1" x14ac:dyDescent="0.35">
      <c r="A3403" s="77"/>
      <c r="B3403" s="64"/>
      <c r="C3403" s="82"/>
      <c r="D3403" s="64"/>
      <c r="E3403" s="96"/>
      <c r="F3403" s="64"/>
      <c r="G3403" s="70"/>
    </row>
    <row r="3404" spans="1:7" s="84" customFormat="1" x14ac:dyDescent="0.35">
      <c r="A3404" s="77"/>
      <c r="B3404" s="64"/>
      <c r="C3404" s="82"/>
      <c r="D3404" s="64"/>
      <c r="E3404" s="96"/>
      <c r="F3404" s="64"/>
      <c r="G3404" s="70"/>
    </row>
    <row r="3405" spans="1:7" s="84" customFormat="1" x14ac:dyDescent="0.35">
      <c r="A3405" s="77"/>
      <c r="B3405" s="64"/>
      <c r="C3405" s="82"/>
      <c r="D3405" s="64"/>
      <c r="E3405" s="96"/>
      <c r="F3405" s="64"/>
      <c r="G3405" s="70"/>
    </row>
    <row r="3406" spans="1:7" x14ac:dyDescent="0.35">
      <c r="C3406" s="82"/>
    </row>
    <row r="3407" spans="1:7" x14ac:dyDescent="0.35">
      <c r="C3407" s="82"/>
    </row>
    <row r="3408" spans="1:7" x14ac:dyDescent="0.35">
      <c r="C3408" s="82"/>
    </row>
    <row r="3409" spans="3:3" x14ac:dyDescent="0.35">
      <c r="C3409" s="82"/>
    </row>
    <row r="3410" spans="3:3" x14ac:dyDescent="0.35">
      <c r="C3410" s="82"/>
    </row>
    <row r="3411" spans="3:3" x14ac:dyDescent="0.35">
      <c r="C3411" s="82"/>
    </row>
    <row r="3412" spans="3:3" x14ac:dyDescent="0.35">
      <c r="C3412" s="82"/>
    </row>
    <row r="3413" spans="3:3" x14ac:dyDescent="0.35">
      <c r="C3413" s="82"/>
    </row>
    <row r="3414" spans="3:3" x14ac:dyDescent="0.35">
      <c r="C3414" s="82"/>
    </row>
    <row r="3415" spans="3:3" x14ac:dyDescent="0.35">
      <c r="C3415" s="82"/>
    </row>
    <row r="3416" spans="3:3" x14ac:dyDescent="0.35">
      <c r="C3416" s="82"/>
    </row>
    <row r="3417" spans="3:3" x14ac:dyDescent="0.35">
      <c r="C3417" s="82"/>
    </row>
    <row r="3418" spans="3:3" x14ac:dyDescent="0.35">
      <c r="C3418" s="82"/>
    </row>
    <row r="3419" spans="3:3" x14ac:dyDescent="0.35">
      <c r="C3419" s="82"/>
    </row>
    <row r="3420" spans="3:3" x14ac:dyDescent="0.35">
      <c r="C3420" s="82"/>
    </row>
    <row r="3421" spans="3:3" x14ac:dyDescent="0.35">
      <c r="C3421" s="82"/>
    </row>
    <row r="3422" spans="3:3" x14ac:dyDescent="0.35">
      <c r="C3422" s="82"/>
    </row>
    <row r="3423" spans="3:3" x14ac:dyDescent="0.35">
      <c r="C3423" s="82"/>
    </row>
    <row r="3424" spans="3:3" x14ac:dyDescent="0.35">
      <c r="C3424" s="82"/>
    </row>
    <row r="3425" spans="3:3" x14ac:dyDescent="0.35">
      <c r="C3425" s="82"/>
    </row>
    <row r="3426" spans="3:3" x14ac:dyDescent="0.35">
      <c r="C3426" s="82"/>
    </row>
    <row r="3427" spans="3:3" x14ac:dyDescent="0.35">
      <c r="C3427" s="82"/>
    </row>
    <row r="3428" spans="3:3" x14ac:dyDescent="0.35">
      <c r="C3428" s="82"/>
    </row>
    <row r="3429" spans="3:3" x14ac:dyDescent="0.35">
      <c r="C3429" s="82"/>
    </row>
    <row r="3430" spans="3:3" x14ac:dyDescent="0.35">
      <c r="C3430" s="82"/>
    </row>
    <row r="3431" spans="3:3" x14ac:dyDescent="0.35">
      <c r="C3431" s="82"/>
    </row>
    <row r="3432" spans="3:3" x14ac:dyDescent="0.35">
      <c r="C3432" s="82"/>
    </row>
    <row r="3433" spans="3:3" x14ac:dyDescent="0.35">
      <c r="C3433" s="82"/>
    </row>
    <row r="3434" spans="3:3" x14ac:dyDescent="0.35">
      <c r="C3434" s="82"/>
    </row>
    <row r="3435" spans="3:3" x14ac:dyDescent="0.35">
      <c r="C3435" s="82"/>
    </row>
    <row r="3436" spans="3:3" x14ac:dyDescent="0.35">
      <c r="C3436" s="82"/>
    </row>
    <row r="3437" spans="3:3" x14ac:dyDescent="0.35">
      <c r="C3437" s="82"/>
    </row>
    <row r="3438" spans="3:3" x14ac:dyDescent="0.35">
      <c r="C3438" s="82"/>
    </row>
    <row r="3439" spans="3:3" x14ac:dyDescent="0.35">
      <c r="C3439" s="82"/>
    </row>
    <row r="3440" spans="3:3" x14ac:dyDescent="0.35">
      <c r="C3440" s="82"/>
    </row>
    <row r="3441" spans="1:7" x14ac:dyDescent="0.35">
      <c r="C3441" s="82"/>
    </row>
    <row r="3442" spans="1:7" x14ac:dyDescent="0.35">
      <c r="C3442" s="82"/>
    </row>
    <row r="3443" spans="1:7" x14ac:dyDescent="0.35">
      <c r="C3443" s="82"/>
    </row>
    <row r="3444" spans="1:7" x14ac:dyDescent="0.35">
      <c r="C3444" s="82"/>
    </row>
    <row r="3445" spans="1:7" x14ac:dyDescent="0.35">
      <c r="C3445" s="82"/>
    </row>
    <row r="3446" spans="1:7" x14ac:dyDescent="0.35">
      <c r="C3446" s="82"/>
    </row>
    <row r="3447" spans="1:7" x14ac:dyDescent="0.35">
      <c r="C3447" s="82"/>
    </row>
    <row r="3448" spans="1:7" x14ac:dyDescent="0.35">
      <c r="C3448" s="82"/>
    </row>
    <row r="3449" spans="1:7" x14ac:dyDescent="0.35">
      <c r="C3449" s="82"/>
    </row>
    <row r="3450" spans="1:7" x14ac:dyDescent="0.35">
      <c r="C3450" s="82"/>
    </row>
    <row r="3451" spans="1:7" x14ac:dyDescent="0.35">
      <c r="C3451" s="82"/>
    </row>
    <row r="3452" spans="1:7" x14ac:dyDescent="0.35">
      <c r="C3452" s="82"/>
    </row>
    <row r="3453" spans="1:7" x14ac:dyDescent="0.35">
      <c r="C3453" s="82"/>
    </row>
    <row r="3454" spans="1:7" s="84" customFormat="1" x14ac:dyDescent="0.35">
      <c r="A3454" s="77"/>
      <c r="B3454" s="64"/>
      <c r="C3454" s="82"/>
      <c r="D3454" s="64"/>
      <c r="E3454" s="96"/>
      <c r="F3454" s="64"/>
      <c r="G3454" s="70"/>
    </row>
    <row r="3455" spans="1:7" s="84" customFormat="1" x14ac:dyDescent="0.35">
      <c r="A3455" s="77"/>
      <c r="B3455" s="64"/>
      <c r="C3455" s="82"/>
      <c r="D3455" s="64"/>
      <c r="E3455" s="96"/>
      <c r="F3455" s="64"/>
      <c r="G3455" s="85"/>
    </row>
    <row r="3456" spans="1:7" s="84" customFormat="1" x14ac:dyDescent="0.35">
      <c r="A3456" s="77"/>
      <c r="B3456" s="64"/>
      <c r="C3456" s="82"/>
      <c r="D3456" s="64"/>
      <c r="E3456" s="96"/>
      <c r="F3456" s="64"/>
      <c r="G3456" s="70"/>
    </row>
    <row r="3457" spans="1:7" s="84" customFormat="1" x14ac:dyDescent="0.35">
      <c r="A3457" s="77"/>
      <c r="B3457" s="64"/>
      <c r="C3457" s="82"/>
      <c r="D3457" s="64"/>
      <c r="E3457" s="96"/>
      <c r="F3457" s="64"/>
      <c r="G3457" s="70"/>
    </row>
    <row r="3458" spans="1:7" s="84" customFormat="1" x14ac:dyDescent="0.35">
      <c r="A3458" s="77"/>
      <c r="B3458" s="64"/>
      <c r="C3458" s="82"/>
      <c r="D3458" s="64"/>
      <c r="E3458" s="96"/>
      <c r="F3458" s="64"/>
      <c r="G3458" s="70"/>
    </row>
    <row r="3459" spans="1:7" s="84" customFormat="1" x14ac:dyDescent="0.35">
      <c r="A3459" s="77"/>
      <c r="B3459" s="64"/>
      <c r="C3459" s="82"/>
      <c r="D3459" s="64"/>
      <c r="E3459" s="96"/>
      <c r="F3459" s="64"/>
      <c r="G3459" s="70"/>
    </row>
    <row r="3460" spans="1:7" s="84" customFormat="1" x14ac:dyDescent="0.35">
      <c r="A3460" s="77"/>
      <c r="B3460" s="64"/>
      <c r="C3460" s="82"/>
      <c r="D3460" s="64"/>
      <c r="E3460" s="96"/>
      <c r="F3460" s="64"/>
      <c r="G3460" s="70"/>
    </row>
    <row r="3461" spans="1:7" s="84" customFormat="1" x14ac:dyDescent="0.35">
      <c r="A3461" s="77"/>
      <c r="B3461" s="64"/>
      <c r="C3461" s="82"/>
      <c r="D3461" s="64"/>
      <c r="E3461" s="96"/>
      <c r="F3461" s="64"/>
      <c r="G3461" s="70"/>
    </row>
    <row r="3462" spans="1:7" s="84" customFormat="1" x14ac:dyDescent="0.35">
      <c r="A3462" s="77"/>
      <c r="B3462" s="64"/>
      <c r="C3462" s="82"/>
      <c r="D3462" s="64"/>
      <c r="E3462" s="96"/>
      <c r="F3462" s="64"/>
      <c r="G3462" s="70"/>
    </row>
    <row r="3463" spans="1:7" s="84" customFormat="1" x14ac:dyDescent="0.35">
      <c r="A3463" s="77"/>
      <c r="B3463" s="64"/>
      <c r="C3463" s="82"/>
      <c r="D3463" s="64"/>
      <c r="E3463" s="96"/>
      <c r="F3463" s="64"/>
      <c r="G3463" s="70"/>
    </row>
    <row r="3464" spans="1:7" s="84" customFormat="1" x14ac:dyDescent="0.35">
      <c r="A3464" s="77"/>
      <c r="B3464" s="64"/>
      <c r="C3464" s="82"/>
      <c r="D3464" s="64"/>
      <c r="E3464" s="96"/>
      <c r="F3464" s="64"/>
      <c r="G3464" s="70"/>
    </row>
    <row r="3465" spans="1:7" s="84" customFormat="1" x14ac:dyDescent="0.35">
      <c r="A3465" s="77"/>
      <c r="B3465" s="64"/>
      <c r="C3465" s="82"/>
      <c r="D3465" s="64"/>
      <c r="E3465" s="96"/>
      <c r="F3465" s="64"/>
      <c r="G3465" s="70"/>
    </row>
    <row r="3466" spans="1:7" s="84" customFormat="1" x14ac:dyDescent="0.35">
      <c r="A3466" s="77"/>
      <c r="B3466" s="64"/>
      <c r="C3466" s="82"/>
      <c r="D3466" s="64"/>
      <c r="E3466" s="96"/>
      <c r="F3466" s="64"/>
      <c r="G3466" s="70"/>
    </row>
    <row r="3467" spans="1:7" s="84" customFormat="1" x14ac:dyDescent="0.35">
      <c r="A3467" s="77"/>
      <c r="B3467" s="64"/>
      <c r="C3467" s="82"/>
      <c r="D3467" s="64"/>
      <c r="E3467" s="96"/>
      <c r="F3467" s="64"/>
      <c r="G3467" s="70"/>
    </row>
    <row r="3468" spans="1:7" s="84" customFormat="1" x14ac:dyDescent="0.35">
      <c r="A3468" s="77"/>
      <c r="B3468" s="64"/>
      <c r="C3468" s="82"/>
      <c r="D3468" s="64"/>
      <c r="E3468" s="96"/>
      <c r="F3468" s="64"/>
      <c r="G3468" s="70"/>
    </row>
    <row r="3469" spans="1:7" s="84" customFormat="1" x14ac:dyDescent="0.35">
      <c r="A3469" s="77"/>
      <c r="B3469" s="64"/>
      <c r="C3469" s="82"/>
      <c r="D3469" s="64"/>
      <c r="E3469" s="96"/>
      <c r="F3469" s="64"/>
      <c r="G3469" s="70"/>
    </row>
    <row r="3470" spans="1:7" x14ac:dyDescent="0.35">
      <c r="C3470" s="82"/>
    </row>
    <row r="3471" spans="1:7" x14ac:dyDescent="0.35">
      <c r="C3471" s="82"/>
    </row>
    <row r="3472" spans="1:7" x14ac:dyDescent="0.35">
      <c r="C3472" s="82"/>
    </row>
    <row r="3473" spans="3:3" x14ac:dyDescent="0.35">
      <c r="C3473" s="82"/>
    </row>
    <row r="3474" spans="3:3" x14ac:dyDescent="0.35">
      <c r="C3474" s="82"/>
    </row>
    <row r="3475" spans="3:3" x14ac:dyDescent="0.35">
      <c r="C3475" s="82"/>
    </row>
    <row r="3476" spans="3:3" x14ac:dyDescent="0.35">
      <c r="C3476" s="82"/>
    </row>
    <row r="3477" spans="3:3" x14ac:dyDescent="0.35">
      <c r="C3477" s="82"/>
    </row>
    <row r="3478" spans="3:3" x14ac:dyDescent="0.35">
      <c r="C3478" s="82"/>
    </row>
    <row r="3479" spans="3:3" x14ac:dyDescent="0.35">
      <c r="C3479" s="82"/>
    </row>
    <row r="3480" spans="3:3" x14ac:dyDescent="0.35">
      <c r="C3480" s="82"/>
    </row>
    <row r="3481" spans="3:3" x14ac:dyDescent="0.35">
      <c r="C3481" s="82"/>
    </row>
    <row r="3482" spans="3:3" x14ac:dyDescent="0.35">
      <c r="C3482" s="82"/>
    </row>
    <row r="3483" spans="3:3" x14ac:dyDescent="0.35">
      <c r="C3483" s="82"/>
    </row>
    <row r="3484" spans="3:3" x14ac:dyDescent="0.35">
      <c r="C3484" s="82"/>
    </row>
    <row r="3485" spans="3:3" x14ac:dyDescent="0.35">
      <c r="C3485" s="82"/>
    </row>
    <row r="3486" spans="3:3" x14ac:dyDescent="0.35">
      <c r="C3486" s="82"/>
    </row>
    <row r="3487" spans="3:3" x14ac:dyDescent="0.35">
      <c r="C3487" s="82"/>
    </row>
    <row r="3488" spans="3:3" x14ac:dyDescent="0.35">
      <c r="C3488" s="82"/>
    </row>
    <row r="3489" spans="3:3" x14ac:dyDescent="0.35">
      <c r="C3489" s="82"/>
    </row>
    <row r="3490" spans="3:3" x14ac:dyDescent="0.35">
      <c r="C3490" s="82"/>
    </row>
    <row r="3491" spans="3:3" x14ac:dyDescent="0.35">
      <c r="C3491" s="82"/>
    </row>
    <row r="3492" spans="3:3" x14ac:dyDescent="0.35">
      <c r="C3492" s="82"/>
    </row>
    <row r="3493" spans="3:3" x14ac:dyDescent="0.35">
      <c r="C3493" s="82"/>
    </row>
    <row r="3494" spans="3:3" x14ac:dyDescent="0.35">
      <c r="C3494" s="82"/>
    </row>
    <row r="3495" spans="3:3" x14ac:dyDescent="0.35">
      <c r="C3495" s="82"/>
    </row>
    <row r="3496" spans="3:3" x14ac:dyDescent="0.35">
      <c r="C3496" s="82"/>
    </row>
    <row r="3497" spans="3:3" x14ac:dyDescent="0.35">
      <c r="C3497" s="82"/>
    </row>
    <row r="3498" spans="3:3" x14ac:dyDescent="0.35">
      <c r="C3498" s="82"/>
    </row>
    <row r="3499" spans="3:3" x14ac:dyDescent="0.35">
      <c r="C3499" s="82"/>
    </row>
    <row r="3500" spans="3:3" x14ac:dyDescent="0.35">
      <c r="C3500" s="82"/>
    </row>
    <row r="3501" spans="3:3" x14ac:dyDescent="0.35">
      <c r="C3501" s="82"/>
    </row>
    <row r="3502" spans="3:3" x14ac:dyDescent="0.35">
      <c r="C3502" s="82"/>
    </row>
    <row r="3503" spans="3:3" x14ac:dyDescent="0.35">
      <c r="C3503" s="82"/>
    </row>
    <row r="3504" spans="3:3" x14ac:dyDescent="0.35">
      <c r="C3504" s="82"/>
    </row>
    <row r="3505" spans="3:3" x14ac:dyDescent="0.35">
      <c r="C3505" s="82"/>
    </row>
    <row r="3506" spans="3:3" x14ac:dyDescent="0.35">
      <c r="C3506" s="82"/>
    </row>
    <row r="3507" spans="3:3" x14ac:dyDescent="0.35">
      <c r="C3507" s="82"/>
    </row>
    <row r="3508" spans="3:3" x14ac:dyDescent="0.35">
      <c r="C3508" s="82"/>
    </row>
    <row r="3509" spans="3:3" x14ac:dyDescent="0.35">
      <c r="C3509" s="82"/>
    </row>
    <row r="3510" spans="3:3" x14ac:dyDescent="0.35">
      <c r="C3510" s="82"/>
    </row>
    <row r="3511" spans="3:3" x14ac:dyDescent="0.35">
      <c r="C3511" s="82"/>
    </row>
    <row r="3512" spans="3:3" x14ac:dyDescent="0.35">
      <c r="C3512" s="82"/>
    </row>
    <row r="3513" spans="3:3" x14ac:dyDescent="0.35">
      <c r="C3513" s="82"/>
    </row>
    <row r="3514" spans="3:3" x14ac:dyDescent="0.35">
      <c r="C3514" s="82"/>
    </row>
    <row r="3515" spans="3:3" x14ac:dyDescent="0.35">
      <c r="C3515" s="82"/>
    </row>
    <row r="3516" spans="3:3" x14ac:dyDescent="0.35">
      <c r="C3516" s="82"/>
    </row>
    <row r="3517" spans="3:3" x14ac:dyDescent="0.35">
      <c r="C3517" s="82"/>
    </row>
    <row r="3518" spans="3:3" x14ac:dyDescent="0.35">
      <c r="C3518" s="82"/>
    </row>
    <row r="3519" spans="3:3" x14ac:dyDescent="0.35">
      <c r="C3519" s="82"/>
    </row>
    <row r="3520" spans="3:3" x14ac:dyDescent="0.35">
      <c r="C3520" s="82"/>
    </row>
    <row r="3521" spans="3:3" x14ac:dyDescent="0.35">
      <c r="C3521" s="82"/>
    </row>
    <row r="3522" spans="3:3" x14ac:dyDescent="0.35">
      <c r="C3522" s="82"/>
    </row>
    <row r="3523" spans="3:3" x14ac:dyDescent="0.35">
      <c r="C3523" s="82"/>
    </row>
    <row r="3524" spans="3:3" x14ac:dyDescent="0.35">
      <c r="C3524" s="82"/>
    </row>
    <row r="3525" spans="3:3" x14ac:dyDescent="0.35">
      <c r="C3525" s="82"/>
    </row>
    <row r="3526" spans="3:3" x14ac:dyDescent="0.35">
      <c r="C3526" s="82"/>
    </row>
    <row r="3527" spans="3:3" x14ac:dyDescent="0.35">
      <c r="C3527" s="82"/>
    </row>
    <row r="3528" spans="3:3" x14ac:dyDescent="0.35">
      <c r="C3528" s="82"/>
    </row>
    <row r="3529" spans="3:3" x14ac:dyDescent="0.35">
      <c r="C3529" s="82"/>
    </row>
    <row r="3530" spans="3:3" x14ac:dyDescent="0.35">
      <c r="C3530" s="82"/>
    </row>
    <row r="3531" spans="3:3" x14ac:dyDescent="0.35">
      <c r="C3531" s="82"/>
    </row>
    <row r="3532" spans="3:3" x14ac:dyDescent="0.35">
      <c r="C3532" s="82"/>
    </row>
    <row r="3533" spans="3:3" x14ac:dyDescent="0.35">
      <c r="C3533" s="82"/>
    </row>
    <row r="3534" spans="3:3" x14ac:dyDescent="0.35">
      <c r="C3534" s="82"/>
    </row>
    <row r="3535" spans="3:3" x14ac:dyDescent="0.35">
      <c r="C3535" s="82"/>
    </row>
    <row r="3536" spans="3:3" x14ac:dyDescent="0.35">
      <c r="C3536" s="82"/>
    </row>
    <row r="3537" spans="3:3" x14ac:dyDescent="0.35">
      <c r="C3537" s="82"/>
    </row>
    <row r="3538" spans="3:3" x14ac:dyDescent="0.35">
      <c r="C3538" s="82"/>
    </row>
    <row r="3539" spans="3:3" x14ac:dyDescent="0.35">
      <c r="C3539" s="82"/>
    </row>
    <row r="3540" spans="3:3" x14ac:dyDescent="0.35">
      <c r="C3540" s="82"/>
    </row>
    <row r="3541" spans="3:3" x14ac:dyDescent="0.35">
      <c r="C3541" s="82"/>
    </row>
    <row r="3542" spans="3:3" x14ac:dyDescent="0.35">
      <c r="C3542" s="82"/>
    </row>
    <row r="3543" spans="3:3" x14ac:dyDescent="0.35">
      <c r="C3543" s="82"/>
    </row>
    <row r="3544" spans="3:3" x14ac:dyDescent="0.35">
      <c r="C3544" s="82"/>
    </row>
    <row r="3545" spans="3:3" x14ac:dyDescent="0.35">
      <c r="C3545" s="82"/>
    </row>
    <row r="3546" spans="3:3" x14ac:dyDescent="0.35">
      <c r="C3546" s="82"/>
    </row>
    <row r="3547" spans="3:3" x14ac:dyDescent="0.35">
      <c r="C3547" s="82"/>
    </row>
    <row r="3548" spans="3:3" x14ac:dyDescent="0.35">
      <c r="C3548" s="82"/>
    </row>
    <row r="3549" spans="3:3" x14ac:dyDescent="0.35">
      <c r="C3549" s="82"/>
    </row>
    <row r="3550" spans="3:3" x14ac:dyDescent="0.35">
      <c r="C3550" s="82"/>
    </row>
    <row r="3551" spans="3:3" x14ac:dyDescent="0.35">
      <c r="C3551" s="82"/>
    </row>
    <row r="3552" spans="3:3" x14ac:dyDescent="0.35">
      <c r="C3552" s="82"/>
    </row>
    <row r="3553" spans="3:3" x14ac:dyDescent="0.35">
      <c r="C3553" s="82"/>
    </row>
    <row r="3554" spans="3:3" x14ac:dyDescent="0.35">
      <c r="C3554" s="82"/>
    </row>
    <row r="3555" spans="3:3" x14ac:dyDescent="0.35">
      <c r="C3555" s="82"/>
    </row>
    <row r="3556" spans="3:3" x14ac:dyDescent="0.35">
      <c r="C3556" s="82"/>
    </row>
    <row r="3557" spans="3:3" x14ac:dyDescent="0.35">
      <c r="C3557" s="82"/>
    </row>
    <row r="3558" spans="3:3" x14ac:dyDescent="0.35">
      <c r="C3558" s="82"/>
    </row>
    <row r="3559" spans="3:3" x14ac:dyDescent="0.35">
      <c r="C3559" s="82"/>
    </row>
    <row r="3560" spans="3:3" x14ac:dyDescent="0.35">
      <c r="C3560" s="82"/>
    </row>
    <row r="3561" spans="3:3" x14ac:dyDescent="0.35">
      <c r="C3561" s="82"/>
    </row>
    <row r="3562" spans="3:3" x14ac:dyDescent="0.35">
      <c r="C3562" s="82"/>
    </row>
    <row r="3563" spans="3:3" x14ac:dyDescent="0.35">
      <c r="C3563" s="82"/>
    </row>
    <row r="3564" spans="3:3" x14ac:dyDescent="0.35">
      <c r="C3564" s="82"/>
    </row>
    <row r="3565" spans="3:3" x14ac:dyDescent="0.35">
      <c r="C3565" s="82"/>
    </row>
    <row r="3566" spans="3:3" x14ac:dyDescent="0.35">
      <c r="C3566" s="82"/>
    </row>
    <row r="3567" spans="3:3" x14ac:dyDescent="0.35">
      <c r="C3567" s="82"/>
    </row>
    <row r="3568" spans="3:3" x14ac:dyDescent="0.35">
      <c r="C3568" s="82"/>
    </row>
    <row r="3569" spans="3:3" x14ac:dyDescent="0.35">
      <c r="C3569" s="82"/>
    </row>
    <row r="3570" spans="3:3" x14ac:dyDescent="0.35">
      <c r="C3570" s="82"/>
    </row>
    <row r="3571" spans="3:3" x14ac:dyDescent="0.35">
      <c r="C3571" s="82"/>
    </row>
    <row r="3572" spans="3:3" x14ac:dyDescent="0.35">
      <c r="C3572" s="82"/>
    </row>
    <row r="3573" spans="3:3" x14ac:dyDescent="0.35">
      <c r="C3573" s="82"/>
    </row>
    <row r="3574" spans="3:3" x14ac:dyDescent="0.35">
      <c r="C3574" s="82"/>
    </row>
    <row r="3575" spans="3:3" x14ac:dyDescent="0.35">
      <c r="C3575" s="82"/>
    </row>
    <row r="3576" spans="3:3" x14ac:dyDescent="0.35">
      <c r="C3576" s="82"/>
    </row>
    <row r="3577" spans="3:3" x14ac:dyDescent="0.35">
      <c r="C3577" s="82"/>
    </row>
    <row r="3578" spans="3:3" x14ac:dyDescent="0.35">
      <c r="C3578" s="82"/>
    </row>
    <row r="3579" spans="3:3" x14ac:dyDescent="0.35">
      <c r="C3579" s="82"/>
    </row>
    <row r="3580" spans="3:3" x14ac:dyDescent="0.35">
      <c r="C3580" s="82"/>
    </row>
    <row r="3581" spans="3:3" x14ac:dyDescent="0.35">
      <c r="C3581" s="82"/>
    </row>
    <row r="3582" spans="3:3" x14ac:dyDescent="0.35">
      <c r="C3582" s="82"/>
    </row>
    <row r="3583" spans="3:3" x14ac:dyDescent="0.35">
      <c r="C3583" s="82"/>
    </row>
    <row r="3584" spans="3:3" x14ac:dyDescent="0.35">
      <c r="C3584" s="82"/>
    </row>
    <row r="3585" spans="3:3" x14ac:dyDescent="0.35">
      <c r="C3585" s="82"/>
    </row>
    <row r="3586" spans="3:3" x14ac:dyDescent="0.35">
      <c r="C3586" s="82"/>
    </row>
    <row r="3587" spans="3:3" x14ac:dyDescent="0.35">
      <c r="C3587" s="82"/>
    </row>
    <row r="3588" spans="3:3" x14ac:dyDescent="0.35">
      <c r="C3588" s="82"/>
    </row>
    <row r="3589" spans="3:3" x14ac:dyDescent="0.35">
      <c r="C3589" s="82"/>
    </row>
    <row r="3590" spans="3:3" x14ac:dyDescent="0.35">
      <c r="C3590" s="82"/>
    </row>
    <row r="3591" spans="3:3" x14ac:dyDescent="0.35">
      <c r="C3591" s="82"/>
    </row>
    <row r="3592" spans="3:3" x14ac:dyDescent="0.35">
      <c r="C3592" s="82"/>
    </row>
    <row r="3593" spans="3:3" x14ac:dyDescent="0.35">
      <c r="C3593" s="82"/>
    </row>
    <row r="3594" spans="3:3" x14ac:dyDescent="0.35">
      <c r="C3594" s="82"/>
    </row>
    <row r="3595" spans="3:3" x14ac:dyDescent="0.35">
      <c r="C3595" s="82"/>
    </row>
    <row r="3596" spans="3:3" x14ac:dyDescent="0.35">
      <c r="C3596" s="82"/>
    </row>
    <row r="3597" spans="3:3" x14ac:dyDescent="0.35">
      <c r="C3597" s="82"/>
    </row>
    <row r="3598" spans="3:3" x14ac:dyDescent="0.35">
      <c r="C3598" s="82"/>
    </row>
    <row r="3599" spans="3:3" x14ac:dyDescent="0.35">
      <c r="C3599" s="82"/>
    </row>
    <row r="3600" spans="3:3" x14ac:dyDescent="0.35">
      <c r="C3600" s="82"/>
    </row>
    <row r="3601" spans="3:3" x14ac:dyDescent="0.35">
      <c r="C3601" s="82"/>
    </row>
    <row r="3602" spans="3:3" x14ac:dyDescent="0.35">
      <c r="C3602" s="82"/>
    </row>
    <row r="3603" spans="3:3" x14ac:dyDescent="0.35">
      <c r="C3603" s="82"/>
    </row>
    <row r="3604" spans="3:3" x14ac:dyDescent="0.35">
      <c r="C3604" s="82"/>
    </row>
    <row r="3605" spans="3:3" x14ac:dyDescent="0.35">
      <c r="C3605" s="82"/>
    </row>
    <row r="3606" spans="3:3" x14ac:dyDescent="0.35">
      <c r="C3606" s="82"/>
    </row>
    <row r="3607" spans="3:3" x14ac:dyDescent="0.35">
      <c r="C3607" s="82"/>
    </row>
    <row r="3608" spans="3:3" x14ac:dyDescent="0.35">
      <c r="C3608" s="82"/>
    </row>
    <row r="3609" spans="3:3" x14ac:dyDescent="0.35">
      <c r="C3609" s="82"/>
    </row>
    <row r="3610" spans="3:3" x14ac:dyDescent="0.35">
      <c r="C3610" s="82"/>
    </row>
    <row r="3611" spans="3:3" x14ac:dyDescent="0.35">
      <c r="C3611" s="82"/>
    </row>
    <row r="3612" spans="3:3" x14ac:dyDescent="0.35">
      <c r="C3612" s="82"/>
    </row>
    <row r="3613" spans="3:3" x14ac:dyDescent="0.35">
      <c r="C3613" s="82"/>
    </row>
    <row r="3614" spans="3:3" x14ac:dyDescent="0.35">
      <c r="C3614" s="82"/>
    </row>
    <row r="3615" spans="3:3" x14ac:dyDescent="0.35">
      <c r="C3615" s="82"/>
    </row>
    <row r="3616" spans="3:3" x14ac:dyDescent="0.35">
      <c r="C3616" s="82"/>
    </row>
    <row r="3617" spans="3:3" x14ac:dyDescent="0.35">
      <c r="C3617" s="82"/>
    </row>
    <row r="3618" spans="3:3" x14ac:dyDescent="0.35">
      <c r="C3618" s="82"/>
    </row>
    <row r="3619" spans="3:3" x14ac:dyDescent="0.35">
      <c r="C3619" s="82"/>
    </row>
    <row r="3620" spans="3:3" x14ac:dyDescent="0.35">
      <c r="C3620" s="82"/>
    </row>
    <row r="3621" spans="3:3" x14ac:dyDescent="0.35">
      <c r="C3621" s="82"/>
    </row>
    <row r="3622" spans="3:3" x14ac:dyDescent="0.35">
      <c r="C3622" s="82"/>
    </row>
    <row r="3623" spans="3:3" x14ac:dyDescent="0.35">
      <c r="C3623" s="82"/>
    </row>
    <row r="3624" spans="3:3" x14ac:dyDescent="0.35">
      <c r="C3624" s="82"/>
    </row>
    <row r="3625" spans="3:3" x14ac:dyDescent="0.35">
      <c r="C3625" s="82"/>
    </row>
    <row r="3626" spans="3:3" x14ac:dyDescent="0.35">
      <c r="C3626" s="82"/>
    </row>
    <row r="3627" spans="3:3" x14ac:dyDescent="0.35">
      <c r="C3627" s="82"/>
    </row>
    <row r="3628" spans="3:3" x14ac:dyDescent="0.35">
      <c r="C3628" s="82"/>
    </row>
    <row r="3629" spans="3:3" x14ac:dyDescent="0.35">
      <c r="C3629" s="82"/>
    </row>
    <row r="3630" spans="3:3" x14ac:dyDescent="0.35">
      <c r="C3630" s="82"/>
    </row>
    <row r="3631" spans="3:3" x14ac:dyDescent="0.35">
      <c r="C3631" s="82"/>
    </row>
    <row r="3632" spans="3:3" x14ac:dyDescent="0.35">
      <c r="C3632" s="82"/>
    </row>
    <row r="3633" spans="3:3" x14ac:dyDescent="0.35">
      <c r="C3633" s="82"/>
    </row>
    <row r="3634" spans="3:3" x14ac:dyDescent="0.35">
      <c r="C3634" s="82"/>
    </row>
    <row r="3635" spans="3:3" x14ac:dyDescent="0.35">
      <c r="C3635" s="82"/>
    </row>
    <row r="3636" spans="3:3" x14ac:dyDescent="0.35">
      <c r="C3636" s="82"/>
    </row>
    <row r="3637" spans="3:3" x14ac:dyDescent="0.35">
      <c r="C3637" s="82"/>
    </row>
    <row r="3638" spans="3:3" x14ac:dyDescent="0.35">
      <c r="C3638" s="82"/>
    </row>
    <row r="3639" spans="3:3" x14ac:dyDescent="0.35">
      <c r="C3639" s="82"/>
    </row>
    <row r="3640" spans="3:3" x14ac:dyDescent="0.35">
      <c r="C3640" s="82"/>
    </row>
    <row r="3641" spans="3:3" x14ac:dyDescent="0.35">
      <c r="C3641" s="82"/>
    </row>
    <row r="3642" spans="3:3" x14ac:dyDescent="0.35">
      <c r="C3642" s="82"/>
    </row>
    <row r="3643" spans="3:3" x14ac:dyDescent="0.35">
      <c r="C3643" s="82"/>
    </row>
    <row r="3644" spans="3:3" x14ac:dyDescent="0.35">
      <c r="C3644" s="82"/>
    </row>
    <row r="3645" spans="3:3" x14ac:dyDescent="0.35">
      <c r="C3645" s="82"/>
    </row>
    <row r="3646" spans="3:3" x14ac:dyDescent="0.35">
      <c r="C3646" s="82"/>
    </row>
    <row r="3647" spans="3:3" x14ac:dyDescent="0.35">
      <c r="C3647" s="82"/>
    </row>
    <row r="3648" spans="3:3" x14ac:dyDescent="0.35">
      <c r="C3648" s="82"/>
    </row>
    <row r="3649" spans="3:3" x14ac:dyDescent="0.35">
      <c r="C3649" s="82"/>
    </row>
    <row r="3650" spans="3:3" x14ac:dyDescent="0.35">
      <c r="C3650" s="82"/>
    </row>
    <row r="3651" spans="3:3" x14ac:dyDescent="0.35">
      <c r="C3651" s="82"/>
    </row>
    <row r="3652" spans="3:3" x14ac:dyDescent="0.35">
      <c r="C3652" s="82"/>
    </row>
    <row r="3653" spans="3:3" x14ac:dyDescent="0.35">
      <c r="C3653" s="82"/>
    </row>
    <row r="3654" spans="3:3" x14ac:dyDescent="0.35">
      <c r="C3654" s="82"/>
    </row>
    <row r="3655" spans="3:3" x14ac:dyDescent="0.35">
      <c r="C3655" s="82"/>
    </row>
    <row r="3656" spans="3:3" x14ac:dyDescent="0.35">
      <c r="C3656" s="82"/>
    </row>
    <row r="3657" spans="3:3" x14ac:dyDescent="0.35">
      <c r="C3657" s="82"/>
    </row>
    <row r="3658" spans="3:3" x14ac:dyDescent="0.35">
      <c r="C3658" s="82"/>
    </row>
    <row r="3659" spans="3:3" x14ac:dyDescent="0.35">
      <c r="C3659" s="82"/>
    </row>
    <row r="3660" spans="3:3" x14ac:dyDescent="0.35">
      <c r="C3660" s="82"/>
    </row>
    <row r="3661" spans="3:3" x14ac:dyDescent="0.35">
      <c r="C3661" s="82"/>
    </row>
    <row r="3662" spans="3:3" x14ac:dyDescent="0.35">
      <c r="C3662" s="82"/>
    </row>
    <row r="3663" spans="3:3" x14ac:dyDescent="0.35">
      <c r="C3663" s="82"/>
    </row>
    <row r="3664" spans="3:3" x14ac:dyDescent="0.35">
      <c r="C3664" s="82"/>
    </row>
    <row r="3665" spans="3:3" x14ac:dyDescent="0.35">
      <c r="C3665" s="82"/>
    </row>
    <row r="3666" spans="3:3" x14ac:dyDescent="0.35">
      <c r="C3666" s="82"/>
    </row>
    <row r="3667" spans="3:3" x14ac:dyDescent="0.35">
      <c r="C3667" s="82"/>
    </row>
    <row r="3668" spans="3:3" x14ac:dyDescent="0.35">
      <c r="C3668" s="82"/>
    </row>
    <row r="3669" spans="3:3" x14ac:dyDescent="0.35">
      <c r="C3669" s="82"/>
    </row>
    <row r="3670" spans="3:3" x14ac:dyDescent="0.35">
      <c r="C3670" s="82"/>
    </row>
    <row r="3671" spans="3:3" x14ac:dyDescent="0.35">
      <c r="C3671" s="82"/>
    </row>
    <row r="3672" spans="3:3" x14ac:dyDescent="0.35">
      <c r="C3672" s="82"/>
    </row>
    <row r="3673" spans="3:3" x14ac:dyDescent="0.35">
      <c r="C3673" s="82"/>
    </row>
    <row r="3674" spans="3:3" x14ac:dyDescent="0.35">
      <c r="C3674" s="82"/>
    </row>
    <row r="3675" spans="3:3" x14ac:dyDescent="0.35">
      <c r="C3675" s="82"/>
    </row>
    <row r="3676" spans="3:3" x14ac:dyDescent="0.35">
      <c r="C3676" s="82"/>
    </row>
    <row r="3677" spans="3:3" x14ac:dyDescent="0.35">
      <c r="C3677" s="82"/>
    </row>
    <row r="3678" spans="3:3" x14ac:dyDescent="0.35">
      <c r="C3678" s="82"/>
    </row>
    <row r="3679" spans="3:3" x14ac:dyDescent="0.35">
      <c r="C3679" s="82"/>
    </row>
    <row r="3680" spans="3:3" x14ac:dyDescent="0.35">
      <c r="C3680" s="82"/>
    </row>
    <row r="3681" spans="3:3" x14ac:dyDescent="0.35">
      <c r="C3681" s="82"/>
    </row>
    <row r="3682" spans="3:3" x14ac:dyDescent="0.35">
      <c r="C3682" s="82"/>
    </row>
    <row r="3683" spans="3:3" x14ac:dyDescent="0.35">
      <c r="C3683" s="82"/>
    </row>
    <row r="3684" spans="3:3" x14ac:dyDescent="0.35">
      <c r="C3684" s="82"/>
    </row>
    <row r="3685" spans="3:3" x14ac:dyDescent="0.35">
      <c r="C3685" s="82"/>
    </row>
    <row r="3686" spans="3:3" x14ac:dyDescent="0.35">
      <c r="C3686" s="82"/>
    </row>
    <row r="3687" spans="3:3" x14ac:dyDescent="0.35">
      <c r="C3687" s="82"/>
    </row>
    <row r="3688" spans="3:3" x14ac:dyDescent="0.35">
      <c r="C3688" s="82"/>
    </row>
    <row r="3689" spans="3:3" x14ac:dyDescent="0.35">
      <c r="C3689" s="82"/>
    </row>
    <row r="3690" spans="3:3" x14ac:dyDescent="0.35">
      <c r="C3690" s="82"/>
    </row>
    <row r="3691" spans="3:3" x14ac:dyDescent="0.35">
      <c r="C3691" s="82"/>
    </row>
    <row r="3692" spans="3:3" x14ac:dyDescent="0.35">
      <c r="C3692" s="82"/>
    </row>
    <row r="3693" spans="3:3" x14ac:dyDescent="0.35">
      <c r="C3693" s="82"/>
    </row>
    <row r="3694" spans="3:3" x14ac:dyDescent="0.35">
      <c r="C3694" s="82"/>
    </row>
    <row r="3695" spans="3:3" x14ac:dyDescent="0.35">
      <c r="C3695" s="82"/>
    </row>
    <row r="3696" spans="3:3" x14ac:dyDescent="0.35">
      <c r="C3696" s="82"/>
    </row>
    <row r="3697" spans="3:3" x14ac:dyDescent="0.35">
      <c r="C3697" s="82"/>
    </row>
    <row r="3698" spans="3:3" x14ac:dyDescent="0.35">
      <c r="C3698" s="82"/>
    </row>
    <row r="3699" spans="3:3" x14ac:dyDescent="0.35">
      <c r="C3699" s="82"/>
    </row>
    <row r="3700" spans="3:3" x14ac:dyDescent="0.35">
      <c r="C3700" s="82"/>
    </row>
    <row r="3701" spans="3:3" x14ac:dyDescent="0.35">
      <c r="C3701" s="82"/>
    </row>
    <row r="3702" spans="3:3" x14ac:dyDescent="0.35">
      <c r="C3702" s="82"/>
    </row>
    <row r="3703" spans="3:3" x14ac:dyDescent="0.35">
      <c r="C3703" s="82"/>
    </row>
    <row r="3704" spans="3:3" x14ac:dyDescent="0.35">
      <c r="C3704" s="82"/>
    </row>
    <row r="3705" spans="3:3" x14ac:dyDescent="0.35">
      <c r="C3705" s="82"/>
    </row>
    <row r="3706" spans="3:3" x14ac:dyDescent="0.35">
      <c r="C3706" s="82"/>
    </row>
    <row r="3707" spans="3:3" x14ac:dyDescent="0.35">
      <c r="C3707" s="82"/>
    </row>
    <row r="3708" spans="3:3" x14ac:dyDescent="0.35">
      <c r="C3708" s="82"/>
    </row>
    <row r="3709" spans="3:3" x14ac:dyDescent="0.35">
      <c r="C3709" s="82"/>
    </row>
    <row r="3710" spans="3:3" x14ac:dyDescent="0.35">
      <c r="C3710" s="82"/>
    </row>
    <row r="3711" spans="3:3" x14ac:dyDescent="0.35">
      <c r="C3711" s="82"/>
    </row>
    <row r="3712" spans="3:3" x14ac:dyDescent="0.35">
      <c r="C3712" s="82"/>
    </row>
    <row r="3713" spans="1:9" x14ac:dyDescent="0.35">
      <c r="C3713" s="82"/>
    </row>
    <row r="3714" spans="1:9" x14ac:dyDescent="0.35">
      <c r="C3714" s="82"/>
    </row>
    <row r="3715" spans="1:9" x14ac:dyDescent="0.35">
      <c r="C3715" s="82"/>
    </row>
    <row r="3716" spans="1:9" x14ac:dyDescent="0.35">
      <c r="C3716" s="82"/>
    </row>
    <row r="3717" spans="1:9" x14ac:dyDescent="0.35">
      <c r="C3717" s="82"/>
    </row>
    <row r="3718" spans="1:9" x14ac:dyDescent="0.35">
      <c r="C3718" s="82"/>
    </row>
    <row r="3719" spans="1:9" x14ac:dyDescent="0.35">
      <c r="C3719" s="82"/>
    </row>
    <row r="3720" spans="1:9" x14ac:dyDescent="0.35">
      <c r="C3720" s="82"/>
    </row>
    <row r="3721" spans="1:9" x14ac:dyDescent="0.35">
      <c r="C3721" s="82"/>
    </row>
    <row r="3722" spans="1:9" x14ac:dyDescent="0.35">
      <c r="C3722" s="82"/>
    </row>
    <row r="3723" spans="1:9" x14ac:dyDescent="0.35">
      <c r="C3723" s="82"/>
    </row>
    <row r="3724" spans="1:9" x14ac:dyDescent="0.35">
      <c r="C3724" s="82"/>
    </row>
    <row r="3725" spans="1:9" x14ac:dyDescent="0.35">
      <c r="C3725" s="82"/>
    </row>
    <row r="3726" spans="1:9" s="83" customFormat="1" x14ac:dyDescent="0.35">
      <c r="A3726" s="77"/>
      <c r="B3726" s="64"/>
      <c r="C3726" s="82"/>
      <c r="D3726" s="86"/>
      <c r="E3726" s="96"/>
      <c r="F3726" s="64"/>
      <c r="G3726" s="70"/>
      <c r="H3726" s="84"/>
      <c r="I3726" s="84"/>
    </row>
    <row r="3727" spans="1:9" s="83" customFormat="1" x14ac:dyDescent="0.35">
      <c r="A3727" s="77"/>
      <c r="B3727" s="64"/>
      <c r="C3727" s="82"/>
      <c r="D3727" s="86"/>
      <c r="E3727" s="96"/>
      <c r="F3727" s="64"/>
      <c r="G3727" s="70"/>
      <c r="H3727" s="84"/>
      <c r="I3727" s="84"/>
    </row>
    <row r="3728" spans="1:9" s="83" customFormat="1" x14ac:dyDescent="0.35">
      <c r="A3728" s="77"/>
      <c r="B3728" s="64"/>
      <c r="C3728" s="82"/>
      <c r="D3728" s="86"/>
      <c r="E3728" s="96"/>
      <c r="F3728" s="64"/>
      <c r="G3728" s="70"/>
      <c r="H3728" s="84"/>
      <c r="I3728" s="84"/>
    </row>
    <row r="3729" spans="1:9" s="83" customFormat="1" x14ac:dyDescent="0.35">
      <c r="A3729" s="77"/>
      <c r="B3729" s="64"/>
      <c r="C3729" s="82"/>
      <c r="D3729" s="86"/>
      <c r="E3729" s="96"/>
      <c r="F3729" s="64"/>
      <c r="G3729" s="70"/>
      <c r="H3729" s="84"/>
      <c r="I3729" s="84"/>
    </row>
    <row r="3730" spans="1:9" s="83" customFormat="1" x14ac:dyDescent="0.35">
      <c r="A3730" s="77"/>
      <c r="B3730" s="64"/>
      <c r="C3730" s="82"/>
      <c r="D3730" s="86"/>
      <c r="E3730" s="96"/>
      <c r="F3730" s="64"/>
      <c r="G3730" s="70"/>
      <c r="H3730" s="84"/>
      <c r="I3730" s="84"/>
    </row>
    <row r="3731" spans="1:9" s="83" customFormat="1" x14ac:dyDescent="0.35">
      <c r="A3731" s="77"/>
      <c r="B3731" s="64"/>
      <c r="C3731" s="82"/>
      <c r="D3731" s="86"/>
      <c r="E3731" s="96"/>
      <c r="F3731" s="64"/>
      <c r="G3731" s="70"/>
      <c r="H3731" s="84"/>
      <c r="I3731" s="84"/>
    </row>
    <row r="3732" spans="1:9" s="83" customFormat="1" x14ac:dyDescent="0.35">
      <c r="A3732" s="77"/>
      <c r="B3732" s="64"/>
      <c r="C3732" s="82"/>
      <c r="D3732" s="86"/>
      <c r="E3732" s="96"/>
      <c r="F3732" s="64"/>
      <c r="G3732" s="70"/>
      <c r="H3732" s="84"/>
      <c r="I3732" s="84"/>
    </row>
    <row r="3733" spans="1:9" s="83" customFormat="1" x14ac:dyDescent="0.35">
      <c r="A3733" s="77"/>
      <c r="B3733" s="64"/>
      <c r="C3733" s="82"/>
      <c r="D3733" s="86"/>
      <c r="E3733" s="96"/>
      <c r="F3733" s="64"/>
      <c r="G3733" s="70"/>
      <c r="H3733" s="84"/>
      <c r="I3733" s="84"/>
    </row>
    <row r="3734" spans="1:9" s="83" customFormat="1" x14ac:dyDescent="0.35">
      <c r="A3734" s="77"/>
      <c r="B3734" s="64"/>
      <c r="C3734" s="82"/>
      <c r="D3734" s="86"/>
      <c r="E3734" s="96"/>
      <c r="F3734" s="64"/>
      <c r="G3734" s="70"/>
      <c r="H3734" s="84"/>
      <c r="I3734" s="84"/>
    </row>
    <row r="3735" spans="1:9" s="83" customFormat="1" x14ac:dyDescent="0.35">
      <c r="A3735" s="77"/>
      <c r="B3735" s="64"/>
      <c r="C3735" s="82"/>
      <c r="D3735" s="64"/>
      <c r="E3735" s="96"/>
      <c r="F3735" s="64"/>
      <c r="G3735" s="70"/>
      <c r="H3735" s="84"/>
      <c r="I3735" s="84"/>
    </row>
    <row r="3736" spans="1:9" s="83" customFormat="1" x14ac:dyDescent="0.35">
      <c r="A3736" s="77"/>
      <c r="B3736" s="64"/>
      <c r="C3736" s="82"/>
      <c r="D3736" s="86"/>
      <c r="E3736" s="96"/>
      <c r="F3736" s="64"/>
      <c r="G3736" s="70"/>
      <c r="H3736" s="84"/>
      <c r="I3736" s="84"/>
    </row>
    <row r="3737" spans="1:9" s="83" customFormat="1" x14ac:dyDescent="0.35">
      <c r="A3737" s="77"/>
      <c r="B3737" s="64"/>
      <c r="C3737" s="82"/>
      <c r="D3737" s="64"/>
      <c r="E3737" s="96"/>
      <c r="F3737" s="64"/>
      <c r="G3737" s="70"/>
      <c r="H3737" s="84"/>
      <c r="I3737" s="84"/>
    </row>
    <row r="3738" spans="1:9" s="83" customFormat="1" x14ac:dyDescent="0.35">
      <c r="A3738" s="77"/>
      <c r="B3738" s="64"/>
      <c r="C3738" s="82"/>
      <c r="D3738" s="64"/>
      <c r="E3738" s="96"/>
      <c r="F3738" s="64"/>
      <c r="G3738" s="70"/>
      <c r="H3738" s="84"/>
      <c r="I3738" s="84"/>
    </row>
    <row r="3739" spans="1:9" s="83" customFormat="1" x14ac:dyDescent="0.35">
      <c r="A3739" s="77"/>
      <c r="B3739" s="64"/>
      <c r="C3739" s="82"/>
      <c r="D3739" s="64"/>
      <c r="E3739" s="96"/>
      <c r="F3739" s="64"/>
      <c r="G3739" s="70"/>
      <c r="H3739" s="84"/>
      <c r="I3739" s="84"/>
    </row>
    <row r="3740" spans="1:9" s="83" customFormat="1" x14ac:dyDescent="0.35">
      <c r="A3740" s="77"/>
      <c r="B3740" s="64"/>
      <c r="C3740" s="82"/>
      <c r="D3740" s="64"/>
      <c r="E3740" s="96"/>
      <c r="F3740" s="64"/>
      <c r="G3740" s="70"/>
      <c r="H3740" s="84"/>
      <c r="I3740" s="84"/>
    </row>
    <row r="3741" spans="1:9" s="83" customFormat="1" x14ac:dyDescent="0.35">
      <c r="A3741" s="77"/>
      <c r="B3741" s="64"/>
      <c r="C3741" s="82"/>
      <c r="D3741" s="64"/>
      <c r="E3741" s="96"/>
      <c r="F3741" s="64"/>
      <c r="G3741" s="70"/>
      <c r="H3741" s="84"/>
      <c r="I3741" s="84"/>
    </row>
    <row r="3742" spans="1:9" x14ac:dyDescent="0.35">
      <c r="C3742" s="82"/>
    </row>
    <row r="3743" spans="1:9" x14ac:dyDescent="0.35">
      <c r="C3743" s="82"/>
    </row>
    <row r="3744" spans="1:9" x14ac:dyDescent="0.35">
      <c r="C3744" s="82"/>
    </row>
    <row r="3745" spans="3:3" x14ac:dyDescent="0.35">
      <c r="C3745" s="82"/>
    </row>
    <row r="3746" spans="3:3" x14ac:dyDescent="0.35">
      <c r="C3746" s="82"/>
    </row>
    <row r="3747" spans="3:3" x14ac:dyDescent="0.35">
      <c r="C3747" s="82"/>
    </row>
    <row r="3748" spans="3:3" x14ac:dyDescent="0.35">
      <c r="C3748" s="82"/>
    </row>
    <row r="3749" spans="3:3" x14ac:dyDescent="0.35">
      <c r="C3749" s="82"/>
    </row>
    <row r="3750" spans="3:3" x14ac:dyDescent="0.35">
      <c r="C3750" s="82"/>
    </row>
    <row r="3751" spans="3:3" x14ac:dyDescent="0.35">
      <c r="C3751" s="82"/>
    </row>
    <row r="3752" spans="3:3" x14ac:dyDescent="0.35">
      <c r="C3752" s="82"/>
    </row>
    <row r="3753" spans="3:3" x14ac:dyDescent="0.35">
      <c r="C3753" s="82"/>
    </row>
    <row r="3754" spans="3:3" x14ac:dyDescent="0.35">
      <c r="C3754" s="82"/>
    </row>
    <row r="3755" spans="3:3" x14ac:dyDescent="0.35">
      <c r="C3755" s="82"/>
    </row>
    <row r="3756" spans="3:3" x14ac:dyDescent="0.35">
      <c r="C3756" s="82"/>
    </row>
    <row r="3757" spans="3:3" x14ac:dyDescent="0.35">
      <c r="C3757" s="82"/>
    </row>
    <row r="3758" spans="3:3" x14ac:dyDescent="0.35">
      <c r="C3758" s="82"/>
    </row>
    <row r="3759" spans="3:3" x14ac:dyDescent="0.35">
      <c r="C3759" s="82"/>
    </row>
    <row r="3760" spans="3:3" x14ac:dyDescent="0.35">
      <c r="C3760" s="82"/>
    </row>
    <row r="3761" spans="3:3" x14ac:dyDescent="0.35">
      <c r="C3761" s="82"/>
    </row>
    <row r="3762" spans="3:3" x14ac:dyDescent="0.35">
      <c r="C3762" s="82"/>
    </row>
    <row r="3763" spans="3:3" x14ac:dyDescent="0.35">
      <c r="C3763" s="82"/>
    </row>
    <row r="3764" spans="3:3" x14ac:dyDescent="0.35">
      <c r="C3764" s="82"/>
    </row>
    <row r="3765" spans="3:3" x14ac:dyDescent="0.35">
      <c r="C3765" s="82"/>
    </row>
    <row r="3766" spans="3:3" x14ac:dyDescent="0.35">
      <c r="C3766" s="82"/>
    </row>
    <row r="3767" spans="3:3" x14ac:dyDescent="0.35">
      <c r="C3767" s="82"/>
    </row>
    <row r="3768" spans="3:3" x14ac:dyDescent="0.35">
      <c r="C3768" s="82"/>
    </row>
    <row r="3769" spans="3:3" x14ac:dyDescent="0.35">
      <c r="C3769" s="82"/>
    </row>
    <row r="3770" spans="3:3" x14ac:dyDescent="0.35">
      <c r="C3770" s="82"/>
    </row>
    <row r="3771" spans="3:3" x14ac:dyDescent="0.35">
      <c r="C3771" s="82"/>
    </row>
    <row r="3772" spans="3:3" x14ac:dyDescent="0.35">
      <c r="C3772" s="82"/>
    </row>
    <row r="3773" spans="3:3" x14ac:dyDescent="0.35">
      <c r="C3773" s="82"/>
    </row>
    <row r="3774" spans="3:3" x14ac:dyDescent="0.35">
      <c r="C3774" s="82"/>
    </row>
    <row r="3775" spans="3:3" x14ac:dyDescent="0.35">
      <c r="C3775" s="82"/>
    </row>
    <row r="3776" spans="3:3" x14ac:dyDescent="0.35">
      <c r="C3776" s="82"/>
    </row>
    <row r="3777" spans="3:3" x14ac:dyDescent="0.35">
      <c r="C3777" s="82"/>
    </row>
    <row r="3778" spans="3:3" x14ac:dyDescent="0.35">
      <c r="C3778" s="82"/>
    </row>
    <row r="3779" spans="3:3" x14ac:dyDescent="0.35">
      <c r="C3779" s="82"/>
    </row>
    <row r="3780" spans="3:3" x14ac:dyDescent="0.35">
      <c r="C3780" s="82"/>
    </row>
    <row r="3781" spans="3:3" x14ac:dyDescent="0.35">
      <c r="C3781" s="82"/>
    </row>
    <row r="3782" spans="3:3" x14ac:dyDescent="0.35">
      <c r="C3782" s="82"/>
    </row>
    <row r="3783" spans="3:3" x14ac:dyDescent="0.35">
      <c r="C3783" s="82"/>
    </row>
    <row r="3784" spans="3:3" x14ac:dyDescent="0.35">
      <c r="C3784" s="82"/>
    </row>
    <row r="3785" spans="3:3" x14ac:dyDescent="0.35">
      <c r="C3785" s="82"/>
    </row>
    <row r="3786" spans="3:3" x14ac:dyDescent="0.35">
      <c r="C3786" s="82"/>
    </row>
    <row r="3787" spans="3:3" x14ac:dyDescent="0.35">
      <c r="C3787" s="82"/>
    </row>
    <row r="3788" spans="3:3" x14ac:dyDescent="0.35">
      <c r="C3788" s="82"/>
    </row>
    <row r="3789" spans="3:3" x14ac:dyDescent="0.35">
      <c r="C3789" s="82"/>
    </row>
    <row r="3790" spans="3:3" x14ac:dyDescent="0.35">
      <c r="C3790" s="82"/>
    </row>
    <row r="3791" spans="3:3" x14ac:dyDescent="0.35">
      <c r="C3791" s="82"/>
    </row>
    <row r="3792" spans="3:3" x14ac:dyDescent="0.35">
      <c r="C3792" s="82"/>
    </row>
    <row r="3793" spans="3:3" x14ac:dyDescent="0.35">
      <c r="C3793" s="82"/>
    </row>
    <row r="3794" spans="3:3" x14ac:dyDescent="0.35">
      <c r="C3794" s="82"/>
    </row>
    <row r="3795" spans="3:3" x14ac:dyDescent="0.35">
      <c r="C3795" s="82"/>
    </row>
    <row r="3796" spans="3:3" x14ac:dyDescent="0.35">
      <c r="C3796" s="82"/>
    </row>
    <row r="3797" spans="3:3" x14ac:dyDescent="0.35">
      <c r="C3797" s="82"/>
    </row>
    <row r="3798" spans="3:3" x14ac:dyDescent="0.35">
      <c r="C3798" s="82"/>
    </row>
    <row r="3799" spans="3:3" x14ac:dyDescent="0.35">
      <c r="C3799" s="82"/>
    </row>
    <row r="3800" spans="3:3" x14ac:dyDescent="0.35">
      <c r="C3800" s="82"/>
    </row>
    <row r="3801" spans="3:3" x14ac:dyDescent="0.35">
      <c r="C3801" s="82"/>
    </row>
    <row r="3802" spans="3:3" x14ac:dyDescent="0.35">
      <c r="C3802" s="82"/>
    </row>
    <row r="3803" spans="3:3" x14ac:dyDescent="0.35">
      <c r="C3803" s="82"/>
    </row>
    <row r="3804" spans="3:3" x14ac:dyDescent="0.35">
      <c r="C3804" s="82"/>
    </row>
    <row r="3805" spans="3:3" x14ac:dyDescent="0.35">
      <c r="C3805" s="82"/>
    </row>
    <row r="3806" spans="3:3" x14ac:dyDescent="0.35">
      <c r="C3806" s="82"/>
    </row>
    <row r="3807" spans="3:3" x14ac:dyDescent="0.35">
      <c r="C3807" s="82"/>
    </row>
    <row r="3808" spans="3:3" x14ac:dyDescent="0.35">
      <c r="C3808" s="82"/>
    </row>
    <row r="3809" spans="3:3" x14ac:dyDescent="0.35">
      <c r="C3809" s="82"/>
    </row>
    <row r="3810" spans="3:3" x14ac:dyDescent="0.35">
      <c r="C3810" s="82"/>
    </row>
    <row r="3811" spans="3:3" x14ac:dyDescent="0.35">
      <c r="C3811" s="82"/>
    </row>
    <row r="3812" spans="3:3" x14ac:dyDescent="0.35">
      <c r="C3812" s="82"/>
    </row>
    <row r="3813" spans="3:3" x14ac:dyDescent="0.35">
      <c r="C3813" s="82"/>
    </row>
    <row r="3814" spans="3:3" x14ac:dyDescent="0.35">
      <c r="C3814" s="82"/>
    </row>
    <row r="3815" spans="3:3" x14ac:dyDescent="0.35">
      <c r="C3815" s="82"/>
    </row>
    <row r="3816" spans="3:3" x14ac:dyDescent="0.35">
      <c r="C3816" s="82"/>
    </row>
    <row r="3817" spans="3:3" x14ac:dyDescent="0.35">
      <c r="C3817" s="82"/>
    </row>
    <row r="3818" spans="3:3" x14ac:dyDescent="0.35">
      <c r="C3818" s="82"/>
    </row>
    <row r="3819" spans="3:3" x14ac:dyDescent="0.35">
      <c r="C3819" s="82"/>
    </row>
    <row r="3820" spans="3:3" x14ac:dyDescent="0.35">
      <c r="C3820" s="82"/>
    </row>
    <row r="3821" spans="3:3" x14ac:dyDescent="0.35">
      <c r="C3821" s="82"/>
    </row>
    <row r="3822" spans="3:3" x14ac:dyDescent="0.35">
      <c r="C3822" s="82"/>
    </row>
    <row r="3823" spans="3:3" x14ac:dyDescent="0.35">
      <c r="C3823" s="82"/>
    </row>
    <row r="3824" spans="3:3" x14ac:dyDescent="0.35">
      <c r="C3824" s="82"/>
    </row>
    <row r="3825" spans="1:9" x14ac:dyDescent="0.35">
      <c r="C3825" s="82"/>
    </row>
    <row r="3826" spans="1:9" x14ac:dyDescent="0.35">
      <c r="C3826" s="82"/>
    </row>
    <row r="3827" spans="1:9" x14ac:dyDescent="0.35">
      <c r="C3827" s="82"/>
    </row>
    <row r="3828" spans="1:9" x14ac:dyDescent="0.35">
      <c r="C3828" s="82"/>
    </row>
    <row r="3829" spans="1:9" x14ac:dyDescent="0.35">
      <c r="C3829" s="82"/>
    </row>
    <row r="3830" spans="1:9" x14ac:dyDescent="0.35">
      <c r="C3830" s="82"/>
    </row>
    <row r="3831" spans="1:9" x14ac:dyDescent="0.35">
      <c r="C3831" s="82"/>
    </row>
    <row r="3832" spans="1:9" x14ac:dyDescent="0.35">
      <c r="C3832" s="82"/>
    </row>
    <row r="3833" spans="1:9" x14ac:dyDescent="0.35">
      <c r="C3833" s="82"/>
    </row>
    <row r="3834" spans="1:9" x14ac:dyDescent="0.35">
      <c r="C3834" s="82"/>
    </row>
    <row r="3835" spans="1:9" x14ac:dyDescent="0.35">
      <c r="C3835" s="82"/>
    </row>
    <row r="3836" spans="1:9" x14ac:dyDescent="0.35">
      <c r="C3836" s="82"/>
    </row>
    <row r="3837" spans="1:9" x14ac:dyDescent="0.35">
      <c r="C3837" s="82"/>
    </row>
    <row r="3838" spans="1:9" s="83" customFormat="1" x14ac:dyDescent="0.35">
      <c r="A3838" s="77"/>
      <c r="B3838" s="64"/>
      <c r="C3838" s="82"/>
      <c r="D3838" s="64"/>
      <c r="E3838" s="96"/>
      <c r="F3838" s="64"/>
      <c r="G3838" s="70"/>
      <c r="H3838" s="84"/>
      <c r="I3838" s="84"/>
    </row>
    <row r="3839" spans="1:9" s="83" customFormat="1" x14ac:dyDescent="0.35">
      <c r="A3839" s="77"/>
      <c r="B3839" s="64"/>
      <c r="C3839" s="82"/>
      <c r="D3839" s="64"/>
      <c r="E3839" s="96"/>
      <c r="F3839" s="64"/>
      <c r="G3839" s="70"/>
      <c r="H3839" s="84"/>
      <c r="I3839" s="84"/>
    </row>
    <row r="3840" spans="1:9" s="83" customFormat="1" x14ac:dyDescent="0.35">
      <c r="A3840" s="77"/>
      <c r="B3840" s="64"/>
      <c r="C3840" s="82"/>
      <c r="D3840" s="64"/>
      <c r="E3840" s="96"/>
      <c r="F3840" s="64"/>
      <c r="G3840" s="70"/>
      <c r="H3840" s="84"/>
      <c r="I3840" s="84"/>
    </row>
    <row r="3841" spans="1:9" s="83" customFormat="1" x14ac:dyDescent="0.35">
      <c r="A3841" s="77"/>
      <c r="B3841" s="64"/>
      <c r="C3841" s="82"/>
      <c r="D3841" s="64"/>
      <c r="E3841" s="96"/>
      <c r="F3841" s="64"/>
      <c r="G3841" s="70"/>
      <c r="H3841" s="84"/>
      <c r="I3841" s="84"/>
    </row>
    <row r="3842" spans="1:9" s="83" customFormat="1" x14ac:dyDescent="0.35">
      <c r="A3842" s="77"/>
      <c r="B3842" s="64"/>
      <c r="C3842" s="82"/>
      <c r="D3842" s="64"/>
      <c r="E3842" s="96"/>
      <c r="F3842" s="64"/>
      <c r="G3842" s="70"/>
      <c r="H3842" s="84"/>
      <c r="I3842" s="84"/>
    </row>
    <row r="3843" spans="1:9" s="83" customFormat="1" x14ac:dyDescent="0.35">
      <c r="A3843" s="77"/>
      <c r="B3843" s="64"/>
      <c r="C3843" s="82"/>
      <c r="D3843" s="64"/>
      <c r="E3843" s="96"/>
      <c r="F3843" s="64"/>
      <c r="G3843" s="70"/>
      <c r="H3843" s="84"/>
      <c r="I3843" s="84"/>
    </row>
    <row r="3844" spans="1:9" s="83" customFormat="1" x14ac:dyDescent="0.35">
      <c r="A3844" s="77"/>
      <c r="B3844" s="64"/>
      <c r="C3844" s="82"/>
      <c r="D3844" s="64"/>
      <c r="E3844" s="96"/>
      <c r="F3844" s="64"/>
      <c r="G3844" s="70"/>
      <c r="H3844" s="84"/>
      <c r="I3844" s="84"/>
    </row>
    <row r="3845" spans="1:9" s="83" customFormat="1" x14ac:dyDescent="0.35">
      <c r="A3845" s="77"/>
      <c r="B3845" s="64"/>
      <c r="C3845" s="82"/>
      <c r="D3845" s="64"/>
      <c r="E3845" s="96"/>
      <c r="F3845" s="64"/>
      <c r="G3845" s="70"/>
      <c r="H3845" s="84"/>
      <c r="I3845" s="84"/>
    </row>
    <row r="3846" spans="1:9" s="83" customFormat="1" x14ac:dyDescent="0.35">
      <c r="A3846" s="77"/>
      <c r="B3846" s="64"/>
      <c r="C3846" s="82"/>
      <c r="D3846" s="86"/>
      <c r="E3846" s="96"/>
      <c r="F3846" s="64"/>
      <c r="G3846" s="70"/>
      <c r="H3846" s="84"/>
      <c r="I3846" s="84"/>
    </row>
    <row r="3847" spans="1:9" s="83" customFormat="1" x14ac:dyDescent="0.35">
      <c r="A3847" s="77"/>
      <c r="B3847" s="64"/>
      <c r="C3847" s="82"/>
      <c r="D3847" s="64"/>
      <c r="E3847" s="96"/>
      <c r="F3847" s="64"/>
      <c r="G3847" s="70"/>
      <c r="H3847" s="84"/>
      <c r="I3847" s="84"/>
    </row>
    <row r="3848" spans="1:9" s="83" customFormat="1" x14ac:dyDescent="0.35">
      <c r="A3848" s="77"/>
      <c r="B3848" s="64"/>
      <c r="C3848" s="82"/>
      <c r="D3848" s="64"/>
      <c r="E3848" s="96"/>
      <c r="F3848" s="64"/>
      <c r="G3848" s="70"/>
      <c r="H3848" s="84"/>
      <c r="I3848" s="84"/>
    </row>
    <row r="3849" spans="1:9" s="83" customFormat="1" x14ac:dyDescent="0.35">
      <c r="A3849" s="77"/>
      <c r="B3849" s="64"/>
      <c r="C3849" s="82"/>
      <c r="D3849" s="86"/>
      <c r="E3849" s="96"/>
      <c r="F3849" s="64"/>
      <c r="G3849" s="70"/>
      <c r="H3849" s="84"/>
      <c r="I3849" s="84"/>
    </row>
    <row r="3850" spans="1:9" s="83" customFormat="1" x14ac:dyDescent="0.35">
      <c r="A3850" s="77"/>
      <c r="B3850" s="64"/>
      <c r="C3850" s="82"/>
      <c r="D3850" s="64"/>
      <c r="E3850" s="96"/>
      <c r="F3850" s="64"/>
      <c r="G3850" s="70"/>
      <c r="H3850" s="84"/>
      <c r="I3850" s="84"/>
    </row>
    <row r="3851" spans="1:9" s="83" customFormat="1" x14ac:dyDescent="0.35">
      <c r="A3851" s="77"/>
      <c r="B3851" s="64"/>
      <c r="C3851" s="82"/>
      <c r="D3851" s="64"/>
      <c r="E3851" s="96"/>
      <c r="F3851" s="64"/>
      <c r="G3851" s="70"/>
      <c r="H3851" s="84"/>
      <c r="I3851" s="84"/>
    </row>
    <row r="3852" spans="1:9" s="83" customFormat="1" x14ac:dyDescent="0.35">
      <c r="A3852" s="77"/>
      <c r="B3852" s="64"/>
      <c r="C3852" s="82"/>
      <c r="D3852" s="64"/>
      <c r="E3852" s="96"/>
      <c r="F3852" s="64"/>
      <c r="G3852" s="70"/>
      <c r="H3852" s="84"/>
      <c r="I3852" s="84"/>
    </row>
    <row r="3853" spans="1:9" s="83" customFormat="1" x14ac:dyDescent="0.35">
      <c r="A3853" s="77"/>
      <c r="B3853" s="64"/>
      <c r="C3853" s="82"/>
      <c r="D3853" s="64"/>
      <c r="E3853" s="96"/>
      <c r="F3853" s="64"/>
      <c r="G3853" s="70"/>
      <c r="H3853" s="84"/>
      <c r="I3853" s="84"/>
    </row>
    <row r="3854" spans="1:9" s="83" customFormat="1" x14ac:dyDescent="0.35">
      <c r="A3854" s="77"/>
      <c r="B3854" s="64"/>
      <c r="C3854" s="82"/>
      <c r="D3854" s="64"/>
      <c r="E3854" s="96"/>
      <c r="F3854" s="64"/>
      <c r="G3854" s="70"/>
      <c r="H3854" s="84"/>
      <c r="I3854" s="84"/>
    </row>
    <row r="3855" spans="1:9" s="83" customFormat="1" x14ac:dyDescent="0.35">
      <c r="A3855" s="77"/>
      <c r="B3855" s="64"/>
      <c r="C3855" s="82"/>
      <c r="D3855" s="86"/>
      <c r="E3855" s="96"/>
      <c r="F3855" s="64"/>
      <c r="G3855" s="70"/>
      <c r="H3855" s="84"/>
      <c r="I3855" s="84"/>
    </row>
    <row r="3856" spans="1:9" s="83" customFormat="1" x14ac:dyDescent="0.35">
      <c r="A3856" s="77"/>
      <c r="B3856" s="64"/>
      <c r="C3856" s="82"/>
      <c r="D3856" s="64"/>
      <c r="E3856" s="96"/>
      <c r="F3856" s="64"/>
      <c r="G3856" s="70"/>
      <c r="H3856" s="84"/>
      <c r="I3856" s="84"/>
    </row>
    <row r="3857" spans="1:9" s="83" customFormat="1" x14ac:dyDescent="0.35">
      <c r="A3857" s="77"/>
      <c r="B3857" s="64"/>
      <c r="C3857" s="82"/>
      <c r="D3857" s="64"/>
      <c r="E3857" s="96"/>
      <c r="F3857" s="64"/>
      <c r="G3857" s="70"/>
      <c r="H3857" s="84"/>
      <c r="I3857" s="84"/>
    </row>
    <row r="3858" spans="1:9" s="83" customFormat="1" x14ac:dyDescent="0.35">
      <c r="A3858" s="77"/>
      <c r="B3858" s="64"/>
      <c r="C3858" s="82"/>
      <c r="D3858" s="64"/>
      <c r="E3858" s="96"/>
      <c r="F3858" s="64"/>
      <c r="G3858" s="70"/>
      <c r="H3858" s="84"/>
      <c r="I3858" s="84"/>
    </row>
    <row r="3859" spans="1:9" s="83" customFormat="1" x14ac:dyDescent="0.35">
      <c r="A3859" s="77"/>
      <c r="B3859" s="64"/>
      <c r="C3859" s="82"/>
      <c r="D3859" s="64"/>
      <c r="E3859" s="96"/>
      <c r="F3859" s="64"/>
      <c r="G3859" s="70"/>
      <c r="H3859" s="84"/>
      <c r="I3859" s="84"/>
    </row>
    <row r="3860" spans="1:9" s="83" customFormat="1" x14ac:dyDescent="0.35">
      <c r="A3860" s="77"/>
      <c r="B3860" s="64"/>
      <c r="C3860" s="82"/>
      <c r="D3860" s="64"/>
      <c r="E3860" s="96"/>
      <c r="F3860" s="64"/>
      <c r="G3860" s="70"/>
      <c r="H3860" s="84"/>
      <c r="I3860" s="84"/>
    </row>
    <row r="3861" spans="1:9" s="83" customFormat="1" x14ac:dyDescent="0.35">
      <c r="A3861" s="77"/>
      <c r="B3861" s="64"/>
      <c r="C3861" s="82"/>
      <c r="D3861" s="64"/>
      <c r="E3861" s="96"/>
      <c r="F3861" s="64"/>
      <c r="G3861" s="70"/>
      <c r="H3861" s="84"/>
      <c r="I3861" s="84"/>
    </row>
    <row r="3862" spans="1:9" s="83" customFormat="1" x14ac:dyDescent="0.35">
      <c r="A3862" s="77"/>
      <c r="B3862" s="64"/>
      <c r="C3862" s="82"/>
      <c r="D3862" s="64"/>
      <c r="E3862" s="96"/>
      <c r="F3862" s="64"/>
      <c r="G3862" s="70"/>
      <c r="H3862" s="84"/>
      <c r="I3862" s="84"/>
    </row>
    <row r="3863" spans="1:9" s="83" customFormat="1" x14ac:dyDescent="0.35">
      <c r="A3863" s="77"/>
      <c r="B3863" s="64"/>
      <c r="C3863" s="87"/>
      <c r="D3863" s="86"/>
      <c r="E3863" s="96"/>
      <c r="F3863" s="64"/>
      <c r="G3863" s="70"/>
      <c r="H3863" s="84"/>
      <c r="I3863" s="84"/>
    </row>
    <row r="3864" spans="1:9" s="83" customFormat="1" x14ac:dyDescent="0.35">
      <c r="A3864" s="77"/>
      <c r="B3864" s="64"/>
      <c r="C3864" s="87"/>
      <c r="D3864" s="86"/>
      <c r="E3864" s="96"/>
      <c r="F3864" s="64"/>
      <c r="G3864" s="70"/>
      <c r="H3864" s="84"/>
      <c r="I3864" s="84"/>
    </row>
    <row r="3865" spans="1:9" s="83" customFormat="1" x14ac:dyDescent="0.35">
      <c r="A3865" s="77"/>
      <c r="B3865" s="64"/>
      <c r="C3865" s="82"/>
      <c r="D3865" s="86"/>
      <c r="E3865" s="96"/>
      <c r="F3865" s="64"/>
      <c r="G3865" s="70"/>
      <c r="H3865" s="84"/>
      <c r="I3865" s="84"/>
    </row>
    <row r="3866" spans="1:9" s="83" customFormat="1" x14ac:dyDescent="0.35">
      <c r="A3866" s="77"/>
      <c r="B3866" s="64"/>
      <c r="C3866" s="87"/>
      <c r="D3866" s="86"/>
      <c r="E3866" s="96"/>
      <c r="F3866" s="64"/>
      <c r="G3866" s="70"/>
      <c r="H3866" s="84"/>
      <c r="I3866" s="84"/>
    </row>
    <row r="3867" spans="1:9" s="83" customFormat="1" x14ac:dyDescent="0.35">
      <c r="A3867" s="77"/>
      <c r="B3867" s="64"/>
      <c r="C3867" s="87"/>
      <c r="D3867" s="86"/>
      <c r="E3867" s="96"/>
      <c r="F3867" s="64"/>
      <c r="G3867" s="70"/>
      <c r="H3867" s="84"/>
      <c r="I3867" s="84"/>
    </row>
    <row r="3868" spans="1:9" s="83" customFormat="1" x14ac:dyDescent="0.35">
      <c r="A3868" s="77"/>
      <c r="B3868" s="64"/>
      <c r="C3868" s="87"/>
      <c r="D3868" s="86"/>
      <c r="E3868" s="96"/>
      <c r="F3868" s="64"/>
      <c r="G3868" s="70"/>
      <c r="H3868" s="84"/>
      <c r="I3868" s="84"/>
    </row>
    <row r="3869" spans="1:9" s="83" customFormat="1" x14ac:dyDescent="0.35">
      <c r="A3869" s="77"/>
      <c r="B3869" s="64"/>
      <c r="C3869" s="87"/>
      <c r="D3869" s="86"/>
      <c r="E3869" s="96"/>
      <c r="F3869" s="64"/>
      <c r="G3869" s="70"/>
      <c r="H3869" s="84"/>
      <c r="I3869" s="84"/>
    </row>
    <row r="3870" spans="1:9" s="83" customFormat="1" x14ac:dyDescent="0.35">
      <c r="A3870" s="77"/>
      <c r="B3870" s="64"/>
      <c r="C3870" s="87"/>
      <c r="D3870" s="86"/>
      <c r="E3870" s="96"/>
      <c r="F3870" s="64"/>
      <c r="G3870" s="70"/>
      <c r="H3870" s="84"/>
      <c r="I3870" s="84"/>
    </row>
    <row r="3871" spans="1:9" s="83" customFormat="1" x14ac:dyDescent="0.35">
      <c r="A3871" s="77"/>
      <c r="B3871" s="64"/>
      <c r="C3871" s="87"/>
      <c r="D3871" s="86"/>
      <c r="E3871" s="96"/>
      <c r="F3871" s="64"/>
      <c r="G3871" s="70"/>
      <c r="H3871" s="84"/>
      <c r="I3871" s="84"/>
    </row>
    <row r="3872" spans="1:9" s="83" customFormat="1" x14ac:dyDescent="0.35">
      <c r="A3872" s="77"/>
      <c r="B3872" s="64"/>
      <c r="C3872" s="82"/>
      <c r="D3872" s="64"/>
      <c r="E3872" s="96"/>
      <c r="F3872" s="64"/>
      <c r="G3872" s="70"/>
      <c r="H3872" s="84"/>
      <c r="I3872" s="84"/>
    </row>
    <row r="3873" spans="1:9" s="83" customFormat="1" x14ac:dyDescent="0.35">
      <c r="A3873" s="77"/>
      <c r="B3873" s="64"/>
      <c r="C3873" s="82"/>
      <c r="D3873" s="64"/>
      <c r="E3873" s="96"/>
      <c r="F3873" s="64"/>
      <c r="G3873" s="70"/>
      <c r="H3873" s="84"/>
      <c r="I3873" s="84"/>
    </row>
    <row r="3874" spans="1:9" s="83" customFormat="1" x14ac:dyDescent="0.35">
      <c r="A3874" s="77"/>
      <c r="B3874" s="64"/>
      <c r="C3874" s="82"/>
      <c r="D3874" s="64"/>
      <c r="E3874" s="96"/>
      <c r="F3874" s="64"/>
      <c r="G3874" s="70"/>
      <c r="H3874" s="84"/>
      <c r="I3874" s="84"/>
    </row>
    <row r="3875" spans="1:9" s="83" customFormat="1" x14ac:dyDescent="0.35">
      <c r="A3875" s="77"/>
      <c r="B3875" s="64"/>
      <c r="C3875" s="82"/>
      <c r="D3875" s="64"/>
      <c r="E3875" s="96"/>
      <c r="F3875" s="64"/>
      <c r="G3875" s="70"/>
      <c r="H3875" s="84"/>
      <c r="I3875" s="84"/>
    </row>
    <row r="3876" spans="1:9" s="83" customFormat="1" x14ac:dyDescent="0.35">
      <c r="A3876" s="77"/>
      <c r="B3876" s="64"/>
      <c r="C3876" s="82"/>
      <c r="D3876" s="64"/>
      <c r="E3876" s="96"/>
      <c r="F3876" s="64"/>
      <c r="G3876" s="70"/>
      <c r="H3876" s="84"/>
      <c r="I3876" s="84"/>
    </row>
    <row r="3877" spans="1:9" s="83" customFormat="1" x14ac:dyDescent="0.35">
      <c r="A3877" s="77"/>
      <c r="B3877" s="64"/>
      <c r="C3877" s="82"/>
      <c r="D3877" s="86"/>
      <c r="E3877" s="96"/>
      <c r="F3877" s="64"/>
      <c r="G3877" s="70"/>
      <c r="H3877" s="84"/>
      <c r="I3877" s="84"/>
    </row>
    <row r="3878" spans="1:9" s="83" customFormat="1" x14ac:dyDescent="0.35">
      <c r="A3878" s="77"/>
      <c r="B3878" s="64"/>
      <c r="C3878" s="82"/>
      <c r="D3878" s="86"/>
      <c r="E3878" s="96"/>
      <c r="F3878" s="64"/>
      <c r="G3878" s="70"/>
      <c r="H3878" s="84"/>
      <c r="I3878" s="84"/>
    </row>
    <row r="3879" spans="1:9" s="83" customFormat="1" x14ac:dyDescent="0.35">
      <c r="A3879" s="77"/>
      <c r="B3879" s="64"/>
      <c r="C3879" s="87"/>
      <c r="D3879" s="86"/>
      <c r="E3879" s="96"/>
      <c r="F3879" s="64"/>
      <c r="G3879" s="70"/>
      <c r="H3879" s="84"/>
      <c r="I3879" s="84"/>
    </row>
    <row r="3880" spans="1:9" s="83" customFormat="1" x14ac:dyDescent="0.35">
      <c r="A3880" s="77"/>
      <c r="B3880" s="64"/>
      <c r="C3880" s="82"/>
      <c r="D3880" s="86"/>
      <c r="E3880" s="96"/>
      <c r="F3880" s="64"/>
      <c r="G3880" s="70"/>
      <c r="H3880" s="84"/>
      <c r="I3880" s="84"/>
    </row>
    <row r="3881" spans="1:9" s="83" customFormat="1" x14ac:dyDescent="0.35">
      <c r="A3881" s="77"/>
      <c r="B3881" s="64"/>
      <c r="C3881" s="82"/>
      <c r="D3881" s="86"/>
      <c r="E3881" s="96"/>
      <c r="F3881" s="64"/>
      <c r="G3881" s="70"/>
      <c r="H3881" s="84"/>
      <c r="I3881" s="84"/>
    </row>
    <row r="3882" spans="1:9" s="83" customFormat="1" x14ac:dyDescent="0.35">
      <c r="A3882" s="77"/>
      <c r="B3882" s="64"/>
      <c r="C3882" s="82"/>
      <c r="D3882" s="86"/>
      <c r="E3882" s="96"/>
      <c r="F3882" s="64"/>
      <c r="G3882" s="70"/>
      <c r="H3882" s="84"/>
      <c r="I3882" s="84"/>
    </row>
    <row r="3883" spans="1:9" s="83" customFormat="1" x14ac:dyDescent="0.35">
      <c r="A3883" s="77"/>
      <c r="B3883" s="64"/>
      <c r="C3883" s="82"/>
      <c r="D3883" s="86"/>
      <c r="E3883" s="96"/>
      <c r="F3883" s="64"/>
      <c r="G3883" s="70"/>
      <c r="H3883" s="84"/>
      <c r="I3883" s="84"/>
    </row>
    <row r="3884" spans="1:9" s="83" customFormat="1" x14ac:dyDescent="0.35">
      <c r="A3884" s="77"/>
      <c r="B3884" s="64"/>
      <c r="C3884" s="82"/>
      <c r="D3884" s="86"/>
      <c r="E3884" s="96"/>
      <c r="F3884" s="64"/>
      <c r="G3884" s="70"/>
      <c r="H3884" s="84"/>
      <c r="I3884" s="84"/>
    </row>
    <row r="3885" spans="1:9" s="83" customFormat="1" x14ac:dyDescent="0.35">
      <c r="A3885" s="77"/>
      <c r="B3885" s="64"/>
      <c r="C3885" s="82"/>
      <c r="D3885" s="86"/>
      <c r="E3885" s="96"/>
      <c r="F3885" s="64"/>
      <c r="G3885" s="70"/>
      <c r="H3885" s="84"/>
      <c r="I3885" s="84"/>
    </row>
    <row r="3886" spans="1:9" s="83" customFormat="1" x14ac:dyDescent="0.35">
      <c r="A3886" s="77"/>
      <c r="B3886" s="64"/>
      <c r="C3886" s="82"/>
      <c r="D3886" s="86"/>
      <c r="E3886" s="96"/>
      <c r="F3886" s="64"/>
      <c r="G3886" s="70"/>
      <c r="H3886" s="84"/>
      <c r="I3886" s="84"/>
    </row>
    <row r="3887" spans="1:9" s="83" customFormat="1" x14ac:dyDescent="0.35">
      <c r="A3887" s="77"/>
      <c r="B3887" s="64"/>
      <c r="C3887" s="82"/>
      <c r="D3887" s="86"/>
      <c r="E3887" s="96"/>
      <c r="F3887" s="64"/>
      <c r="G3887" s="70"/>
      <c r="H3887" s="84"/>
      <c r="I3887" s="84"/>
    </row>
    <row r="3888" spans="1:9" s="83" customFormat="1" x14ac:dyDescent="0.35">
      <c r="A3888" s="77"/>
      <c r="B3888" s="64"/>
      <c r="C3888" s="82"/>
      <c r="D3888" s="86"/>
      <c r="E3888" s="96"/>
      <c r="F3888" s="64"/>
      <c r="G3888" s="70"/>
      <c r="H3888" s="84"/>
      <c r="I3888" s="84"/>
    </row>
    <row r="3889" spans="1:9" s="83" customFormat="1" x14ac:dyDescent="0.35">
      <c r="A3889" s="77"/>
      <c r="B3889" s="64"/>
      <c r="C3889" s="87"/>
      <c r="D3889" s="86"/>
      <c r="E3889" s="96"/>
      <c r="F3889" s="64"/>
      <c r="G3889" s="70"/>
      <c r="H3889" s="84"/>
      <c r="I3889" s="84"/>
    </row>
    <row r="3890" spans="1:9" s="83" customFormat="1" x14ac:dyDescent="0.35">
      <c r="A3890" s="77"/>
      <c r="B3890" s="64"/>
      <c r="C3890" s="87"/>
      <c r="D3890" s="86"/>
      <c r="E3890" s="96"/>
      <c r="F3890" s="64"/>
      <c r="G3890" s="70"/>
      <c r="H3890" s="84"/>
      <c r="I3890" s="84"/>
    </row>
    <row r="3891" spans="1:9" s="83" customFormat="1" x14ac:dyDescent="0.35">
      <c r="A3891" s="77"/>
      <c r="B3891" s="64"/>
      <c r="C3891" s="82"/>
      <c r="D3891" s="64"/>
      <c r="E3891" s="96"/>
      <c r="F3891" s="64"/>
      <c r="G3891" s="70"/>
      <c r="H3891" s="84"/>
      <c r="I3891" s="84"/>
    </row>
    <row r="3892" spans="1:9" s="83" customFormat="1" x14ac:dyDescent="0.35">
      <c r="A3892" s="77"/>
      <c r="B3892" s="64"/>
      <c r="C3892" s="82"/>
      <c r="D3892" s="64"/>
      <c r="E3892" s="96"/>
      <c r="F3892" s="64"/>
      <c r="G3892" s="70"/>
      <c r="H3892" s="84"/>
      <c r="I3892" s="84"/>
    </row>
    <row r="3893" spans="1:9" s="83" customFormat="1" x14ac:dyDescent="0.35">
      <c r="A3893" s="77"/>
      <c r="B3893" s="64"/>
      <c r="C3893" s="82"/>
      <c r="D3893" s="64"/>
      <c r="E3893" s="96"/>
      <c r="F3893" s="64"/>
      <c r="G3893" s="70"/>
      <c r="H3893" s="84"/>
      <c r="I3893" s="84"/>
    </row>
    <row r="3894" spans="1:9" s="83" customFormat="1" x14ac:dyDescent="0.35">
      <c r="A3894" s="77"/>
      <c r="B3894" s="64"/>
      <c r="C3894" s="82"/>
      <c r="D3894" s="64"/>
      <c r="E3894" s="96"/>
      <c r="F3894" s="64"/>
      <c r="G3894" s="70"/>
      <c r="H3894" s="84"/>
      <c r="I3894" s="84"/>
    </row>
    <row r="3895" spans="1:9" s="83" customFormat="1" x14ac:dyDescent="0.35">
      <c r="A3895" s="77"/>
      <c r="B3895" s="64"/>
      <c r="C3895" s="82"/>
      <c r="D3895" s="64"/>
      <c r="E3895" s="96"/>
      <c r="F3895" s="64"/>
      <c r="G3895" s="70"/>
      <c r="H3895" s="84"/>
      <c r="I3895" s="84"/>
    </row>
    <row r="3896" spans="1:9" s="83" customFormat="1" x14ac:dyDescent="0.35">
      <c r="A3896" s="77"/>
      <c r="B3896" s="64"/>
      <c r="C3896" s="82"/>
      <c r="D3896" s="64"/>
      <c r="E3896" s="96"/>
      <c r="F3896" s="64"/>
      <c r="G3896" s="70"/>
      <c r="H3896" s="84"/>
      <c r="I3896" s="84"/>
    </row>
    <row r="3897" spans="1:9" s="83" customFormat="1" x14ac:dyDescent="0.35">
      <c r="A3897" s="77"/>
      <c r="B3897" s="64"/>
      <c r="C3897" s="82"/>
      <c r="D3897" s="64"/>
      <c r="E3897" s="96"/>
      <c r="F3897" s="64"/>
      <c r="G3897" s="70"/>
      <c r="H3897" s="84"/>
      <c r="I3897" s="84"/>
    </row>
    <row r="3898" spans="1:9" s="83" customFormat="1" x14ac:dyDescent="0.35">
      <c r="A3898" s="77"/>
      <c r="B3898" s="64"/>
      <c r="C3898" s="82"/>
      <c r="D3898" s="64"/>
      <c r="E3898" s="96"/>
      <c r="F3898" s="64"/>
      <c r="G3898" s="70"/>
      <c r="H3898" s="84"/>
      <c r="I3898" s="84"/>
    </row>
    <row r="3899" spans="1:9" s="83" customFormat="1" x14ac:dyDescent="0.35">
      <c r="A3899" s="77"/>
      <c r="B3899" s="64"/>
      <c r="C3899" s="82"/>
      <c r="D3899" s="64"/>
      <c r="E3899" s="96"/>
      <c r="F3899" s="64"/>
      <c r="G3899" s="70"/>
      <c r="H3899" s="84"/>
      <c r="I3899" s="84"/>
    </row>
    <row r="3900" spans="1:9" s="83" customFormat="1" x14ac:dyDescent="0.35">
      <c r="A3900" s="77"/>
      <c r="B3900" s="64"/>
      <c r="C3900" s="82"/>
      <c r="D3900" s="64"/>
      <c r="E3900" s="96"/>
      <c r="F3900" s="64"/>
      <c r="G3900" s="70"/>
      <c r="H3900" s="84"/>
      <c r="I3900" s="84"/>
    </row>
    <row r="3901" spans="1:9" s="83" customFormat="1" x14ac:dyDescent="0.35">
      <c r="A3901" s="77"/>
      <c r="B3901" s="64"/>
      <c r="C3901" s="82"/>
      <c r="D3901" s="64"/>
      <c r="E3901" s="96"/>
      <c r="F3901" s="64"/>
      <c r="G3901" s="70"/>
      <c r="H3901" s="84"/>
      <c r="I3901" s="84"/>
    </row>
    <row r="3902" spans="1:9" x14ac:dyDescent="0.35">
      <c r="C3902" s="82"/>
    </row>
    <row r="3903" spans="1:9" x14ac:dyDescent="0.35">
      <c r="C3903" s="82"/>
    </row>
    <row r="3904" spans="1:9" x14ac:dyDescent="0.35">
      <c r="C3904" s="82"/>
    </row>
    <row r="3905" spans="1:9" x14ac:dyDescent="0.35">
      <c r="C3905" s="82"/>
    </row>
    <row r="3906" spans="1:9" x14ac:dyDescent="0.35">
      <c r="C3906" s="82"/>
    </row>
    <row r="3907" spans="1:9" x14ac:dyDescent="0.35">
      <c r="C3907" s="82"/>
    </row>
    <row r="3908" spans="1:9" x14ac:dyDescent="0.35">
      <c r="C3908" s="82"/>
    </row>
    <row r="3909" spans="1:9" x14ac:dyDescent="0.35">
      <c r="C3909" s="82"/>
    </row>
    <row r="3910" spans="1:9" x14ac:dyDescent="0.35">
      <c r="C3910" s="82"/>
    </row>
    <row r="3911" spans="1:9" x14ac:dyDescent="0.35">
      <c r="C3911" s="82"/>
    </row>
    <row r="3912" spans="1:9" x14ac:dyDescent="0.35">
      <c r="C3912" s="82"/>
    </row>
    <row r="3913" spans="1:9" x14ac:dyDescent="0.35">
      <c r="C3913" s="82"/>
    </row>
    <row r="3914" spans="1:9" x14ac:dyDescent="0.35">
      <c r="C3914" s="82"/>
    </row>
    <row r="3915" spans="1:9" x14ac:dyDescent="0.35">
      <c r="C3915" s="82"/>
    </row>
    <row r="3916" spans="1:9" x14ac:dyDescent="0.35">
      <c r="C3916" s="82"/>
    </row>
    <row r="3917" spans="1:9" x14ac:dyDescent="0.35">
      <c r="C3917" s="82"/>
    </row>
    <row r="3918" spans="1:9" s="83" customFormat="1" x14ac:dyDescent="0.35">
      <c r="A3918" s="77"/>
      <c r="B3918" s="64"/>
      <c r="C3918" s="82"/>
      <c r="D3918" s="64"/>
      <c r="E3918" s="96"/>
      <c r="F3918" s="64"/>
      <c r="G3918" s="70"/>
      <c r="H3918" s="84"/>
      <c r="I3918" s="84"/>
    </row>
    <row r="3919" spans="1:9" s="83" customFormat="1" x14ac:dyDescent="0.35">
      <c r="A3919" s="77"/>
      <c r="B3919" s="64"/>
      <c r="C3919" s="82"/>
      <c r="D3919" s="64"/>
      <c r="E3919" s="96"/>
      <c r="F3919" s="64"/>
      <c r="G3919" s="70"/>
      <c r="H3919" s="84"/>
      <c r="I3919" s="84"/>
    </row>
    <row r="3920" spans="1:9" s="83" customFormat="1" x14ac:dyDescent="0.35">
      <c r="A3920" s="77"/>
      <c r="B3920" s="64"/>
      <c r="C3920" s="82"/>
      <c r="D3920" s="64"/>
      <c r="E3920" s="96"/>
      <c r="F3920" s="64"/>
      <c r="G3920" s="70"/>
      <c r="H3920" s="84"/>
      <c r="I3920" s="84"/>
    </row>
    <row r="3921" spans="1:9" s="83" customFormat="1" x14ac:dyDescent="0.35">
      <c r="A3921" s="77"/>
      <c r="B3921" s="64"/>
      <c r="C3921" s="82"/>
      <c r="D3921" s="64"/>
      <c r="E3921" s="96"/>
      <c r="F3921" s="64"/>
      <c r="G3921" s="70"/>
      <c r="H3921" s="84"/>
      <c r="I3921" s="84"/>
    </row>
    <row r="3922" spans="1:9" s="83" customFormat="1" x14ac:dyDescent="0.35">
      <c r="A3922" s="77"/>
      <c r="B3922" s="64"/>
      <c r="C3922" s="82"/>
      <c r="D3922" s="86"/>
      <c r="E3922" s="96"/>
      <c r="F3922" s="64"/>
      <c r="G3922" s="70"/>
      <c r="H3922" s="84"/>
      <c r="I3922" s="84"/>
    </row>
    <row r="3923" spans="1:9" s="83" customFormat="1" x14ac:dyDescent="0.35">
      <c r="A3923" s="77"/>
      <c r="B3923" s="64"/>
      <c r="C3923" s="82"/>
      <c r="D3923" s="64"/>
      <c r="E3923" s="96"/>
      <c r="F3923" s="64"/>
      <c r="G3923" s="70"/>
      <c r="H3923" s="84"/>
      <c r="I3923" s="84"/>
    </row>
    <row r="3924" spans="1:9" s="83" customFormat="1" x14ac:dyDescent="0.35">
      <c r="A3924" s="77"/>
      <c r="B3924" s="64"/>
      <c r="C3924" s="82"/>
      <c r="D3924" s="86"/>
      <c r="E3924" s="96"/>
      <c r="F3924" s="64"/>
      <c r="G3924" s="70"/>
      <c r="H3924" s="84"/>
      <c r="I3924" s="84"/>
    </row>
    <row r="3925" spans="1:9" s="83" customFormat="1" x14ac:dyDescent="0.35">
      <c r="A3925" s="77"/>
      <c r="B3925" s="64"/>
      <c r="C3925" s="82"/>
      <c r="D3925" s="86"/>
      <c r="E3925" s="96"/>
      <c r="F3925" s="64"/>
      <c r="G3925" s="70"/>
      <c r="H3925" s="84"/>
      <c r="I3925" s="84"/>
    </row>
    <row r="3926" spans="1:9" s="83" customFormat="1" x14ac:dyDescent="0.35">
      <c r="A3926" s="77"/>
      <c r="B3926" s="64"/>
      <c r="C3926" s="82"/>
      <c r="D3926" s="86"/>
      <c r="E3926" s="96"/>
      <c r="F3926" s="64"/>
      <c r="G3926" s="70"/>
      <c r="H3926" s="84"/>
      <c r="I3926" s="84"/>
    </row>
    <row r="3927" spans="1:9" s="83" customFormat="1" x14ac:dyDescent="0.35">
      <c r="A3927" s="77"/>
      <c r="B3927" s="64"/>
      <c r="C3927" s="82"/>
      <c r="D3927" s="86"/>
      <c r="E3927" s="96"/>
      <c r="F3927" s="64"/>
      <c r="G3927" s="70"/>
      <c r="H3927" s="84"/>
      <c r="I3927" s="84"/>
    </row>
    <row r="3928" spans="1:9" s="83" customFormat="1" x14ac:dyDescent="0.35">
      <c r="A3928" s="77"/>
      <c r="B3928" s="64"/>
      <c r="C3928" s="82"/>
      <c r="D3928" s="64"/>
      <c r="E3928" s="96"/>
      <c r="F3928" s="64"/>
      <c r="G3928" s="70"/>
      <c r="H3928" s="84"/>
      <c r="I3928" s="84"/>
    </row>
    <row r="3929" spans="1:9" s="83" customFormat="1" x14ac:dyDescent="0.35">
      <c r="A3929" s="77"/>
      <c r="B3929" s="64"/>
      <c r="C3929" s="82"/>
      <c r="D3929" s="64"/>
      <c r="E3929" s="96"/>
      <c r="F3929" s="64"/>
      <c r="G3929" s="70"/>
      <c r="H3929" s="84"/>
      <c r="I3929" s="84"/>
    </row>
    <row r="3930" spans="1:9" s="83" customFormat="1" x14ac:dyDescent="0.35">
      <c r="A3930" s="77"/>
      <c r="B3930" s="64"/>
      <c r="C3930" s="82"/>
      <c r="D3930" s="64"/>
      <c r="E3930" s="96"/>
      <c r="F3930" s="64"/>
      <c r="G3930" s="70"/>
      <c r="H3930" s="84"/>
      <c r="I3930" s="84"/>
    </row>
    <row r="3931" spans="1:9" s="83" customFormat="1" x14ac:dyDescent="0.35">
      <c r="A3931" s="77"/>
      <c r="B3931" s="64"/>
      <c r="C3931" s="82"/>
      <c r="D3931" s="86"/>
      <c r="E3931" s="96"/>
      <c r="F3931" s="64"/>
      <c r="G3931" s="70"/>
      <c r="H3931" s="84"/>
      <c r="I3931" s="84"/>
    </row>
    <row r="3932" spans="1:9" s="83" customFormat="1" x14ac:dyDescent="0.35">
      <c r="A3932" s="77"/>
      <c r="B3932" s="64"/>
      <c r="C3932" s="82"/>
      <c r="D3932" s="64"/>
      <c r="E3932" s="96"/>
      <c r="F3932" s="64"/>
      <c r="G3932" s="70"/>
      <c r="H3932" s="84"/>
      <c r="I3932" s="84"/>
    </row>
    <row r="3933" spans="1:9" s="83" customFormat="1" x14ac:dyDescent="0.35">
      <c r="A3933" s="77"/>
      <c r="B3933" s="64"/>
      <c r="C3933" s="82"/>
      <c r="D3933" s="64"/>
      <c r="E3933" s="96"/>
      <c r="F3933" s="64"/>
      <c r="G3933" s="70"/>
      <c r="H3933" s="84"/>
      <c r="I3933" s="84"/>
    </row>
    <row r="3934" spans="1:9" x14ac:dyDescent="0.35">
      <c r="C3934" s="82"/>
    </row>
    <row r="3935" spans="1:9" x14ac:dyDescent="0.35">
      <c r="C3935" s="82"/>
    </row>
    <row r="3936" spans="1:9" x14ac:dyDescent="0.35">
      <c r="C3936" s="82"/>
    </row>
    <row r="3937" spans="3:3" x14ac:dyDescent="0.35">
      <c r="C3937" s="82"/>
    </row>
    <row r="3938" spans="3:3" x14ac:dyDescent="0.35">
      <c r="C3938" s="82"/>
    </row>
    <row r="3939" spans="3:3" x14ac:dyDescent="0.35">
      <c r="C3939" s="82"/>
    </row>
    <row r="3940" spans="3:3" x14ac:dyDescent="0.35">
      <c r="C3940" s="82"/>
    </row>
    <row r="3941" spans="3:3" x14ac:dyDescent="0.35">
      <c r="C3941" s="82"/>
    </row>
    <row r="3942" spans="3:3" x14ac:dyDescent="0.35">
      <c r="C3942" s="82"/>
    </row>
    <row r="3943" spans="3:3" x14ac:dyDescent="0.35">
      <c r="C3943" s="82"/>
    </row>
    <row r="3944" spans="3:3" x14ac:dyDescent="0.35">
      <c r="C3944" s="82"/>
    </row>
    <row r="3945" spans="3:3" x14ac:dyDescent="0.35">
      <c r="C3945" s="82"/>
    </row>
    <row r="3946" spans="3:3" x14ac:dyDescent="0.35">
      <c r="C3946" s="82"/>
    </row>
    <row r="3947" spans="3:3" x14ac:dyDescent="0.35">
      <c r="C3947" s="82"/>
    </row>
    <row r="3948" spans="3:3" x14ac:dyDescent="0.35">
      <c r="C3948" s="82"/>
    </row>
    <row r="3949" spans="3:3" x14ac:dyDescent="0.35">
      <c r="C3949" s="82"/>
    </row>
    <row r="3950" spans="3:3" x14ac:dyDescent="0.35">
      <c r="C3950" s="82"/>
    </row>
    <row r="3951" spans="3:3" x14ac:dyDescent="0.35">
      <c r="C3951" s="82"/>
    </row>
    <row r="3952" spans="3:3" x14ac:dyDescent="0.35">
      <c r="C3952" s="82"/>
    </row>
    <row r="3953" spans="3:3" x14ac:dyDescent="0.35">
      <c r="C3953" s="82"/>
    </row>
    <row r="3954" spans="3:3" x14ac:dyDescent="0.35">
      <c r="C3954" s="82"/>
    </row>
    <row r="3955" spans="3:3" x14ac:dyDescent="0.35">
      <c r="C3955" s="82"/>
    </row>
    <row r="3956" spans="3:3" x14ac:dyDescent="0.35">
      <c r="C3956" s="82"/>
    </row>
    <row r="3957" spans="3:3" x14ac:dyDescent="0.35">
      <c r="C3957" s="82"/>
    </row>
    <row r="3958" spans="3:3" x14ac:dyDescent="0.35">
      <c r="C3958" s="82"/>
    </row>
    <row r="3959" spans="3:3" x14ac:dyDescent="0.35">
      <c r="C3959" s="82"/>
    </row>
    <row r="3960" spans="3:3" x14ac:dyDescent="0.35">
      <c r="C3960" s="82"/>
    </row>
    <row r="3961" spans="3:3" x14ac:dyDescent="0.35">
      <c r="C3961" s="82"/>
    </row>
    <row r="3962" spans="3:3" x14ac:dyDescent="0.35">
      <c r="C3962" s="82"/>
    </row>
    <row r="3963" spans="3:3" x14ac:dyDescent="0.35">
      <c r="C3963" s="82"/>
    </row>
    <row r="3964" spans="3:3" x14ac:dyDescent="0.35">
      <c r="C3964" s="82"/>
    </row>
    <row r="3965" spans="3:3" x14ac:dyDescent="0.35">
      <c r="C3965" s="82"/>
    </row>
    <row r="3966" spans="3:3" x14ac:dyDescent="0.35">
      <c r="C3966" s="82"/>
    </row>
    <row r="3967" spans="3:3" x14ac:dyDescent="0.35">
      <c r="C3967" s="82"/>
    </row>
    <row r="3968" spans="3:3" x14ac:dyDescent="0.35">
      <c r="C3968" s="82"/>
    </row>
    <row r="3969" spans="3:3" x14ac:dyDescent="0.35">
      <c r="C3969" s="82"/>
    </row>
    <row r="3970" spans="3:3" x14ac:dyDescent="0.35">
      <c r="C3970" s="82"/>
    </row>
    <row r="3971" spans="3:3" x14ac:dyDescent="0.35">
      <c r="C3971" s="82"/>
    </row>
    <row r="3972" spans="3:3" x14ac:dyDescent="0.35">
      <c r="C3972" s="82"/>
    </row>
    <row r="3973" spans="3:3" x14ac:dyDescent="0.35">
      <c r="C3973" s="82"/>
    </row>
    <row r="3974" spans="3:3" x14ac:dyDescent="0.35">
      <c r="C3974" s="82"/>
    </row>
    <row r="3975" spans="3:3" x14ac:dyDescent="0.35">
      <c r="C3975" s="82"/>
    </row>
    <row r="3976" spans="3:3" x14ac:dyDescent="0.35">
      <c r="C3976" s="82"/>
    </row>
    <row r="3977" spans="3:3" x14ac:dyDescent="0.35">
      <c r="C3977" s="82"/>
    </row>
    <row r="3978" spans="3:3" x14ac:dyDescent="0.35">
      <c r="C3978" s="82"/>
    </row>
    <row r="3979" spans="3:3" x14ac:dyDescent="0.35">
      <c r="C3979" s="82"/>
    </row>
    <row r="3980" spans="3:3" x14ac:dyDescent="0.35">
      <c r="C3980" s="82"/>
    </row>
    <row r="3981" spans="3:3" x14ac:dyDescent="0.35">
      <c r="C3981" s="82"/>
    </row>
    <row r="3982" spans="3:3" x14ac:dyDescent="0.35">
      <c r="C3982" s="82"/>
    </row>
    <row r="3983" spans="3:3" x14ac:dyDescent="0.35">
      <c r="C3983" s="82"/>
    </row>
    <row r="3984" spans="3:3" x14ac:dyDescent="0.35">
      <c r="C3984" s="82"/>
    </row>
    <row r="3985" spans="3:3" x14ac:dyDescent="0.35">
      <c r="C3985" s="82"/>
    </row>
    <row r="3986" spans="3:3" x14ac:dyDescent="0.35">
      <c r="C3986" s="82"/>
    </row>
    <row r="3987" spans="3:3" x14ac:dyDescent="0.35">
      <c r="C3987" s="82"/>
    </row>
    <row r="3988" spans="3:3" x14ac:dyDescent="0.35">
      <c r="C3988" s="82"/>
    </row>
    <row r="3989" spans="3:3" x14ac:dyDescent="0.35">
      <c r="C3989" s="82"/>
    </row>
    <row r="3990" spans="3:3" x14ac:dyDescent="0.35">
      <c r="C3990" s="82"/>
    </row>
    <row r="3991" spans="3:3" x14ac:dyDescent="0.35">
      <c r="C3991" s="82"/>
    </row>
    <row r="3992" spans="3:3" x14ac:dyDescent="0.35">
      <c r="C3992" s="82"/>
    </row>
    <row r="3993" spans="3:3" x14ac:dyDescent="0.35">
      <c r="C3993" s="82"/>
    </row>
    <row r="3994" spans="3:3" x14ac:dyDescent="0.35">
      <c r="C3994" s="82"/>
    </row>
    <row r="3995" spans="3:3" x14ac:dyDescent="0.35">
      <c r="C3995" s="82"/>
    </row>
    <row r="3996" spans="3:3" x14ac:dyDescent="0.35">
      <c r="C3996" s="82"/>
    </row>
    <row r="3997" spans="3:3" x14ac:dyDescent="0.35">
      <c r="C3997" s="82"/>
    </row>
    <row r="3998" spans="3:3" x14ac:dyDescent="0.35">
      <c r="C3998" s="82"/>
    </row>
    <row r="3999" spans="3:3" x14ac:dyDescent="0.35">
      <c r="C3999" s="82"/>
    </row>
    <row r="4000" spans="3:3" x14ac:dyDescent="0.35">
      <c r="C4000" s="82"/>
    </row>
    <row r="4001" spans="3:3" x14ac:dyDescent="0.35">
      <c r="C4001" s="82"/>
    </row>
    <row r="4002" spans="3:3" x14ac:dyDescent="0.35">
      <c r="C4002" s="82"/>
    </row>
    <row r="4003" spans="3:3" x14ac:dyDescent="0.35">
      <c r="C4003" s="82"/>
    </row>
    <row r="4004" spans="3:3" x14ac:dyDescent="0.35">
      <c r="C4004" s="82"/>
    </row>
    <row r="4005" spans="3:3" x14ac:dyDescent="0.35">
      <c r="C4005" s="82"/>
    </row>
    <row r="4006" spans="3:3" x14ac:dyDescent="0.35">
      <c r="C4006" s="82"/>
    </row>
    <row r="4007" spans="3:3" x14ac:dyDescent="0.35">
      <c r="C4007" s="82"/>
    </row>
    <row r="4008" spans="3:3" x14ac:dyDescent="0.35">
      <c r="C4008" s="82"/>
    </row>
    <row r="4009" spans="3:3" x14ac:dyDescent="0.35">
      <c r="C4009" s="82"/>
    </row>
    <row r="4010" spans="3:3" x14ac:dyDescent="0.35">
      <c r="C4010" s="82"/>
    </row>
    <row r="4011" spans="3:3" x14ac:dyDescent="0.35">
      <c r="C4011" s="82"/>
    </row>
    <row r="4012" spans="3:3" x14ac:dyDescent="0.35">
      <c r="C4012" s="82"/>
    </row>
    <row r="4013" spans="3:3" x14ac:dyDescent="0.35">
      <c r="C4013" s="82"/>
    </row>
    <row r="4014" spans="3:3" x14ac:dyDescent="0.35">
      <c r="C4014" s="82"/>
    </row>
    <row r="4015" spans="3:3" x14ac:dyDescent="0.35">
      <c r="C4015" s="82"/>
    </row>
    <row r="4016" spans="3:3" x14ac:dyDescent="0.35">
      <c r="C4016" s="82"/>
    </row>
    <row r="4017" spans="1:9" x14ac:dyDescent="0.35">
      <c r="C4017" s="82"/>
    </row>
    <row r="4018" spans="1:9" x14ac:dyDescent="0.35">
      <c r="C4018" s="82"/>
    </row>
    <row r="4019" spans="1:9" x14ac:dyDescent="0.35">
      <c r="C4019" s="82"/>
    </row>
    <row r="4020" spans="1:9" x14ac:dyDescent="0.35">
      <c r="C4020" s="82"/>
    </row>
    <row r="4021" spans="1:9" x14ac:dyDescent="0.35">
      <c r="C4021" s="82"/>
    </row>
    <row r="4022" spans="1:9" x14ac:dyDescent="0.35">
      <c r="C4022" s="82"/>
    </row>
    <row r="4023" spans="1:9" x14ac:dyDescent="0.35">
      <c r="C4023" s="82"/>
    </row>
    <row r="4024" spans="1:9" x14ac:dyDescent="0.35">
      <c r="C4024" s="82"/>
    </row>
    <row r="4025" spans="1:9" x14ac:dyDescent="0.35">
      <c r="C4025" s="82"/>
    </row>
    <row r="4026" spans="1:9" x14ac:dyDescent="0.35">
      <c r="C4026" s="82"/>
    </row>
    <row r="4027" spans="1:9" x14ac:dyDescent="0.35">
      <c r="C4027" s="82"/>
    </row>
    <row r="4028" spans="1:9" x14ac:dyDescent="0.35">
      <c r="C4028" s="82"/>
    </row>
    <row r="4029" spans="1:9" x14ac:dyDescent="0.35">
      <c r="C4029" s="82"/>
    </row>
    <row r="4030" spans="1:9" s="83" customFormat="1" x14ac:dyDescent="0.35">
      <c r="A4030" s="77"/>
      <c r="B4030" s="64"/>
      <c r="C4030" s="82"/>
      <c r="D4030" s="64"/>
      <c r="E4030" s="96"/>
      <c r="F4030" s="64"/>
      <c r="G4030" s="70"/>
      <c r="H4030" s="84"/>
      <c r="I4030" s="84"/>
    </row>
    <row r="4031" spans="1:9" s="83" customFormat="1" x14ac:dyDescent="0.35">
      <c r="A4031" s="77"/>
      <c r="B4031" s="64"/>
      <c r="C4031" s="82"/>
      <c r="D4031" s="64"/>
      <c r="E4031" s="96"/>
      <c r="F4031" s="64"/>
      <c r="G4031" s="70"/>
      <c r="H4031" s="84"/>
      <c r="I4031" s="84"/>
    </row>
    <row r="4032" spans="1:9" s="83" customFormat="1" x14ac:dyDescent="0.35">
      <c r="A4032" s="77"/>
      <c r="B4032" s="64"/>
      <c r="C4032" s="82"/>
      <c r="D4032" s="64"/>
      <c r="E4032" s="96"/>
      <c r="F4032" s="64"/>
      <c r="G4032" s="70"/>
      <c r="H4032" s="84"/>
      <c r="I4032" s="84"/>
    </row>
    <row r="4033" spans="1:9" s="83" customFormat="1" x14ac:dyDescent="0.35">
      <c r="A4033" s="77"/>
      <c r="B4033" s="64"/>
      <c r="C4033" s="82"/>
      <c r="D4033" s="64"/>
      <c r="E4033" s="96"/>
      <c r="F4033" s="64"/>
      <c r="G4033" s="70"/>
      <c r="H4033" s="84"/>
      <c r="I4033" s="84"/>
    </row>
    <row r="4034" spans="1:9" s="83" customFormat="1" x14ac:dyDescent="0.35">
      <c r="A4034" s="77"/>
      <c r="B4034" s="64"/>
      <c r="C4034" s="82"/>
      <c r="D4034" s="64"/>
      <c r="E4034" s="96"/>
      <c r="F4034" s="64"/>
      <c r="G4034" s="70"/>
      <c r="H4034" s="84"/>
      <c r="I4034" s="84"/>
    </row>
    <row r="4035" spans="1:9" s="83" customFormat="1" x14ac:dyDescent="0.35">
      <c r="A4035" s="77"/>
      <c r="B4035" s="64"/>
      <c r="C4035" s="82"/>
      <c r="D4035" s="64"/>
      <c r="E4035" s="96"/>
      <c r="F4035" s="64"/>
      <c r="G4035" s="70"/>
      <c r="H4035" s="84"/>
      <c r="I4035" s="84"/>
    </row>
    <row r="4036" spans="1:9" s="83" customFormat="1" x14ac:dyDescent="0.35">
      <c r="A4036" s="77"/>
      <c r="B4036" s="64"/>
      <c r="C4036" s="82"/>
      <c r="D4036" s="64"/>
      <c r="E4036" s="96"/>
      <c r="F4036" s="64"/>
      <c r="G4036" s="70"/>
      <c r="H4036" s="84"/>
      <c r="I4036" s="84"/>
    </row>
    <row r="4037" spans="1:9" s="83" customFormat="1" x14ac:dyDescent="0.35">
      <c r="A4037" s="77"/>
      <c r="B4037" s="64"/>
      <c r="C4037" s="82"/>
      <c r="D4037" s="64"/>
      <c r="E4037" s="96"/>
      <c r="F4037" s="64"/>
      <c r="G4037" s="70"/>
      <c r="H4037" s="84"/>
      <c r="I4037" s="84"/>
    </row>
    <row r="4038" spans="1:9" s="83" customFormat="1" x14ac:dyDescent="0.35">
      <c r="A4038" s="77"/>
      <c r="B4038" s="64"/>
      <c r="C4038" s="82"/>
      <c r="D4038" s="64"/>
      <c r="E4038" s="96"/>
      <c r="F4038" s="64"/>
      <c r="G4038" s="70"/>
      <c r="H4038" s="84"/>
      <c r="I4038" s="84"/>
    </row>
    <row r="4039" spans="1:9" s="83" customFormat="1" x14ac:dyDescent="0.35">
      <c r="A4039" s="77"/>
      <c r="B4039" s="64"/>
      <c r="C4039" s="82"/>
      <c r="D4039" s="64"/>
      <c r="E4039" s="96"/>
      <c r="F4039" s="64"/>
      <c r="G4039" s="70"/>
      <c r="H4039" s="84"/>
      <c r="I4039" s="84"/>
    </row>
    <row r="4040" spans="1:9" s="83" customFormat="1" x14ac:dyDescent="0.35">
      <c r="A4040" s="77"/>
      <c r="B4040" s="64"/>
      <c r="C4040" s="82"/>
      <c r="D4040" s="64"/>
      <c r="E4040" s="96"/>
      <c r="F4040" s="64"/>
      <c r="G4040" s="70"/>
      <c r="H4040" s="84"/>
      <c r="I4040" s="84"/>
    </row>
    <row r="4041" spans="1:9" s="83" customFormat="1" x14ac:dyDescent="0.35">
      <c r="A4041" s="77"/>
      <c r="B4041" s="64"/>
      <c r="C4041" s="82"/>
      <c r="D4041" s="64"/>
      <c r="E4041" s="96"/>
      <c r="F4041" s="64"/>
      <c r="G4041" s="70"/>
      <c r="H4041" s="84"/>
      <c r="I4041" s="84"/>
    </row>
    <row r="4042" spans="1:9" s="83" customFormat="1" x14ac:dyDescent="0.35">
      <c r="A4042" s="77"/>
      <c r="B4042" s="64"/>
      <c r="C4042" s="82"/>
      <c r="D4042" s="64"/>
      <c r="E4042" s="96"/>
      <c r="F4042" s="64"/>
      <c r="G4042" s="70"/>
      <c r="H4042" s="84"/>
      <c r="I4042" s="84"/>
    </row>
    <row r="4043" spans="1:9" s="83" customFormat="1" x14ac:dyDescent="0.35">
      <c r="A4043" s="77"/>
      <c r="B4043" s="64"/>
      <c r="C4043" s="82"/>
      <c r="D4043" s="64"/>
      <c r="E4043" s="96"/>
      <c r="F4043" s="64"/>
      <c r="G4043" s="70"/>
      <c r="H4043" s="84"/>
      <c r="I4043" s="84"/>
    </row>
    <row r="4044" spans="1:9" s="83" customFormat="1" x14ac:dyDescent="0.35">
      <c r="A4044" s="77"/>
      <c r="B4044" s="64"/>
      <c r="C4044" s="82"/>
      <c r="D4044" s="86"/>
      <c r="E4044" s="96"/>
      <c r="F4044" s="64"/>
      <c r="G4044" s="70"/>
      <c r="H4044" s="84"/>
      <c r="I4044" s="84"/>
    </row>
    <row r="4045" spans="1:9" s="83" customFormat="1" x14ac:dyDescent="0.35">
      <c r="A4045" s="77"/>
      <c r="B4045" s="64"/>
      <c r="C4045" s="82"/>
      <c r="D4045" s="86"/>
      <c r="E4045" s="96"/>
      <c r="F4045" s="64"/>
      <c r="G4045" s="70"/>
      <c r="H4045" s="84"/>
      <c r="I4045" s="84"/>
    </row>
    <row r="4046" spans="1:9" s="83" customFormat="1" x14ac:dyDescent="0.35">
      <c r="A4046" s="77"/>
      <c r="B4046" s="64"/>
      <c r="C4046" s="87"/>
      <c r="D4046" s="86"/>
      <c r="E4046" s="96"/>
      <c r="F4046" s="64"/>
      <c r="G4046" s="70"/>
      <c r="H4046" s="84"/>
      <c r="I4046" s="84"/>
    </row>
    <row r="4047" spans="1:9" s="83" customFormat="1" x14ac:dyDescent="0.35">
      <c r="A4047" s="77"/>
      <c r="B4047" s="64"/>
      <c r="C4047" s="82"/>
      <c r="D4047" s="86"/>
      <c r="E4047" s="96"/>
      <c r="F4047" s="64"/>
      <c r="G4047" s="70"/>
      <c r="H4047" s="84"/>
      <c r="I4047" s="84"/>
    </row>
    <row r="4048" spans="1:9" s="83" customFormat="1" x14ac:dyDescent="0.35">
      <c r="A4048" s="77"/>
      <c r="B4048" s="64"/>
      <c r="C4048" s="82"/>
      <c r="D4048" s="64"/>
      <c r="E4048" s="96"/>
      <c r="F4048" s="64"/>
      <c r="G4048" s="70"/>
      <c r="H4048" s="84"/>
      <c r="I4048" s="84"/>
    </row>
    <row r="4049" spans="1:9" s="83" customFormat="1" x14ac:dyDescent="0.35">
      <c r="A4049" s="77"/>
      <c r="B4049" s="64"/>
      <c r="C4049" s="82"/>
      <c r="D4049" s="64"/>
      <c r="E4049" s="96"/>
      <c r="F4049" s="64"/>
      <c r="G4049" s="70"/>
      <c r="H4049" s="84"/>
      <c r="I4049" s="84"/>
    </row>
    <row r="4050" spans="1:9" s="83" customFormat="1" x14ac:dyDescent="0.35">
      <c r="A4050" s="77"/>
      <c r="B4050" s="64"/>
      <c r="C4050" s="82"/>
      <c r="D4050" s="86"/>
      <c r="E4050" s="96"/>
      <c r="F4050" s="64"/>
      <c r="G4050" s="70"/>
      <c r="H4050" s="84"/>
      <c r="I4050" s="84"/>
    </row>
    <row r="4051" spans="1:9" s="83" customFormat="1" x14ac:dyDescent="0.35">
      <c r="A4051" s="77"/>
      <c r="B4051" s="64"/>
      <c r="C4051" s="82"/>
      <c r="D4051" s="64"/>
      <c r="E4051" s="96"/>
      <c r="F4051" s="64"/>
      <c r="G4051" s="70"/>
      <c r="H4051" s="84"/>
      <c r="I4051" s="84"/>
    </row>
    <row r="4052" spans="1:9" s="83" customFormat="1" x14ac:dyDescent="0.35">
      <c r="A4052" s="77"/>
      <c r="B4052" s="64"/>
      <c r="C4052" s="82"/>
      <c r="D4052" s="64"/>
      <c r="E4052" s="96"/>
      <c r="F4052" s="64"/>
      <c r="G4052" s="70"/>
      <c r="H4052" s="84"/>
      <c r="I4052" s="84"/>
    </row>
    <row r="4053" spans="1:9" s="83" customFormat="1" x14ac:dyDescent="0.35">
      <c r="A4053" s="77"/>
      <c r="B4053" s="64"/>
      <c r="C4053" s="87"/>
      <c r="D4053" s="86"/>
      <c r="E4053" s="96"/>
      <c r="F4053" s="64"/>
      <c r="G4053" s="70"/>
      <c r="H4053" s="84"/>
      <c r="I4053" s="84"/>
    </row>
    <row r="4054" spans="1:9" s="83" customFormat="1" x14ac:dyDescent="0.35">
      <c r="A4054" s="77"/>
      <c r="B4054" s="64"/>
      <c r="C4054" s="87"/>
      <c r="D4054" s="86"/>
      <c r="E4054" s="96"/>
      <c r="F4054" s="64"/>
      <c r="G4054" s="70"/>
      <c r="H4054" s="84"/>
      <c r="I4054" s="84"/>
    </row>
    <row r="4055" spans="1:9" s="83" customFormat="1" x14ac:dyDescent="0.35">
      <c r="A4055" s="77"/>
      <c r="B4055" s="64"/>
      <c r="C4055" s="82"/>
      <c r="D4055" s="64"/>
      <c r="E4055" s="96"/>
      <c r="F4055" s="64"/>
      <c r="G4055" s="70"/>
      <c r="H4055" s="84"/>
      <c r="I4055" s="84"/>
    </row>
    <row r="4056" spans="1:9" s="83" customFormat="1" x14ac:dyDescent="0.35">
      <c r="A4056" s="77"/>
      <c r="B4056" s="64"/>
      <c r="C4056" s="82"/>
      <c r="D4056" s="64"/>
      <c r="E4056" s="96"/>
      <c r="F4056" s="64"/>
      <c r="G4056" s="70"/>
      <c r="H4056" s="84"/>
      <c r="I4056" s="84"/>
    </row>
    <row r="4057" spans="1:9" s="83" customFormat="1" x14ac:dyDescent="0.35">
      <c r="A4057" s="77"/>
      <c r="B4057" s="64"/>
      <c r="C4057" s="87"/>
      <c r="D4057" s="86"/>
      <c r="E4057" s="96"/>
      <c r="F4057" s="64"/>
      <c r="G4057" s="70"/>
      <c r="H4057" s="84"/>
      <c r="I4057" s="84"/>
    </row>
    <row r="4058" spans="1:9" s="83" customFormat="1" x14ac:dyDescent="0.35">
      <c r="A4058" s="77"/>
      <c r="B4058" s="64"/>
      <c r="C4058" s="87"/>
      <c r="D4058" s="86"/>
      <c r="E4058" s="96"/>
      <c r="F4058" s="64"/>
      <c r="G4058" s="70"/>
      <c r="H4058" s="84"/>
      <c r="I4058" s="84"/>
    </row>
    <row r="4059" spans="1:9" s="83" customFormat="1" x14ac:dyDescent="0.35">
      <c r="A4059" s="77"/>
      <c r="B4059" s="64"/>
      <c r="C4059" s="82"/>
      <c r="D4059" s="64"/>
      <c r="E4059" s="96"/>
      <c r="F4059" s="64"/>
      <c r="G4059" s="70"/>
      <c r="H4059" s="84"/>
      <c r="I4059" s="84"/>
    </row>
    <row r="4060" spans="1:9" s="83" customFormat="1" x14ac:dyDescent="0.35">
      <c r="A4060" s="77"/>
      <c r="B4060" s="64"/>
      <c r="C4060" s="82"/>
      <c r="D4060" s="64"/>
      <c r="E4060" s="96"/>
      <c r="F4060" s="64"/>
      <c r="G4060" s="70"/>
      <c r="H4060" s="84"/>
      <c r="I4060" s="84"/>
    </row>
    <row r="4061" spans="1:9" s="83" customFormat="1" x14ac:dyDescent="0.35">
      <c r="A4061" s="77"/>
      <c r="B4061" s="64"/>
      <c r="C4061" s="82"/>
      <c r="D4061" s="86"/>
      <c r="E4061" s="96"/>
      <c r="F4061" s="64"/>
      <c r="G4061" s="70"/>
      <c r="H4061" s="84"/>
      <c r="I4061" s="84"/>
    </row>
    <row r="4062" spans="1:9" s="83" customFormat="1" x14ac:dyDescent="0.35">
      <c r="A4062" s="77"/>
      <c r="B4062" s="64"/>
      <c r="C4062" s="82"/>
      <c r="D4062" s="64"/>
      <c r="E4062" s="96"/>
      <c r="F4062" s="64"/>
      <c r="G4062" s="70"/>
      <c r="H4062" s="84"/>
      <c r="I4062" s="84"/>
    </row>
    <row r="4063" spans="1:9" s="83" customFormat="1" x14ac:dyDescent="0.35">
      <c r="A4063" s="77"/>
      <c r="B4063" s="64"/>
      <c r="C4063" s="82"/>
      <c r="D4063" s="64"/>
      <c r="E4063" s="96"/>
      <c r="F4063" s="64"/>
      <c r="G4063" s="70"/>
      <c r="H4063" s="84"/>
      <c r="I4063" s="84"/>
    </row>
    <row r="4064" spans="1:9" s="83" customFormat="1" x14ac:dyDescent="0.35">
      <c r="A4064" s="77"/>
      <c r="B4064" s="64"/>
      <c r="C4064" s="82"/>
      <c r="D4064" s="64"/>
      <c r="E4064" s="96"/>
      <c r="F4064" s="64"/>
      <c r="G4064" s="70"/>
      <c r="H4064" s="84"/>
      <c r="I4064" s="84"/>
    </row>
    <row r="4065" spans="1:9" s="83" customFormat="1" x14ac:dyDescent="0.35">
      <c r="A4065" s="77"/>
      <c r="B4065" s="64"/>
      <c r="C4065" s="82"/>
      <c r="D4065" s="64"/>
      <c r="E4065" s="96"/>
      <c r="F4065" s="64"/>
      <c r="G4065" s="70"/>
      <c r="H4065" s="84"/>
      <c r="I4065" s="84"/>
    </row>
    <row r="4066" spans="1:9" s="83" customFormat="1" x14ac:dyDescent="0.35">
      <c r="A4066" s="77"/>
      <c r="B4066" s="64"/>
      <c r="C4066" s="82"/>
      <c r="D4066" s="64"/>
      <c r="E4066" s="96"/>
      <c r="F4066" s="64"/>
      <c r="G4066" s="70"/>
      <c r="H4066" s="84"/>
      <c r="I4066" s="84"/>
    </row>
    <row r="4067" spans="1:9" s="83" customFormat="1" x14ac:dyDescent="0.35">
      <c r="A4067" s="77"/>
      <c r="B4067" s="64"/>
      <c r="C4067" s="82"/>
      <c r="D4067" s="64"/>
      <c r="E4067" s="96"/>
      <c r="F4067" s="64"/>
      <c r="G4067" s="70"/>
      <c r="H4067" s="84"/>
      <c r="I4067" s="84"/>
    </row>
    <row r="4068" spans="1:9" s="83" customFormat="1" x14ac:dyDescent="0.35">
      <c r="A4068" s="77"/>
      <c r="B4068" s="64"/>
      <c r="C4068" s="82"/>
      <c r="D4068" s="64"/>
      <c r="E4068" s="96"/>
      <c r="F4068" s="64"/>
      <c r="G4068" s="70"/>
      <c r="H4068" s="84"/>
      <c r="I4068" s="84"/>
    </row>
    <row r="4069" spans="1:9" s="83" customFormat="1" x14ac:dyDescent="0.35">
      <c r="A4069" s="77"/>
      <c r="B4069" s="64"/>
      <c r="C4069" s="82"/>
      <c r="D4069" s="64"/>
      <c r="E4069" s="96"/>
      <c r="F4069" s="64"/>
      <c r="G4069" s="70"/>
      <c r="H4069" s="84"/>
      <c r="I4069" s="84"/>
    </row>
    <row r="4070" spans="1:9" s="83" customFormat="1" x14ac:dyDescent="0.35">
      <c r="A4070" s="77"/>
      <c r="B4070" s="64"/>
      <c r="C4070" s="82"/>
      <c r="D4070" s="64"/>
      <c r="E4070" s="96"/>
      <c r="F4070" s="64"/>
      <c r="G4070" s="70"/>
      <c r="H4070" s="84"/>
      <c r="I4070" s="84"/>
    </row>
    <row r="4071" spans="1:9" s="83" customFormat="1" x14ac:dyDescent="0.35">
      <c r="A4071" s="77"/>
      <c r="B4071" s="64"/>
      <c r="C4071" s="82"/>
      <c r="D4071" s="64"/>
      <c r="E4071" s="96"/>
      <c r="F4071" s="64"/>
      <c r="G4071" s="70"/>
      <c r="H4071" s="84"/>
      <c r="I4071" s="84"/>
    </row>
    <row r="4072" spans="1:9" s="83" customFormat="1" x14ac:dyDescent="0.35">
      <c r="A4072" s="77"/>
      <c r="B4072" s="64"/>
      <c r="C4072" s="82"/>
      <c r="D4072" s="64"/>
      <c r="E4072" s="96"/>
      <c r="F4072" s="64"/>
      <c r="G4072" s="70"/>
      <c r="H4072" s="84"/>
      <c r="I4072" s="84"/>
    </row>
    <row r="4073" spans="1:9" s="83" customFormat="1" x14ac:dyDescent="0.35">
      <c r="A4073" s="77"/>
      <c r="B4073" s="64"/>
      <c r="C4073" s="82"/>
      <c r="D4073" s="64"/>
      <c r="E4073" s="96"/>
      <c r="F4073" s="64"/>
      <c r="G4073" s="70"/>
      <c r="H4073" s="84"/>
      <c r="I4073" s="84"/>
    </row>
    <row r="4074" spans="1:9" s="83" customFormat="1" x14ac:dyDescent="0.35">
      <c r="A4074" s="77"/>
      <c r="B4074" s="64"/>
      <c r="C4074" s="82"/>
      <c r="D4074" s="64"/>
      <c r="E4074" s="96"/>
      <c r="F4074" s="64"/>
      <c r="G4074" s="70"/>
      <c r="H4074" s="84"/>
      <c r="I4074" s="84"/>
    </row>
    <row r="4075" spans="1:9" s="83" customFormat="1" x14ac:dyDescent="0.35">
      <c r="A4075" s="77"/>
      <c r="B4075" s="64"/>
      <c r="C4075" s="82"/>
      <c r="D4075" s="64"/>
      <c r="E4075" s="96"/>
      <c r="F4075" s="64"/>
      <c r="G4075" s="70"/>
      <c r="H4075" s="84"/>
      <c r="I4075" s="84"/>
    </row>
    <row r="4076" spans="1:9" s="83" customFormat="1" x14ac:dyDescent="0.35">
      <c r="A4076" s="77"/>
      <c r="B4076" s="64"/>
      <c r="C4076" s="82"/>
      <c r="D4076" s="64"/>
      <c r="E4076" s="96"/>
      <c r="F4076" s="64"/>
      <c r="G4076" s="70"/>
      <c r="H4076" s="84"/>
      <c r="I4076" s="84"/>
    </row>
    <row r="4077" spans="1:9" s="83" customFormat="1" x14ac:dyDescent="0.35">
      <c r="A4077" s="77"/>
      <c r="B4077" s="64"/>
      <c r="C4077" s="82"/>
      <c r="D4077" s="86"/>
      <c r="E4077" s="96"/>
      <c r="F4077" s="64"/>
      <c r="G4077" s="70"/>
      <c r="H4077" s="84"/>
      <c r="I4077" s="84"/>
    </row>
    <row r="4078" spans="1:9" s="83" customFormat="1" x14ac:dyDescent="0.35">
      <c r="A4078" s="77"/>
      <c r="B4078" s="64"/>
      <c r="C4078" s="82"/>
      <c r="D4078" s="86"/>
      <c r="E4078" s="96"/>
      <c r="F4078" s="64"/>
      <c r="G4078" s="70"/>
      <c r="H4078" s="84"/>
      <c r="I4078" s="84"/>
    </row>
    <row r="4079" spans="1:9" s="83" customFormat="1" x14ac:dyDescent="0.35">
      <c r="A4079" s="77"/>
      <c r="B4079" s="64"/>
      <c r="C4079" s="82"/>
      <c r="D4079" s="86"/>
      <c r="E4079" s="96"/>
      <c r="F4079" s="64"/>
      <c r="G4079" s="70"/>
      <c r="H4079" s="84"/>
      <c r="I4079" s="84"/>
    </row>
    <row r="4080" spans="1:9" s="83" customFormat="1" x14ac:dyDescent="0.35">
      <c r="A4080" s="77"/>
      <c r="B4080" s="64"/>
      <c r="C4080" s="82"/>
      <c r="D4080" s="64"/>
      <c r="E4080" s="96"/>
      <c r="F4080" s="64"/>
      <c r="G4080" s="70"/>
      <c r="H4080" s="84"/>
      <c r="I4080" s="84"/>
    </row>
    <row r="4081" spans="1:9" s="83" customFormat="1" x14ac:dyDescent="0.35">
      <c r="A4081" s="77"/>
      <c r="B4081" s="64"/>
      <c r="C4081" s="82"/>
      <c r="D4081" s="64"/>
      <c r="E4081" s="96"/>
      <c r="F4081" s="64"/>
      <c r="G4081" s="70"/>
      <c r="H4081" s="84"/>
      <c r="I4081" s="84"/>
    </row>
    <row r="4082" spans="1:9" s="83" customFormat="1" x14ac:dyDescent="0.35">
      <c r="A4082" s="77"/>
      <c r="B4082" s="64"/>
      <c r="C4082" s="82"/>
      <c r="D4082" s="64"/>
      <c r="E4082" s="96"/>
      <c r="F4082" s="64"/>
      <c r="G4082" s="70"/>
      <c r="H4082" s="84"/>
      <c r="I4082" s="84"/>
    </row>
    <row r="4083" spans="1:9" s="83" customFormat="1" x14ac:dyDescent="0.35">
      <c r="A4083" s="77"/>
      <c r="B4083" s="64"/>
      <c r="C4083" s="82"/>
      <c r="D4083" s="64"/>
      <c r="E4083" s="96"/>
      <c r="F4083" s="64"/>
      <c r="G4083" s="70"/>
      <c r="H4083" s="84"/>
      <c r="I4083" s="84"/>
    </row>
    <row r="4084" spans="1:9" s="83" customFormat="1" x14ac:dyDescent="0.35">
      <c r="A4084" s="77"/>
      <c r="B4084" s="64"/>
      <c r="C4084" s="82"/>
      <c r="D4084" s="64"/>
      <c r="E4084" s="96"/>
      <c r="F4084" s="64"/>
      <c r="G4084" s="70"/>
      <c r="H4084" s="84"/>
      <c r="I4084" s="84"/>
    </row>
    <row r="4085" spans="1:9" s="83" customFormat="1" x14ac:dyDescent="0.35">
      <c r="A4085" s="77"/>
      <c r="B4085" s="64"/>
      <c r="C4085" s="82"/>
      <c r="D4085" s="64"/>
      <c r="E4085" s="96"/>
      <c r="F4085" s="64"/>
      <c r="G4085" s="70"/>
      <c r="H4085" s="84"/>
      <c r="I4085" s="84"/>
    </row>
    <row r="4086" spans="1:9" s="83" customFormat="1" x14ac:dyDescent="0.35">
      <c r="A4086" s="77"/>
      <c r="B4086" s="64"/>
      <c r="C4086" s="82"/>
      <c r="D4086" s="64"/>
      <c r="E4086" s="96"/>
      <c r="F4086" s="64"/>
      <c r="G4086" s="70"/>
      <c r="H4086" s="84"/>
      <c r="I4086" s="84"/>
    </row>
    <row r="4087" spans="1:9" s="83" customFormat="1" x14ac:dyDescent="0.35">
      <c r="A4087" s="77"/>
      <c r="B4087" s="64"/>
      <c r="C4087" s="82"/>
      <c r="D4087" s="64"/>
      <c r="E4087" s="96"/>
      <c r="F4087" s="64"/>
      <c r="G4087" s="70"/>
      <c r="H4087" s="84"/>
      <c r="I4087" s="84"/>
    </row>
    <row r="4088" spans="1:9" s="83" customFormat="1" x14ac:dyDescent="0.35">
      <c r="A4088" s="77"/>
      <c r="B4088" s="64"/>
      <c r="C4088" s="82"/>
      <c r="D4088" s="64"/>
      <c r="E4088" s="96"/>
      <c r="F4088" s="64"/>
      <c r="G4088" s="70"/>
      <c r="H4088" s="84"/>
      <c r="I4088" s="84"/>
    </row>
    <row r="4089" spans="1:9" s="83" customFormat="1" x14ac:dyDescent="0.35">
      <c r="A4089" s="77"/>
      <c r="B4089" s="64"/>
      <c r="C4089" s="82"/>
      <c r="D4089" s="64"/>
      <c r="E4089" s="96"/>
      <c r="F4089" s="64"/>
      <c r="G4089" s="70"/>
      <c r="H4089" s="84"/>
      <c r="I4089" s="84"/>
    </row>
    <row r="4090" spans="1:9" s="83" customFormat="1" x14ac:dyDescent="0.35">
      <c r="A4090" s="77"/>
      <c r="B4090" s="64"/>
      <c r="C4090" s="82"/>
      <c r="D4090" s="64"/>
      <c r="E4090" s="96"/>
      <c r="F4090" s="64"/>
      <c r="G4090" s="70"/>
      <c r="H4090" s="84"/>
      <c r="I4090" s="84"/>
    </row>
    <row r="4091" spans="1:9" s="83" customFormat="1" x14ac:dyDescent="0.35">
      <c r="A4091" s="77"/>
      <c r="B4091" s="64"/>
      <c r="C4091" s="82"/>
      <c r="D4091" s="64"/>
      <c r="E4091" s="96"/>
      <c r="F4091" s="64"/>
      <c r="G4091" s="70"/>
      <c r="H4091" s="84"/>
      <c r="I4091" s="84"/>
    </row>
    <row r="4092" spans="1:9" s="83" customFormat="1" x14ac:dyDescent="0.35">
      <c r="A4092" s="77"/>
      <c r="B4092" s="64"/>
      <c r="C4092" s="82"/>
      <c r="D4092" s="64"/>
      <c r="E4092" s="96"/>
      <c r="F4092" s="64"/>
      <c r="G4092" s="70"/>
      <c r="H4092" s="84"/>
      <c r="I4092" s="84"/>
    </row>
    <row r="4093" spans="1:9" s="83" customFormat="1" x14ac:dyDescent="0.35">
      <c r="A4093" s="77"/>
      <c r="B4093" s="64"/>
      <c r="C4093" s="82"/>
      <c r="D4093" s="64"/>
      <c r="E4093" s="96"/>
      <c r="F4093" s="64"/>
      <c r="G4093" s="70"/>
      <c r="H4093" s="84"/>
      <c r="I4093" s="84"/>
    </row>
    <row r="4094" spans="1:9" x14ac:dyDescent="0.35">
      <c r="C4094" s="82"/>
    </row>
    <row r="4095" spans="1:9" x14ac:dyDescent="0.35">
      <c r="C4095" s="82"/>
    </row>
    <row r="4096" spans="1:9" x14ac:dyDescent="0.35">
      <c r="C4096" s="82"/>
    </row>
    <row r="4097" spans="1:9" x14ac:dyDescent="0.35">
      <c r="C4097" s="82"/>
    </row>
    <row r="4098" spans="1:9" x14ac:dyDescent="0.35">
      <c r="C4098" s="82"/>
    </row>
    <row r="4099" spans="1:9" x14ac:dyDescent="0.35">
      <c r="C4099" s="82"/>
    </row>
    <row r="4100" spans="1:9" x14ac:dyDescent="0.35">
      <c r="C4100" s="82"/>
    </row>
    <row r="4101" spans="1:9" x14ac:dyDescent="0.35">
      <c r="C4101" s="82"/>
    </row>
    <row r="4102" spans="1:9" x14ac:dyDescent="0.35">
      <c r="C4102" s="82"/>
    </row>
    <row r="4103" spans="1:9" x14ac:dyDescent="0.35">
      <c r="C4103" s="82"/>
    </row>
    <row r="4104" spans="1:9" x14ac:dyDescent="0.35">
      <c r="C4104" s="82"/>
    </row>
    <row r="4105" spans="1:9" x14ac:dyDescent="0.35">
      <c r="C4105" s="82"/>
    </row>
    <row r="4106" spans="1:9" x14ac:dyDescent="0.35">
      <c r="C4106" s="82"/>
    </row>
    <row r="4107" spans="1:9" x14ac:dyDescent="0.35">
      <c r="C4107" s="82"/>
    </row>
    <row r="4108" spans="1:9" x14ac:dyDescent="0.35">
      <c r="C4108" s="82"/>
    </row>
    <row r="4109" spans="1:9" x14ac:dyDescent="0.35">
      <c r="C4109" s="82"/>
    </row>
    <row r="4110" spans="1:9" s="83" customFormat="1" x14ac:dyDescent="0.35">
      <c r="A4110" s="77"/>
      <c r="B4110" s="64"/>
      <c r="C4110" s="82"/>
      <c r="D4110" s="64"/>
      <c r="E4110" s="96"/>
      <c r="F4110" s="64"/>
      <c r="G4110" s="70"/>
      <c r="H4110" s="84"/>
      <c r="I4110" s="84"/>
    </row>
    <row r="4111" spans="1:9" s="83" customFormat="1" x14ac:dyDescent="0.35">
      <c r="A4111" s="77"/>
      <c r="B4111" s="64"/>
      <c r="C4111" s="82"/>
      <c r="D4111" s="64"/>
      <c r="E4111" s="96"/>
      <c r="F4111" s="64"/>
      <c r="G4111" s="70"/>
      <c r="H4111" s="84"/>
      <c r="I4111" s="84"/>
    </row>
    <row r="4112" spans="1:9" s="83" customFormat="1" x14ac:dyDescent="0.35">
      <c r="A4112" s="77"/>
      <c r="B4112" s="64"/>
      <c r="C4112" s="82"/>
      <c r="D4112" s="64"/>
      <c r="E4112" s="96"/>
      <c r="F4112" s="64"/>
      <c r="G4112" s="70"/>
      <c r="H4112" s="84"/>
      <c r="I4112" s="84"/>
    </row>
    <row r="4113" spans="1:9" s="83" customFormat="1" x14ac:dyDescent="0.35">
      <c r="A4113" s="77"/>
      <c r="B4113" s="64"/>
      <c r="C4113" s="82"/>
      <c r="D4113" s="64"/>
      <c r="E4113" s="96"/>
      <c r="F4113" s="64"/>
      <c r="G4113" s="70"/>
      <c r="H4113" s="84"/>
      <c r="I4113" s="84"/>
    </row>
    <row r="4114" spans="1:9" s="83" customFormat="1" x14ac:dyDescent="0.35">
      <c r="A4114" s="77"/>
      <c r="B4114" s="64"/>
      <c r="C4114" s="82"/>
      <c r="D4114" s="64"/>
      <c r="E4114" s="96"/>
      <c r="F4114" s="64"/>
      <c r="G4114" s="70"/>
      <c r="H4114" s="84"/>
      <c r="I4114" s="84"/>
    </row>
    <row r="4115" spans="1:9" s="83" customFormat="1" x14ac:dyDescent="0.35">
      <c r="A4115" s="77"/>
      <c r="B4115" s="64"/>
      <c r="C4115" s="82"/>
      <c r="D4115" s="64"/>
      <c r="E4115" s="96"/>
      <c r="F4115" s="64"/>
      <c r="G4115" s="70"/>
      <c r="H4115" s="84"/>
      <c r="I4115" s="84"/>
    </row>
    <row r="4116" spans="1:9" s="83" customFormat="1" x14ac:dyDescent="0.35">
      <c r="A4116" s="77"/>
      <c r="B4116" s="64"/>
      <c r="C4116" s="82"/>
      <c r="D4116" s="64"/>
      <c r="E4116" s="96"/>
      <c r="F4116" s="64"/>
      <c r="G4116" s="70"/>
      <c r="H4116" s="84"/>
      <c r="I4116" s="84"/>
    </row>
    <row r="4117" spans="1:9" s="83" customFormat="1" x14ac:dyDescent="0.35">
      <c r="A4117" s="77"/>
      <c r="B4117" s="64"/>
      <c r="C4117" s="82"/>
      <c r="D4117" s="64"/>
      <c r="E4117" s="96"/>
      <c r="F4117" s="64"/>
      <c r="G4117" s="70"/>
      <c r="H4117" s="84"/>
      <c r="I4117" s="84"/>
    </row>
    <row r="4118" spans="1:9" s="83" customFormat="1" x14ac:dyDescent="0.35">
      <c r="A4118" s="77"/>
      <c r="B4118" s="64"/>
      <c r="C4118" s="82"/>
      <c r="D4118" s="64"/>
      <c r="E4118" s="96"/>
      <c r="F4118" s="64"/>
      <c r="G4118" s="70"/>
      <c r="H4118" s="84"/>
      <c r="I4118" s="84"/>
    </row>
    <row r="4119" spans="1:9" s="83" customFormat="1" x14ac:dyDescent="0.35">
      <c r="A4119" s="77"/>
      <c r="B4119" s="64"/>
      <c r="C4119" s="82"/>
      <c r="D4119" s="86"/>
      <c r="E4119" s="96"/>
      <c r="F4119" s="64"/>
      <c r="G4119" s="70"/>
      <c r="H4119" s="84"/>
      <c r="I4119" s="84"/>
    </row>
    <row r="4120" spans="1:9" s="83" customFormat="1" x14ac:dyDescent="0.35">
      <c r="A4120" s="77"/>
      <c r="B4120" s="64"/>
      <c r="C4120" s="82"/>
      <c r="D4120" s="64"/>
      <c r="E4120" s="96"/>
      <c r="F4120" s="64"/>
      <c r="G4120" s="70"/>
      <c r="H4120" s="84"/>
      <c r="I4120" s="84"/>
    </row>
    <row r="4121" spans="1:9" s="83" customFormat="1" x14ac:dyDescent="0.35">
      <c r="A4121" s="77"/>
      <c r="B4121" s="64"/>
      <c r="C4121" s="82"/>
      <c r="D4121" s="86"/>
      <c r="E4121" s="96"/>
      <c r="F4121" s="64"/>
      <c r="G4121" s="70"/>
      <c r="H4121" s="84"/>
      <c r="I4121" s="84"/>
    </row>
    <row r="4122" spans="1:9" s="83" customFormat="1" x14ac:dyDescent="0.35">
      <c r="A4122" s="77"/>
      <c r="B4122" s="64"/>
      <c r="C4122" s="82"/>
      <c r="D4122" s="64"/>
      <c r="E4122" s="96"/>
      <c r="F4122" s="64"/>
      <c r="G4122" s="70"/>
      <c r="H4122" s="84"/>
      <c r="I4122" s="84"/>
    </row>
    <row r="4123" spans="1:9" s="83" customFormat="1" x14ac:dyDescent="0.35">
      <c r="A4123" s="77"/>
      <c r="B4123" s="64"/>
      <c r="C4123" s="82"/>
      <c r="D4123" s="86"/>
      <c r="E4123" s="96"/>
      <c r="F4123" s="64"/>
      <c r="G4123" s="70"/>
      <c r="H4123" s="84"/>
      <c r="I4123" s="84"/>
    </row>
    <row r="4124" spans="1:9" s="83" customFormat="1" x14ac:dyDescent="0.35">
      <c r="A4124" s="77"/>
      <c r="B4124" s="64"/>
      <c r="C4124" s="82"/>
      <c r="D4124" s="64"/>
      <c r="E4124" s="96"/>
      <c r="F4124" s="64"/>
      <c r="G4124" s="70"/>
      <c r="H4124" s="84"/>
      <c r="I4124" s="84"/>
    </row>
    <row r="4125" spans="1:9" s="83" customFormat="1" x14ac:dyDescent="0.35">
      <c r="A4125" s="77"/>
      <c r="B4125" s="64"/>
      <c r="C4125" s="82"/>
      <c r="D4125" s="86"/>
      <c r="E4125" s="96"/>
      <c r="F4125" s="64"/>
      <c r="G4125" s="70"/>
      <c r="H4125" s="84"/>
      <c r="I4125" s="84"/>
    </row>
    <row r="4126" spans="1:9" s="83" customFormat="1" x14ac:dyDescent="0.35">
      <c r="A4126" s="77"/>
      <c r="B4126" s="64"/>
      <c r="C4126" s="82"/>
      <c r="D4126" s="64"/>
      <c r="E4126" s="96"/>
      <c r="F4126" s="64"/>
      <c r="G4126" s="70"/>
      <c r="H4126" s="84"/>
      <c r="I4126" s="84"/>
    </row>
    <row r="4127" spans="1:9" s="83" customFormat="1" x14ac:dyDescent="0.35">
      <c r="A4127" s="77"/>
      <c r="B4127" s="64"/>
      <c r="C4127" s="82"/>
      <c r="D4127" s="86"/>
      <c r="E4127" s="96"/>
      <c r="F4127" s="64"/>
      <c r="G4127" s="70"/>
      <c r="H4127" s="84"/>
      <c r="I4127" s="84"/>
    </row>
    <row r="4128" spans="1:9" s="83" customFormat="1" x14ac:dyDescent="0.35">
      <c r="A4128" s="77"/>
      <c r="B4128" s="64"/>
      <c r="C4128" s="82"/>
      <c r="D4128" s="64"/>
      <c r="E4128" s="96"/>
      <c r="F4128" s="64"/>
      <c r="G4128" s="70"/>
      <c r="H4128" s="84"/>
      <c r="I4128" s="84"/>
    </row>
    <row r="4129" spans="1:9" s="83" customFormat="1" x14ac:dyDescent="0.35">
      <c r="A4129" s="77"/>
      <c r="B4129" s="64"/>
      <c r="C4129" s="82"/>
      <c r="D4129" s="64"/>
      <c r="E4129" s="96"/>
      <c r="F4129" s="64"/>
      <c r="G4129" s="70"/>
      <c r="H4129" s="84"/>
      <c r="I4129" s="84"/>
    </row>
    <row r="4130" spans="1:9" s="83" customFormat="1" x14ac:dyDescent="0.35">
      <c r="A4130" s="77"/>
      <c r="B4130" s="64"/>
      <c r="C4130" s="82"/>
      <c r="D4130" s="64"/>
      <c r="E4130" s="96"/>
      <c r="F4130" s="64"/>
      <c r="G4130" s="70"/>
      <c r="H4130" s="84"/>
      <c r="I4130" s="84"/>
    </row>
    <row r="4131" spans="1:9" s="83" customFormat="1" x14ac:dyDescent="0.35">
      <c r="A4131" s="77"/>
      <c r="B4131" s="64"/>
      <c r="C4131" s="82"/>
      <c r="D4131" s="64"/>
      <c r="E4131" s="96"/>
      <c r="F4131" s="64"/>
      <c r="G4131" s="70"/>
      <c r="H4131" s="84"/>
      <c r="I4131" s="84"/>
    </row>
    <row r="4132" spans="1:9" s="83" customFormat="1" x14ac:dyDescent="0.35">
      <c r="A4132" s="77"/>
      <c r="B4132" s="64"/>
      <c r="C4132" s="82"/>
      <c r="D4132" s="64"/>
      <c r="E4132" s="96"/>
      <c r="F4132" s="64"/>
      <c r="G4132" s="70"/>
      <c r="H4132" s="84"/>
      <c r="I4132" s="84"/>
    </row>
    <row r="4133" spans="1:9" s="83" customFormat="1" x14ac:dyDescent="0.35">
      <c r="A4133" s="77"/>
      <c r="B4133" s="64"/>
      <c r="C4133" s="82"/>
      <c r="D4133" s="64"/>
      <c r="E4133" s="96"/>
      <c r="F4133" s="64"/>
      <c r="G4133" s="70"/>
      <c r="H4133" s="84"/>
      <c r="I4133" s="84"/>
    </row>
    <row r="4134" spans="1:9" s="83" customFormat="1" x14ac:dyDescent="0.35">
      <c r="A4134" s="77"/>
      <c r="B4134" s="64"/>
      <c r="C4134" s="82"/>
      <c r="D4134" s="64"/>
      <c r="E4134" s="96"/>
      <c r="F4134" s="64"/>
      <c r="G4134" s="70"/>
      <c r="H4134" s="84"/>
      <c r="I4134" s="84"/>
    </row>
    <row r="4135" spans="1:9" s="83" customFormat="1" x14ac:dyDescent="0.35">
      <c r="A4135" s="77"/>
      <c r="B4135" s="64"/>
      <c r="C4135" s="82"/>
      <c r="D4135" s="64"/>
      <c r="E4135" s="96"/>
      <c r="F4135" s="64"/>
      <c r="G4135" s="70"/>
      <c r="H4135" s="84"/>
      <c r="I4135" s="84"/>
    </row>
    <row r="4136" spans="1:9" s="83" customFormat="1" x14ac:dyDescent="0.35">
      <c r="A4136" s="77"/>
      <c r="B4136" s="64"/>
      <c r="C4136" s="82"/>
      <c r="D4136" s="64"/>
      <c r="E4136" s="96"/>
      <c r="F4136" s="64"/>
      <c r="G4136" s="70"/>
      <c r="H4136" s="84"/>
      <c r="I4136" s="84"/>
    </row>
    <row r="4137" spans="1:9" s="83" customFormat="1" x14ac:dyDescent="0.35">
      <c r="A4137" s="77"/>
      <c r="B4137" s="64"/>
      <c r="C4137" s="82"/>
      <c r="D4137" s="64"/>
      <c r="E4137" s="96"/>
      <c r="F4137" s="64"/>
      <c r="G4137" s="70"/>
      <c r="H4137" s="84"/>
      <c r="I4137" s="84"/>
    </row>
    <row r="4138" spans="1:9" s="83" customFormat="1" x14ac:dyDescent="0.35">
      <c r="A4138" s="77"/>
      <c r="B4138" s="64"/>
      <c r="C4138" s="82"/>
      <c r="D4138" s="64"/>
      <c r="E4138" s="96"/>
      <c r="F4138" s="64"/>
      <c r="G4138" s="70"/>
      <c r="H4138" s="84"/>
      <c r="I4138" s="84"/>
    </row>
    <row r="4139" spans="1:9" s="83" customFormat="1" x14ac:dyDescent="0.35">
      <c r="A4139" s="77"/>
      <c r="B4139" s="64"/>
      <c r="C4139" s="82"/>
      <c r="D4139" s="64"/>
      <c r="E4139" s="96"/>
      <c r="F4139" s="64"/>
      <c r="G4139" s="70"/>
      <c r="H4139" s="84"/>
      <c r="I4139" s="84"/>
    </row>
    <row r="4140" spans="1:9" s="83" customFormat="1" x14ac:dyDescent="0.35">
      <c r="A4140" s="77"/>
      <c r="B4140" s="64"/>
      <c r="C4140" s="82"/>
      <c r="D4140" s="64"/>
      <c r="E4140" s="96"/>
      <c r="F4140" s="64"/>
      <c r="G4140" s="70"/>
      <c r="H4140" s="84"/>
      <c r="I4140" s="84"/>
    </row>
    <row r="4141" spans="1:9" s="83" customFormat="1" x14ac:dyDescent="0.35">
      <c r="A4141" s="77"/>
      <c r="B4141" s="64"/>
      <c r="C4141" s="82"/>
      <c r="D4141" s="64"/>
      <c r="E4141" s="96"/>
      <c r="F4141" s="64"/>
      <c r="G4141" s="70"/>
      <c r="H4141" s="84"/>
      <c r="I4141" s="84"/>
    </row>
    <row r="4142" spans="1:9" s="83" customFormat="1" x14ac:dyDescent="0.35">
      <c r="A4142" s="77"/>
      <c r="B4142" s="64"/>
      <c r="C4142" s="82"/>
      <c r="D4142" s="64"/>
      <c r="E4142" s="96"/>
      <c r="F4142" s="64"/>
      <c r="G4142" s="70"/>
      <c r="H4142" s="84"/>
      <c r="I4142" s="84"/>
    </row>
    <row r="4143" spans="1:9" s="83" customFormat="1" x14ac:dyDescent="0.35">
      <c r="A4143" s="77"/>
      <c r="B4143" s="64"/>
      <c r="C4143" s="82"/>
      <c r="D4143" s="64"/>
      <c r="E4143" s="96"/>
      <c r="F4143" s="64"/>
      <c r="G4143" s="70"/>
      <c r="H4143" s="84"/>
      <c r="I4143" s="84"/>
    </row>
    <row r="4144" spans="1:9" s="83" customFormat="1" x14ac:dyDescent="0.35">
      <c r="A4144" s="77"/>
      <c r="B4144" s="64"/>
      <c r="C4144" s="82"/>
      <c r="D4144" s="64"/>
      <c r="E4144" s="96"/>
      <c r="F4144" s="64"/>
      <c r="G4144" s="70"/>
      <c r="H4144" s="84"/>
      <c r="I4144" s="84"/>
    </row>
    <row r="4145" spans="1:9" s="83" customFormat="1" x14ac:dyDescent="0.35">
      <c r="A4145" s="77"/>
      <c r="B4145" s="64"/>
      <c r="C4145" s="82"/>
      <c r="D4145" s="64"/>
      <c r="E4145" s="96"/>
      <c r="F4145" s="64"/>
      <c r="G4145" s="70"/>
      <c r="H4145" s="84"/>
      <c r="I4145" s="84"/>
    </row>
    <row r="4146" spans="1:9" s="83" customFormat="1" x14ac:dyDescent="0.35">
      <c r="A4146" s="77"/>
      <c r="B4146" s="64"/>
      <c r="C4146" s="82"/>
      <c r="D4146" s="64"/>
      <c r="E4146" s="96"/>
      <c r="F4146" s="64"/>
      <c r="G4146" s="70"/>
      <c r="H4146" s="84"/>
      <c r="I4146" s="84"/>
    </row>
    <row r="4147" spans="1:9" s="83" customFormat="1" x14ac:dyDescent="0.35">
      <c r="A4147" s="77"/>
      <c r="B4147" s="64"/>
      <c r="C4147" s="82"/>
      <c r="D4147" s="64"/>
      <c r="E4147" s="96"/>
      <c r="F4147" s="64"/>
      <c r="G4147" s="70"/>
      <c r="H4147" s="84"/>
      <c r="I4147" s="84"/>
    </row>
    <row r="4148" spans="1:9" s="83" customFormat="1" x14ac:dyDescent="0.35">
      <c r="A4148" s="77"/>
      <c r="B4148" s="64"/>
      <c r="C4148" s="82"/>
      <c r="D4148" s="64"/>
      <c r="E4148" s="96"/>
      <c r="F4148" s="64"/>
      <c r="G4148" s="70"/>
      <c r="H4148" s="84"/>
      <c r="I4148" s="84"/>
    </row>
    <row r="4149" spans="1:9" s="83" customFormat="1" x14ac:dyDescent="0.35">
      <c r="A4149" s="77"/>
      <c r="B4149" s="64"/>
      <c r="C4149" s="82"/>
      <c r="D4149" s="64"/>
      <c r="E4149" s="96"/>
      <c r="F4149" s="64"/>
      <c r="G4149" s="70"/>
      <c r="H4149" s="84"/>
      <c r="I4149" s="84"/>
    </row>
    <row r="4150" spans="1:9" s="83" customFormat="1" x14ac:dyDescent="0.35">
      <c r="A4150" s="77"/>
      <c r="B4150" s="64"/>
      <c r="C4150" s="82"/>
      <c r="D4150" s="64"/>
      <c r="E4150" s="96"/>
      <c r="F4150" s="64"/>
      <c r="G4150" s="70"/>
      <c r="H4150" s="84"/>
      <c r="I4150" s="84"/>
    </row>
    <row r="4151" spans="1:9" s="83" customFormat="1" x14ac:dyDescent="0.35">
      <c r="A4151" s="77"/>
      <c r="B4151" s="64"/>
      <c r="C4151" s="82"/>
      <c r="D4151" s="64"/>
      <c r="E4151" s="96"/>
      <c r="F4151" s="64"/>
      <c r="G4151" s="70"/>
      <c r="H4151" s="84"/>
      <c r="I4151" s="84"/>
    </row>
    <row r="4152" spans="1:9" s="83" customFormat="1" x14ac:dyDescent="0.35">
      <c r="A4152" s="77"/>
      <c r="B4152" s="64"/>
      <c r="C4152" s="82"/>
      <c r="D4152" s="86"/>
      <c r="E4152" s="96"/>
      <c r="F4152" s="64"/>
      <c r="G4152" s="70"/>
      <c r="H4152" s="84"/>
      <c r="I4152" s="84"/>
    </row>
    <row r="4153" spans="1:9" s="83" customFormat="1" x14ac:dyDescent="0.35">
      <c r="A4153" s="77"/>
      <c r="B4153" s="64"/>
      <c r="C4153" s="82"/>
      <c r="D4153" s="86"/>
      <c r="E4153" s="96"/>
      <c r="F4153" s="64"/>
      <c r="G4153" s="70"/>
      <c r="H4153" s="84"/>
      <c r="I4153" s="84"/>
    </row>
    <row r="4154" spans="1:9" s="83" customFormat="1" x14ac:dyDescent="0.35">
      <c r="A4154" s="77"/>
      <c r="B4154" s="64"/>
      <c r="C4154" s="82"/>
      <c r="D4154" s="64"/>
      <c r="E4154" s="96"/>
      <c r="F4154" s="64"/>
      <c r="G4154" s="70"/>
      <c r="H4154" s="84"/>
      <c r="I4154" s="84"/>
    </row>
    <row r="4155" spans="1:9" s="83" customFormat="1" x14ac:dyDescent="0.35">
      <c r="A4155" s="77"/>
      <c r="B4155" s="64"/>
      <c r="C4155" s="82"/>
      <c r="D4155" s="86"/>
      <c r="E4155" s="96"/>
      <c r="F4155" s="64"/>
      <c r="G4155" s="70"/>
      <c r="H4155" s="84"/>
      <c r="I4155" s="84"/>
    </row>
    <row r="4156" spans="1:9" s="83" customFormat="1" x14ac:dyDescent="0.35">
      <c r="A4156" s="77"/>
      <c r="B4156" s="64"/>
      <c r="C4156" s="82"/>
      <c r="D4156" s="64"/>
      <c r="E4156" s="96"/>
      <c r="F4156" s="64"/>
      <c r="G4156" s="70"/>
      <c r="H4156" s="84"/>
      <c r="I4156" s="84"/>
    </row>
    <row r="4157" spans="1:9" s="83" customFormat="1" x14ac:dyDescent="0.35">
      <c r="A4157" s="77"/>
      <c r="B4157" s="64"/>
      <c r="C4157" s="82"/>
      <c r="D4157" s="86"/>
      <c r="E4157" s="96"/>
      <c r="F4157" s="64"/>
      <c r="G4157" s="70"/>
      <c r="H4157" s="84"/>
      <c r="I4157" s="84"/>
    </row>
    <row r="4158" spans="1:9" s="83" customFormat="1" x14ac:dyDescent="0.35">
      <c r="A4158" s="77"/>
      <c r="B4158" s="64"/>
      <c r="C4158" s="87"/>
      <c r="D4158" s="86"/>
      <c r="E4158" s="96"/>
      <c r="F4158" s="64"/>
      <c r="G4158" s="70"/>
      <c r="H4158" s="84"/>
      <c r="I4158" s="84"/>
    </row>
    <row r="4159" spans="1:9" s="83" customFormat="1" x14ac:dyDescent="0.35">
      <c r="A4159" s="77"/>
      <c r="B4159" s="64"/>
      <c r="C4159" s="82"/>
      <c r="D4159" s="64"/>
      <c r="E4159" s="96"/>
      <c r="F4159" s="64"/>
      <c r="G4159" s="70"/>
      <c r="H4159" s="84"/>
      <c r="I4159" s="84"/>
    </row>
    <row r="4160" spans="1:9" s="83" customFormat="1" x14ac:dyDescent="0.35">
      <c r="A4160" s="77"/>
      <c r="B4160" s="64"/>
      <c r="C4160" s="87"/>
      <c r="D4160" s="86"/>
      <c r="E4160" s="96"/>
      <c r="F4160" s="64"/>
      <c r="G4160" s="70"/>
      <c r="H4160" s="84"/>
      <c r="I4160" s="84"/>
    </row>
    <row r="4161" spans="1:9" s="83" customFormat="1" x14ac:dyDescent="0.35">
      <c r="A4161" s="77"/>
      <c r="B4161" s="64"/>
      <c r="C4161" s="82"/>
      <c r="D4161" s="64"/>
      <c r="E4161" s="96"/>
      <c r="F4161" s="64"/>
      <c r="G4161" s="70"/>
      <c r="H4161" s="84"/>
      <c r="I4161" s="84"/>
    </row>
    <row r="4162" spans="1:9" s="83" customFormat="1" x14ac:dyDescent="0.35">
      <c r="A4162" s="77"/>
      <c r="B4162" s="64"/>
      <c r="C4162" s="82"/>
      <c r="D4162" s="64"/>
      <c r="E4162" s="96"/>
      <c r="F4162" s="64"/>
      <c r="G4162" s="70"/>
      <c r="H4162" s="84"/>
      <c r="I4162" s="84"/>
    </row>
    <row r="4163" spans="1:9" s="83" customFormat="1" x14ac:dyDescent="0.35">
      <c r="A4163" s="77"/>
      <c r="B4163" s="64"/>
      <c r="C4163" s="82"/>
      <c r="D4163" s="64"/>
      <c r="E4163" s="96"/>
      <c r="F4163" s="64"/>
      <c r="G4163" s="70"/>
      <c r="H4163" s="84"/>
      <c r="I4163" s="84"/>
    </row>
    <row r="4164" spans="1:9" s="83" customFormat="1" x14ac:dyDescent="0.35">
      <c r="A4164" s="77"/>
      <c r="B4164" s="64"/>
      <c r="C4164" s="82"/>
      <c r="D4164" s="64"/>
      <c r="E4164" s="96"/>
      <c r="F4164" s="64"/>
      <c r="G4164" s="70"/>
      <c r="H4164" s="84"/>
      <c r="I4164" s="84"/>
    </row>
    <row r="4165" spans="1:9" s="83" customFormat="1" x14ac:dyDescent="0.35">
      <c r="A4165" s="77"/>
      <c r="B4165" s="64"/>
      <c r="C4165" s="82"/>
      <c r="D4165" s="64"/>
      <c r="E4165" s="96"/>
      <c r="F4165" s="64"/>
      <c r="G4165" s="70"/>
      <c r="H4165" s="84"/>
      <c r="I4165" s="84"/>
    </row>
    <row r="4166" spans="1:9" s="83" customFormat="1" x14ac:dyDescent="0.35">
      <c r="A4166" s="77"/>
      <c r="B4166" s="64"/>
      <c r="C4166" s="82"/>
      <c r="D4166" s="64"/>
      <c r="E4166" s="96"/>
      <c r="F4166" s="64"/>
      <c r="G4166" s="70"/>
      <c r="H4166" s="84"/>
      <c r="I4166" s="84"/>
    </row>
    <row r="4167" spans="1:9" s="83" customFormat="1" x14ac:dyDescent="0.35">
      <c r="A4167" s="77"/>
      <c r="B4167" s="64"/>
      <c r="C4167" s="82"/>
      <c r="D4167" s="64"/>
      <c r="E4167" s="96"/>
      <c r="F4167" s="64"/>
      <c r="G4167" s="70"/>
      <c r="H4167" s="84"/>
      <c r="I4167" s="84"/>
    </row>
    <row r="4168" spans="1:9" s="83" customFormat="1" x14ac:dyDescent="0.35">
      <c r="A4168" s="77"/>
      <c r="B4168" s="64"/>
      <c r="C4168" s="82"/>
      <c r="D4168" s="64"/>
      <c r="E4168" s="96"/>
      <c r="F4168" s="64"/>
      <c r="G4168" s="70"/>
      <c r="H4168" s="84"/>
      <c r="I4168" s="84"/>
    </row>
    <row r="4169" spans="1:9" s="83" customFormat="1" x14ac:dyDescent="0.35">
      <c r="A4169" s="77"/>
      <c r="B4169" s="64"/>
      <c r="C4169" s="82"/>
      <c r="D4169" s="64"/>
      <c r="E4169" s="96"/>
      <c r="F4169" s="64"/>
      <c r="G4169" s="70"/>
      <c r="H4169" s="84"/>
      <c r="I4169" s="84"/>
    </row>
    <row r="4170" spans="1:9" s="83" customFormat="1" x14ac:dyDescent="0.35">
      <c r="A4170" s="77"/>
      <c r="B4170" s="64"/>
      <c r="C4170" s="82"/>
      <c r="D4170" s="64"/>
      <c r="E4170" s="96"/>
      <c r="F4170" s="64"/>
      <c r="G4170" s="70"/>
      <c r="H4170" s="84"/>
      <c r="I4170" s="84"/>
    </row>
    <row r="4171" spans="1:9" s="83" customFormat="1" x14ac:dyDescent="0.35">
      <c r="A4171" s="77"/>
      <c r="B4171" s="64"/>
      <c r="C4171" s="82"/>
      <c r="D4171" s="64"/>
      <c r="E4171" s="96"/>
      <c r="F4171" s="64"/>
      <c r="G4171" s="70"/>
      <c r="H4171" s="84"/>
      <c r="I4171" s="84"/>
    </row>
    <row r="4172" spans="1:9" s="83" customFormat="1" x14ac:dyDescent="0.35">
      <c r="A4172" s="77"/>
      <c r="B4172" s="64"/>
      <c r="C4172" s="82"/>
      <c r="D4172" s="64"/>
      <c r="E4172" s="96"/>
      <c r="F4172" s="64"/>
      <c r="G4172" s="70"/>
      <c r="H4172" s="84"/>
      <c r="I4172" s="84"/>
    </row>
    <row r="4173" spans="1:9" s="83" customFormat="1" x14ac:dyDescent="0.35">
      <c r="A4173" s="77"/>
      <c r="B4173" s="64"/>
      <c r="C4173" s="82"/>
      <c r="D4173" s="64"/>
      <c r="E4173" s="96"/>
      <c r="F4173" s="64"/>
      <c r="G4173" s="70"/>
      <c r="H4173" s="84"/>
      <c r="I4173" s="84"/>
    </row>
    <row r="4174" spans="1:9" x14ac:dyDescent="0.35">
      <c r="C4174" s="82"/>
    </row>
    <row r="4175" spans="1:9" x14ac:dyDescent="0.35">
      <c r="C4175" s="82"/>
    </row>
    <row r="4176" spans="1:9" x14ac:dyDescent="0.35">
      <c r="C4176" s="82"/>
    </row>
    <row r="4177" spans="3:3" x14ac:dyDescent="0.35">
      <c r="C4177" s="82"/>
    </row>
    <row r="4178" spans="3:3" x14ac:dyDescent="0.35">
      <c r="C4178" s="82"/>
    </row>
    <row r="4179" spans="3:3" x14ac:dyDescent="0.35">
      <c r="C4179" s="82"/>
    </row>
    <row r="4180" spans="3:3" x14ac:dyDescent="0.35">
      <c r="C4180" s="82"/>
    </row>
    <row r="4181" spans="3:3" x14ac:dyDescent="0.35">
      <c r="C4181" s="82"/>
    </row>
    <row r="4182" spans="3:3" x14ac:dyDescent="0.35">
      <c r="C4182" s="82"/>
    </row>
    <row r="4183" spans="3:3" x14ac:dyDescent="0.35">
      <c r="C4183" s="82"/>
    </row>
    <row r="4184" spans="3:3" x14ac:dyDescent="0.35">
      <c r="C4184" s="82"/>
    </row>
    <row r="4185" spans="3:3" x14ac:dyDescent="0.35">
      <c r="C4185" s="82"/>
    </row>
    <row r="4186" spans="3:3" x14ac:dyDescent="0.35">
      <c r="C4186" s="82"/>
    </row>
    <row r="4187" spans="3:3" x14ac:dyDescent="0.35">
      <c r="C4187" s="82"/>
    </row>
    <row r="4188" spans="3:3" x14ac:dyDescent="0.35">
      <c r="C4188" s="82"/>
    </row>
    <row r="4189" spans="3:3" x14ac:dyDescent="0.35">
      <c r="C4189" s="82"/>
    </row>
    <row r="4190" spans="3:3" x14ac:dyDescent="0.35">
      <c r="C4190" s="82"/>
    </row>
    <row r="4191" spans="3:3" x14ac:dyDescent="0.35">
      <c r="C4191" s="82"/>
    </row>
    <row r="4192" spans="3:3" x14ac:dyDescent="0.35">
      <c r="C4192" s="82"/>
    </row>
    <row r="4193" spans="3:3" x14ac:dyDescent="0.35">
      <c r="C4193" s="82"/>
    </row>
    <row r="4194" spans="3:3" x14ac:dyDescent="0.35">
      <c r="C4194" s="82"/>
    </row>
    <row r="4195" spans="3:3" x14ac:dyDescent="0.35">
      <c r="C4195" s="82"/>
    </row>
    <row r="4196" spans="3:3" x14ac:dyDescent="0.35">
      <c r="C4196" s="82"/>
    </row>
    <row r="4197" spans="3:3" x14ac:dyDescent="0.35">
      <c r="C4197" s="82"/>
    </row>
    <row r="4198" spans="3:3" x14ac:dyDescent="0.35">
      <c r="C4198" s="82"/>
    </row>
    <row r="4199" spans="3:3" x14ac:dyDescent="0.35">
      <c r="C4199" s="82"/>
    </row>
    <row r="4200" spans="3:3" x14ac:dyDescent="0.35">
      <c r="C4200" s="82"/>
    </row>
    <row r="4201" spans="3:3" x14ac:dyDescent="0.35">
      <c r="C4201" s="82"/>
    </row>
    <row r="4202" spans="3:3" x14ac:dyDescent="0.35">
      <c r="C4202" s="82"/>
    </row>
    <row r="4203" spans="3:3" x14ac:dyDescent="0.35">
      <c r="C4203" s="82"/>
    </row>
    <row r="4204" spans="3:3" x14ac:dyDescent="0.35">
      <c r="C4204" s="82"/>
    </row>
    <row r="4205" spans="3:3" x14ac:dyDescent="0.35">
      <c r="C4205" s="82"/>
    </row>
    <row r="4206" spans="3:3" x14ac:dyDescent="0.35">
      <c r="C4206" s="82"/>
    </row>
    <row r="4207" spans="3:3" x14ac:dyDescent="0.35">
      <c r="C4207" s="82"/>
    </row>
    <row r="4208" spans="3:3" x14ac:dyDescent="0.35">
      <c r="C4208" s="82"/>
    </row>
    <row r="4209" spans="3:3" x14ac:dyDescent="0.35">
      <c r="C4209" s="82"/>
    </row>
    <row r="4210" spans="3:3" x14ac:dyDescent="0.35">
      <c r="C4210" s="82"/>
    </row>
    <row r="4211" spans="3:3" x14ac:dyDescent="0.35">
      <c r="C4211" s="82"/>
    </row>
    <row r="4212" spans="3:3" x14ac:dyDescent="0.35">
      <c r="C4212" s="82"/>
    </row>
    <row r="4213" spans="3:3" x14ac:dyDescent="0.35">
      <c r="C4213" s="82"/>
    </row>
    <row r="4214" spans="3:3" x14ac:dyDescent="0.35">
      <c r="C4214" s="82"/>
    </row>
    <row r="4215" spans="3:3" x14ac:dyDescent="0.35">
      <c r="C4215" s="82"/>
    </row>
    <row r="4216" spans="3:3" x14ac:dyDescent="0.35">
      <c r="C4216" s="82"/>
    </row>
    <row r="4217" spans="3:3" x14ac:dyDescent="0.35">
      <c r="C4217" s="82"/>
    </row>
    <row r="4218" spans="3:3" x14ac:dyDescent="0.35">
      <c r="C4218" s="82"/>
    </row>
    <row r="4219" spans="3:3" x14ac:dyDescent="0.35">
      <c r="C4219" s="82"/>
    </row>
    <row r="4220" spans="3:3" x14ac:dyDescent="0.35">
      <c r="C4220" s="82"/>
    </row>
    <row r="4221" spans="3:3" x14ac:dyDescent="0.35">
      <c r="C4221" s="82"/>
    </row>
    <row r="4222" spans="3:3" x14ac:dyDescent="0.35">
      <c r="C4222" s="82"/>
    </row>
    <row r="4223" spans="3:3" x14ac:dyDescent="0.35">
      <c r="C4223" s="82"/>
    </row>
    <row r="4224" spans="3:3" x14ac:dyDescent="0.35">
      <c r="C4224" s="82"/>
    </row>
    <row r="4225" spans="3:3" x14ac:dyDescent="0.35">
      <c r="C4225" s="82"/>
    </row>
    <row r="4226" spans="3:3" x14ac:dyDescent="0.35">
      <c r="C4226" s="82"/>
    </row>
    <row r="4227" spans="3:3" x14ac:dyDescent="0.35">
      <c r="C4227" s="82"/>
    </row>
    <row r="4228" spans="3:3" x14ac:dyDescent="0.35">
      <c r="C4228" s="82"/>
    </row>
    <row r="4229" spans="3:3" x14ac:dyDescent="0.35">
      <c r="C4229" s="82"/>
    </row>
    <row r="4230" spans="3:3" x14ac:dyDescent="0.35">
      <c r="C4230" s="82"/>
    </row>
    <row r="4231" spans="3:3" x14ac:dyDescent="0.35">
      <c r="C4231" s="82"/>
    </row>
    <row r="4232" spans="3:3" x14ac:dyDescent="0.35">
      <c r="C4232" s="82"/>
    </row>
    <row r="4233" spans="3:3" x14ac:dyDescent="0.35">
      <c r="C4233" s="82"/>
    </row>
    <row r="4234" spans="3:3" x14ac:dyDescent="0.35">
      <c r="C4234" s="82"/>
    </row>
    <row r="4235" spans="3:3" x14ac:dyDescent="0.35">
      <c r="C4235" s="82"/>
    </row>
    <row r="4236" spans="3:3" x14ac:dyDescent="0.35">
      <c r="C4236" s="82"/>
    </row>
    <row r="4237" spans="3:3" x14ac:dyDescent="0.35">
      <c r="C4237" s="82"/>
    </row>
    <row r="4238" spans="3:3" x14ac:dyDescent="0.35">
      <c r="C4238" s="82"/>
    </row>
    <row r="4239" spans="3:3" x14ac:dyDescent="0.35">
      <c r="C4239" s="82"/>
    </row>
    <row r="4240" spans="3:3" x14ac:dyDescent="0.35">
      <c r="C4240" s="82"/>
    </row>
    <row r="4241" spans="3:3" x14ac:dyDescent="0.35">
      <c r="C4241" s="82"/>
    </row>
    <row r="4242" spans="3:3" x14ac:dyDescent="0.35">
      <c r="C4242" s="82"/>
    </row>
    <row r="4243" spans="3:3" x14ac:dyDescent="0.35">
      <c r="C4243" s="82"/>
    </row>
    <row r="4244" spans="3:3" x14ac:dyDescent="0.35">
      <c r="C4244" s="82"/>
    </row>
    <row r="4245" spans="3:3" x14ac:dyDescent="0.35">
      <c r="C4245" s="82"/>
    </row>
    <row r="4246" spans="3:3" x14ac:dyDescent="0.35">
      <c r="C4246" s="82"/>
    </row>
    <row r="4247" spans="3:3" x14ac:dyDescent="0.35">
      <c r="C4247" s="82"/>
    </row>
    <row r="4248" spans="3:3" x14ac:dyDescent="0.35">
      <c r="C4248" s="82"/>
    </row>
    <row r="4249" spans="3:3" x14ac:dyDescent="0.35">
      <c r="C4249" s="82"/>
    </row>
    <row r="4250" spans="3:3" x14ac:dyDescent="0.35">
      <c r="C4250" s="82"/>
    </row>
    <row r="4251" spans="3:3" x14ac:dyDescent="0.35">
      <c r="C4251" s="82"/>
    </row>
    <row r="4252" spans="3:3" x14ac:dyDescent="0.35">
      <c r="C4252" s="82"/>
    </row>
    <row r="4253" spans="3:3" x14ac:dyDescent="0.35">
      <c r="C4253" s="82"/>
    </row>
    <row r="4254" spans="3:3" x14ac:dyDescent="0.35">
      <c r="C4254" s="82"/>
    </row>
    <row r="4255" spans="3:3" x14ac:dyDescent="0.35">
      <c r="C4255" s="82"/>
    </row>
    <row r="4256" spans="3:3" x14ac:dyDescent="0.35">
      <c r="C4256" s="82"/>
    </row>
    <row r="4257" spans="3:3" x14ac:dyDescent="0.35">
      <c r="C4257" s="82"/>
    </row>
    <row r="4258" spans="3:3" x14ac:dyDescent="0.35">
      <c r="C4258" s="82"/>
    </row>
    <row r="4259" spans="3:3" x14ac:dyDescent="0.35">
      <c r="C4259" s="82"/>
    </row>
    <row r="4260" spans="3:3" x14ac:dyDescent="0.35">
      <c r="C4260" s="82"/>
    </row>
    <row r="4261" spans="3:3" x14ac:dyDescent="0.35">
      <c r="C4261" s="82"/>
    </row>
    <row r="4262" spans="3:3" x14ac:dyDescent="0.35">
      <c r="C4262" s="82"/>
    </row>
    <row r="4263" spans="3:3" x14ac:dyDescent="0.35">
      <c r="C4263" s="82"/>
    </row>
    <row r="4264" spans="3:3" x14ac:dyDescent="0.35">
      <c r="C4264" s="82"/>
    </row>
    <row r="4265" spans="3:3" x14ac:dyDescent="0.35">
      <c r="C4265" s="82"/>
    </row>
    <row r="4266" spans="3:3" x14ac:dyDescent="0.35">
      <c r="C4266" s="82"/>
    </row>
    <row r="4267" spans="3:3" x14ac:dyDescent="0.35">
      <c r="C4267" s="82"/>
    </row>
    <row r="4268" spans="3:3" x14ac:dyDescent="0.35">
      <c r="C4268" s="82"/>
    </row>
    <row r="4269" spans="3:3" x14ac:dyDescent="0.35">
      <c r="C4269" s="82"/>
    </row>
    <row r="4270" spans="3:3" x14ac:dyDescent="0.35">
      <c r="C4270" s="82"/>
    </row>
    <row r="4271" spans="3:3" x14ac:dyDescent="0.35">
      <c r="C4271" s="82"/>
    </row>
    <row r="4272" spans="3:3" x14ac:dyDescent="0.35">
      <c r="C4272" s="82"/>
    </row>
    <row r="4273" spans="3:3" x14ac:dyDescent="0.35">
      <c r="C4273" s="82"/>
    </row>
    <row r="4274" spans="3:3" x14ac:dyDescent="0.35">
      <c r="C4274" s="82"/>
    </row>
    <row r="4275" spans="3:3" x14ac:dyDescent="0.35">
      <c r="C4275" s="82"/>
    </row>
    <row r="4276" spans="3:3" x14ac:dyDescent="0.35">
      <c r="C4276" s="82"/>
    </row>
    <row r="4277" spans="3:3" x14ac:dyDescent="0.35">
      <c r="C4277" s="82"/>
    </row>
    <row r="4278" spans="3:3" x14ac:dyDescent="0.35">
      <c r="C4278" s="82"/>
    </row>
    <row r="4279" spans="3:3" x14ac:dyDescent="0.35">
      <c r="C4279" s="82"/>
    </row>
    <row r="4280" spans="3:3" x14ac:dyDescent="0.35">
      <c r="C4280" s="82"/>
    </row>
    <row r="4281" spans="3:3" x14ac:dyDescent="0.35">
      <c r="C4281" s="82"/>
    </row>
    <row r="4282" spans="3:3" x14ac:dyDescent="0.35">
      <c r="C4282" s="82"/>
    </row>
    <row r="4283" spans="3:3" x14ac:dyDescent="0.35">
      <c r="C4283" s="82"/>
    </row>
    <row r="4284" spans="3:3" x14ac:dyDescent="0.35">
      <c r="C4284" s="82"/>
    </row>
    <row r="4285" spans="3:3" x14ac:dyDescent="0.35">
      <c r="C4285" s="82"/>
    </row>
    <row r="4286" spans="3:3" x14ac:dyDescent="0.35">
      <c r="C4286" s="82"/>
    </row>
    <row r="4287" spans="3:3" x14ac:dyDescent="0.35">
      <c r="C4287" s="82"/>
    </row>
    <row r="4288" spans="3:3" x14ac:dyDescent="0.35">
      <c r="C4288" s="82"/>
    </row>
    <row r="4289" spans="3:3" x14ac:dyDescent="0.35">
      <c r="C4289" s="82"/>
    </row>
    <row r="4290" spans="3:3" x14ac:dyDescent="0.35">
      <c r="C4290" s="82"/>
    </row>
    <row r="4291" spans="3:3" x14ac:dyDescent="0.35">
      <c r="C4291" s="82"/>
    </row>
    <row r="4292" spans="3:3" x14ac:dyDescent="0.35">
      <c r="C4292" s="82"/>
    </row>
    <row r="4293" spans="3:3" x14ac:dyDescent="0.35">
      <c r="C4293" s="82"/>
    </row>
    <row r="4294" spans="3:3" x14ac:dyDescent="0.35">
      <c r="C4294" s="82"/>
    </row>
    <row r="4295" spans="3:3" x14ac:dyDescent="0.35">
      <c r="C4295" s="82"/>
    </row>
    <row r="4296" spans="3:3" x14ac:dyDescent="0.35">
      <c r="C4296" s="82"/>
    </row>
    <row r="4297" spans="3:3" x14ac:dyDescent="0.35">
      <c r="C4297" s="82"/>
    </row>
    <row r="4298" spans="3:3" x14ac:dyDescent="0.35">
      <c r="C4298" s="82"/>
    </row>
    <row r="4299" spans="3:3" x14ac:dyDescent="0.35">
      <c r="C4299" s="82"/>
    </row>
    <row r="4300" spans="3:3" x14ac:dyDescent="0.35">
      <c r="C4300" s="82"/>
    </row>
    <row r="4301" spans="3:3" x14ac:dyDescent="0.35">
      <c r="C4301" s="82"/>
    </row>
    <row r="4302" spans="3:3" x14ac:dyDescent="0.35">
      <c r="C4302" s="82"/>
    </row>
    <row r="4303" spans="3:3" x14ac:dyDescent="0.35">
      <c r="C4303" s="82"/>
    </row>
    <row r="4304" spans="3:3" x14ac:dyDescent="0.35">
      <c r="C4304" s="82"/>
    </row>
    <row r="4305" spans="3:3" x14ac:dyDescent="0.35">
      <c r="C4305" s="82"/>
    </row>
    <row r="4306" spans="3:3" x14ac:dyDescent="0.35">
      <c r="C4306" s="82"/>
    </row>
    <row r="4307" spans="3:3" x14ac:dyDescent="0.35">
      <c r="C4307" s="82"/>
    </row>
    <row r="4308" spans="3:3" x14ac:dyDescent="0.35">
      <c r="C4308" s="82"/>
    </row>
    <row r="4309" spans="3:3" x14ac:dyDescent="0.35">
      <c r="C4309" s="82"/>
    </row>
    <row r="4310" spans="3:3" x14ac:dyDescent="0.35">
      <c r="C4310" s="82"/>
    </row>
    <row r="4311" spans="3:3" x14ac:dyDescent="0.35">
      <c r="C4311" s="82"/>
    </row>
    <row r="4312" spans="3:3" x14ac:dyDescent="0.35">
      <c r="C4312" s="82"/>
    </row>
    <row r="4313" spans="3:3" x14ac:dyDescent="0.35">
      <c r="C4313" s="82"/>
    </row>
    <row r="4314" spans="3:3" x14ac:dyDescent="0.35">
      <c r="C4314" s="82"/>
    </row>
    <row r="4315" spans="3:3" x14ac:dyDescent="0.35">
      <c r="C4315" s="82"/>
    </row>
    <row r="4316" spans="3:3" x14ac:dyDescent="0.35">
      <c r="C4316" s="82"/>
    </row>
    <row r="4317" spans="3:3" x14ac:dyDescent="0.35">
      <c r="C4317" s="82"/>
    </row>
    <row r="4318" spans="3:3" x14ac:dyDescent="0.35">
      <c r="C4318" s="82"/>
    </row>
    <row r="4319" spans="3:3" x14ac:dyDescent="0.35">
      <c r="C4319" s="82"/>
    </row>
    <row r="4320" spans="3:3" x14ac:dyDescent="0.35">
      <c r="C4320" s="82"/>
    </row>
    <row r="4321" spans="3:3" x14ac:dyDescent="0.35">
      <c r="C4321" s="82"/>
    </row>
    <row r="4322" spans="3:3" x14ac:dyDescent="0.35">
      <c r="C4322" s="82"/>
    </row>
    <row r="4323" spans="3:3" x14ac:dyDescent="0.35">
      <c r="C4323" s="82"/>
    </row>
    <row r="4324" spans="3:3" x14ac:dyDescent="0.35">
      <c r="C4324" s="82"/>
    </row>
    <row r="4325" spans="3:3" x14ac:dyDescent="0.35">
      <c r="C4325" s="82"/>
    </row>
    <row r="4326" spans="3:3" x14ac:dyDescent="0.35">
      <c r="C4326" s="82"/>
    </row>
    <row r="4327" spans="3:3" x14ac:dyDescent="0.35">
      <c r="C4327" s="82"/>
    </row>
    <row r="4328" spans="3:3" x14ac:dyDescent="0.35">
      <c r="C4328" s="82"/>
    </row>
    <row r="4329" spans="3:3" x14ac:dyDescent="0.35">
      <c r="C4329" s="82"/>
    </row>
    <row r="4330" spans="3:3" x14ac:dyDescent="0.35">
      <c r="C4330" s="82"/>
    </row>
    <row r="4331" spans="3:3" x14ac:dyDescent="0.35">
      <c r="C4331" s="82"/>
    </row>
    <row r="4332" spans="3:3" x14ac:dyDescent="0.35">
      <c r="C4332" s="82"/>
    </row>
    <row r="4333" spans="3:3" x14ac:dyDescent="0.35">
      <c r="C4333" s="82"/>
    </row>
    <row r="4334" spans="3:3" x14ac:dyDescent="0.35">
      <c r="C4334" s="82"/>
    </row>
    <row r="4335" spans="3:3" x14ac:dyDescent="0.35">
      <c r="C4335" s="82"/>
    </row>
    <row r="4336" spans="3:3" x14ac:dyDescent="0.35">
      <c r="C4336" s="82"/>
    </row>
    <row r="4337" spans="3:3" x14ac:dyDescent="0.35">
      <c r="C4337" s="82"/>
    </row>
    <row r="4338" spans="3:3" x14ac:dyDescent="0.35">
      <c r="C4338" s="82"/>
    </row>
    <row r="4339" spans="3:3" x14ac:dyDescent="0.35">
      <c r="C4339" s="82"/>
    </row>
    <row r="4340" spans="3:3" x14ac:dyDescent="0.35">
      <c r="C4340" s="82"/>
    </row>
    <row r="4341" spans="3:3" x14ac:dyDescent="0.35">
      <c r="C4341" s="82"/>
    </row>
    <row r="4342" spans="3:3" x14ac:dyDescent="0.35">
      <c r="C4342" s="82"/>
    </row>
    <row r="4343" spans="3:3" x14ac:dyDescent="0.35">
      <c r="C4343" s="82"/>
    </row>
    <row r="4344" spans="3:3" x14ac:dyDescent="0.35">
      <c r="C4344" s="82"/>
    </row>
    <row r="4345" spans="3:3" x14ac:dyDescent="0.35">
      <c r="C4345" s="82"/>
    </row>
    <row r="4346" spans="3:3" x14ac:dyDescent="0.35">
      <c r="C4346" s="82"/>
    </row>
    <row r="4347" spans="3:3" x14ac:dyDescent="0.35">
      <c r="C4347" s="82"/>
    </row>
    <row r="4348" spans="3:3" x14ac:dyDescent="0.35">
      <c r="C4348" s="82"/>
    </row>
    <row r="4349" spans="3:3" x14ac:dyDescent="0.35">
      <c r="C4349" s="82"/>
    </row>
    <row r="4350" spans="3:3" x14ac:dyDescent="0.35">
      <c r="C4350" s="82"/>
    </row>
    <row r="4351" spans="3:3" x14ac:dyDescent="0.35">
      <c r="C4351" s="82"/>
    </row>
    <row r="4352" spans="3:3" x14ac:dyDescent="0.35">
      <c r="C4352" s="82"/>
    </row>
    <row r="4353" spans="3:3" x14ac:dyDescent="0.35">
      <c r="C4353" s="82"/>
    </row>
    <row r="4354" spans="3:3" x14ac:dyDescent="0.35">
      <c r="C4354" s="82"/>
    </row>
    <row r="4355" spans="3:3" x14ac:dyDescent="0.35">
      <c r="C4355" s="82"/>
    </row>
    <row r="4356" spans="3:3" x14ac:dyDescent="0.35">
      <c r="C4356" s="82"/>
    </row>
    <row r="4357" spans="3:3" x14ac:dyDescent="0.35">
      <c r="C4357" s="82"/>
    </row>
    <row r="4358" spans="3:3" x14ac:dyDescent="0.35">
      <c r="C4358" s="82"/>
    </row>
    <row r="4359" spans="3:3" x14ac:dyDescent="0.35">
      <c r="C4359" s="82"/>
    </row>
    <row r="4360" spans="3:3" x14ac:dyDescent="0.35">
      <c r="C4360" s="82"/>
    </row>
    <row r="4361" spans="3:3" x14ac:dyDescent="0.35">
      <c r="C4361" s="82"/>
    </row>
    <row r="4362" spans="3:3" x14ac:dyDescent="0.35">
      <c r="C4362" s="82"/>
    </row>
    <row r="4363" spans="3:3" x14ac:dyDescent="0.35">
      <c r="C4363" s="82"/>
    </row>
    <row r="4364" spans="3:3" x14ac:dyDescent="0.35">
      <c r="C4364" s="82"/>
    </row>
    <row r="4365" spans="3:3" x14ac:dyDescent="0.35">
      <c r="C4365" s="82"/>
    </row>
    <row r="4366" spans="3:3" x14ac:dyDescent="0.35">
      <c r="C4366" s="82"/>
    </row>
    <row r="4367" spans="3:3" x14ac:dyDescent="0.35">
      <c r="C4367" s="82"/>
    </row>
    <row r="4368" spans="3:3" x14ac:dyDescent="0.35">
      <c r="C4368" s="82"/>
    </row>
    <row r="4369" spans="3:3" x14ac:dyDescent="0.35">
      <c r="C4369" s="82"/>
    </row>
    <row r="4370" spans="3:3" x14ac:dyDescent="0.35">
      <c r="C4370" s="82"/>
    </row>
    <row r="4371" spans="3:3" x14ac:dyDescent="0.35">
      <c r="C4371" s="82"/>
    </row>
    <row r="4372" spans="3:3" x14ac:dyDescent="0.35">
      <c r="C4372" s="82"/>
    </row>
    <row r="4373" spans="3:3" x14ac:dyDescent="0.35">
      <c r="C4373" s="82"/>
    </row>
    <row r="4374" spans="3:3" x14ac:dyDescent="0.35">
      <c r="C4374" s="82"/>
    </row>
    <row r="4375" spans="3:3" x14ac:dyDescent="0.35">
      <c r="C4375" s="82"/>
    </row>
    <row r="4376" spans="3:3" x14ac:dyDescent="0.35">
      <c r="C4376" s="82"/>
    </row>
    <row r="4377" spans="3:3" x14ac:dyDescent="0.35">
      <c r="C4377" s="82"/>
    </row>
    <row r="4378" spans="3:3" x14ac:dyDescent="0.35">
      <c r="C4378" s="82"/>
    </row>
    <row r="4379" spans="3:3" x14ac:dyDescent="0.35">
      <c r="C4379" s="82"/>
    </row>
    <row r="4380" spans="3:3" x14ac:dyDescent="0.35">
      <c r="C4380" s="82"/>
    </row>
    <row r="4381" spans="3:3" x14ac:dyDescent="0.35">
      <c r="C4381" s="82"/>
    </row>
    <row r="4382" spans="3:3" x14ac:dyDescent="0.35">
      <c r="C4382" s="82"/>
    </row>
    <row r="4383" spans="3:3" x14ac:dyDescent="0.35">
      <c r="C4383" s="82"/>
    </row>
    <row r="4384" spans="3:3" x14ac:dyDescent="0.35">
      <c r="C4384" s="82"/>
    </row>
    <row r="4385" spans="3:3" x14ac:dyDescent="0.35">
      <c r="C4385" s="82"/>
    </row>
    <row r="4386" spans="3:3" x14ac:dyDescent="0.35">
      <c r="C4386" s="82"/>
    </row>
    <row r="4387" spans="3:3" x14ac:dyDescent="0.35">
      <c r="C4387" s="82"/>
    </row>
    <row r="4388" spans="3:3" x14ac:dyDescent="0.35">
      <c r="C4388" s="82"/>
    </row>
    <row r="4389" spans="3:3" x14ac:dyDescent="0.35">
      <c r="C4389" s="82"/>
    </row>
    <row r="4390" spans="3:3" x14ac:dyDescent="0.35">
      <c r="C4390" s="82"/>
    </row>
    <row r="4391" spans="3:3" x14ac:dyDescent="0.35">
      <c r="C4391" s="82"/>
    </row>
    <row r="4392" spans="3:3" x14ac:dyDescent="0.35">
      <c r="C4392" s="82"/>
    </row>
    <row r="4393" spans="3:3" x14ac:dyDescent="0.35">
      <c r="C4393" s="82"/>
    </row>
    <row r="4394" spans="3:3" x14ac:dyDescent="0.35">
      <c r="C4394" s="82"/>
    </row>
    <row r="4395" spans="3:3" x14ac:dyDescent="0.35">
      <c r="C4395" s="82"/>
    </row>
    <row r="4396" spans="3:3" x14ac:dyDescent="0.35">
      <c r="C4396" s="82"/>
    </row>
    <row r="4397" spans="3:3" x14ac:dyDescent="0.35">
      <c r="C4397" s="82"/>
    </row>
    <row r="4398" spans="3:3" x14ac:dyDescent="0.35">
      <c r="C4398" s="82"/>
    </row>
    <row r="4399" spans="3:3" x14ac:dyDescent="0.35">
      <c r="C4399" s="82"/>
    </row>
    <row r="4400" spans="3:3" x14ac:dyDescent="0.35">
      <c r="C4400" s="82"/>
    </row>
    <row r="4401" spans="3:3" x14ac:dyDescent="0.35">
      <c r="C4401" s="82"/>
    </row>
    <row r="4402" spans="3:3" x14ac:dyDescent="0.35">
      <c r="C4402" s="82"/>
    </row>
    <row r="4403" spans="3:3" x14ac:dyDescent="0.35">
      <c r="C4403" s="82"/>
    </row>
    <row r="4404" spans="3:3" x14ac:dyDescent="0.35">
      <c r="C4404" s="82"/>
    </row>
    <row r="4405" spans="3:3" x14ac:dyDescent="0.35">
      <c r="C4405" s="82"/>
    </row>
    <row r="4406" spans="3:3" x14ac:dyDescent="0.35">
      <c r="C4406" s="82"/>
    </row>
    <row r="4407" spans="3:3" x14ac:dyDescent="0.35">
      <c r="C4407" s="82"/>
    </row>
    <row r="4408" spans="3:3" x14ac:dyDescent="0.35">
      <c r="C4408" s="82"/>
    </row>
    <row r="4409" spans="3:3" x14ac:dyDescent="0.35">
      <c r="C4409" s="82"/>
    </row>
    <row r="4410" spans="3:3" x14ac:dyDescent="0.35">
      <c r="C4410" s="82"/>
    </row>
    <row r="4411" spans="3:3" x14ac:dyDescent="0.35">
      <c r="C4411" s="82"/>
    </row>
    <row r="4412" spans="3:3" x14ac:dyDescent="0.35">
      <c r="C4412" s="82"/>
    </row>
    <row r="4413" spans="3:3" x14ac:dyDescent="0.35">
      <c r="C4413" s="82"/>
    </row>
    <row r="4414" spans="3:3" x14ac:dyDescent="0.35">
      <c r="C4414" s="82"/>
    </row>
    <row r="4415" spans="3:3" x14ac:dyDescent="0.35">
      <c r="C4415" s="82"/>
    </row>
    <row r="4416" spans="3:3" x14ac:dyDescent="0.35">
      <c r="C4416" s="82"/>
    </row>
    <row r="4417" spans="3:3" x14ac:dyDescent="0.35">
      <c r="C4417" s="82"/>
    </row>
    <row r="4418" spans="3:3" x14ac:dyDescent="0.35">
      <c r="C4418" s="82"/>
    </row>
    <row r="4419" spans="3:3" x14ac:dyDescent="0.35">
      <c r="C4419" s="82"/>
    </row>
    <row r="4420" spans="3:3" x14ac:dyDescent="0.35">
      <c r="C4420" s="82"/>
    </row>
    <row r="4421" spans="3:3" x14ac:dyDescent="0.35">
      <c r="C4421" s="82"/>
    </row>
    <row r="4422" spans="3:3" x14ac:dyDescent="0.35">
      <c r="C4422" s="82"/>
    </row>
    <row r="4423" spans="3:3" x14ac:dyDescent="0.35">
      <c r="C4423" s="82"/>
    </row>
    <row r="4424" spans="3:3" x14ac:dyDescent="0.35">
      <c r="C4424" s="82"/>
    </row>
    <row r="4425" spans="3:3" x14ac:dyDescent="0.35">
      <c r="C4425" s="82"/>
    </row>
    <row r="4426" spans="3:3" x14ac:dyDescent="0.35">
      <c r="C4426" s="82"/>
    </row>
    <row r="4427" spans="3:3" x14ac:dyDescent="0.35">
      <c r="C4427" s="82"/>
    </row>
    <row r="4428" spans="3:3" x14ac:dyDescent="0.35">
      <c r="C4428" s="82"/>
    </row>
    <row r="4429" spans="3:3" x14ac:dyDescent="0.35">
      <c r="C4429" s="82"/>
    </row>
    <row r="4430" spans="3:3" x14ac:dyDescent="0.35">
      <c r="C4430" s="82"/>
    </row>
    <row r="4431" spans="3:3" x14ac:dyDescent="0.35">
      <c r="C4431" s="82"/>
    </row>
    <row r="4432" spans="3:3" x14ac:dyDescent="0.35">
      <c r="C4432" s="82"/>
    </row>
    <row r="4433" spans="3:3" x14ac:dyDescent="0.35">
      <c r="C4433" s="82"/>
    </row>
    <row r="4434" spans="3:3" x14ac:dyDescent="0.35">
      <c r="C4434" s="82"/>
    </row>
    <row r="4435" spans="3:3" x14ac:dyDescent="0.35">
      <c r="C4435" s="82"/>
    </row>
    <row r="4436" spans="3:3" x14ac:dyDescent="0.35">
      <c r="C4436" s="82"/>
    </row>
    <row r="4437" spans="3:3" x14ac:dyDescent="0.35">
      <c r="C4437" s="82"/>
    </row>
    <row r="4438" spans="3:3" x14ac:dyDescent="0.35">
      <c r="C4438" s="82"/>
    </row>
    <row r="4439" spans="3:3" x14ac:dyDescent="0.35">
      <c r="C4439" s="82"/>
    </row>
    <row r="4440" spans="3:3" x14ac:dyDescent="0.35">
      <c r="C4440" s="82"/>
    </row>
    <row r="4441" spans="3:3" x14ac:dyDescent="0.35">
      <c r="C4441" s="82"/>
    </row>
    <row r="4442" spans="3:3" x14ac:dyDescent="0.35">
      <c r="C4442" s="82"/>
    </row>
    <row r="4443" spans="3:3" x14ac:dyDescent="0.35">
      <c r="C4443" s="82"/>
    </row>
    <row r="4444" spans="3:3" x14ac:dyDescent="0.35">
      <c r="C4444" s="82"/>
    </row>
    <row r="4445" spans="3:3" x14ac:dyDescent="0.35">
      <c r="C4445" s="82"/>
    </row>
    <row r="4446" spans="3:3" x14ac:dyDescent="0.35">
      <c r="C4446" s="82"/>
    </row>
    <row r="4447" spans="3:3" x14ac:dyDescent="0.35">
      <c r="C4447" s="82"/>
    </row>
    <row r="4448" spans="3:3" x14ac:dyDescent="0.35">
      <c r="C4448" s="82"/>
    </row>
    <row r="4449" spans="3:3" x14ac:dyDescent="0.35">
      <c r="C4449" s="82"/>
    </row>
    <row r="4450" spans="3:3" x14ac:dyDescent="0.35">
      <c r="C4450" s="82"/>
    </row>
    <row r="4451" spans="3:3" x14ac:dyDescent="0.35">
      <c r="C4451" s="82"/>
    </row>
    <row r="4452" spans="3:3" x14ac:dyDescent="0.35">
      <c r="C4452" s="82"/>
    </row>
    <row r="4453" spans="3:3" x14ac:dyDescent="0.35">
      <c r="C4453" s="82"/>
    </row>
    <row r="4454" spans="3:3" x14ac:dyDescent="0.35">
      <c r="C4454" s="82"/>
    </row>
    <row r="4455" spans="3:3" x14ac:dyDescent="0.35">
      <c r="C4455" s="82"/>
    </row>
    <row r="4456" spans="3:3" x14ac:dyDescent="0.35">
      <c r="C4456" s="82"/>
    </row>
    <row r="4457" spans="3:3" x14ac:dyDescent="0.35">
      <c r="C4457" s="82"/>
    </row>
    <row r="4458" spans="3:3" x14ac:dyDescent="0.35">
      <c r="C4458" s="82"/>
    </row>
    <row r="4459" spans="3:3" x14ac:dyDescent="0.35">
      <c r="C4459" s="82"/>
    </row>
    <row r="4460" spans="3:3" x14ac:dyDescent="0.35">
      <c r="C4460" s="82"/>
    </row>
    <row r="4461" spans="3:3" x14ac:dyDescent="0.35">
      <c r="C4461" s="82"/>
    </row>
    <row r="4462" spans="3:3" x14ac:dyDescent="0.35">
      <c r="C4462" s="82"/>
    </row>
    <row r="4463" spans="3:3" x14ac:dyDescent="0.35">
      <c r="C4463" s="82"/>
    </row>
    <row r="4464" spans="3:3" x14ac:dyDescent="0.35">
      <c r="C4464" s="82"/>
    </row>
    <row r="4465" spans="3:3" x14ac:dyDescent="0.35">
      <c r="C4465" s="82"/>
    </row>
    <row r="4466" spans="3:3" x14ac:dyDescent="0.35">
      <c r="C4466" s="82"/>
    </row>
    <row r="4467" spans="3:3" x14ac:dyDescent="0.35">
      <c r="C4467" s="82"/>
    </row>
    <row r="4468" spans="3:3" x14ac:dyDescent="0.35">
      <c r="C4468" s="82"/>
    </row>
    <row r="4469" spans="3:3" x14ac:dyDescent="0.35">
      <c r="C4469" s="82"/>
    </row>
    <row r="4470" spans="3:3" x14ac:dyDescent="0.35">
      <c r="C4470" s="82"/>
    </row>
    <row r="4471" spans="3:3" x14ac:dyDescent="0.35">
      <c r="C4471" s="82"/>
    </row>
    <row r="4472" spans="3:3" x14ac:dyDescent="0.35">
      <c r="C4472" s="82"/>
    </row>
    <row r="4473" spans="3:3" x14ac:dyDescent="0.35">
      <c r="C4473" s="82"/>
    </row>
    <row r="4474" spans="3:3" x14ac:dyDescent="0.35">
      <c r="C4474" s="82"/>
    </row>
    <row r="4475" spans="3:3" x14ac:dyDescent="0.35">
      <c r="C4475" s="82"/>
    </row>
    <row r="4476" spans="3:3" x14ac:dyDescent="0.35">
      <c r="C4476" s="82"/>
    </row>
    <row r="4477" spans="3:3" x14ac:dyDescent="0.35">
      <c r="C4477" s="82"/>
    </row>
    <row r="4478" spans="3:3" x14ac:dyDescent="0.35">
      <c r="C4478" s="82"/>
    </row>
    <row r="4479" spans="3:3" x14ac:dyDescent="0.35">
      <c r="C4479" s="82"/>
    </row>
    <row r="4480" spans="3:3" x14ac:dyDescent="0.35">
      <c r="C4480" s="82"/>
    </row>
    <row r="4481" spans="3:3" x14ac:dyDescent="0.35">
      <c r="C4481" s="82"/>
    </row>
    <row r="4482" spans="3:3" x14ac:dyDescent="0.35">
      <c r="C4482" s="82"/>
    </row>
    <row r="4483" spans="3:3" x14ac:dyDescent="0.35">
      <c r="C4483" s="82"/>
    </row>
    <row r="4484" spans="3:3" x14ac:dyDescent="0.35">
      <c r="C4484" s="82"/>
    </row>
    <row r="4485" spans="3:3" x14ac:dyDescent="0.35">
      <c r="C4485" s="82"/>
    </row>
    <row r="4486" spans="3:3" x14ac:dyDescent="0.35">
      <c r="C4486" s="82"/>
    </row>
    <row r="4487" spans="3:3" x14ac:dyDescent="0.35">
      <c r="C4487" s="82"/>
    </row>
    <row r="4488" spans="3:3" x14ac:dyDescent="0.35">
      <c r="C4488" s="82"/>
    </row>
    <row r="4489" spans="3:3" x14ac:dyDescent="0.35">
      <c r="C4489" s="82"/>
    </row>
    <row r="4490" spans="3:3" x14ac:dyDescent="0.35">
      <c r="C4490" s="82"/>
    </row>
    <row r="4491" spans="3:3" x14ac:dyDescent="0.35">
      <c r="C4491" s="82"/>
    </row>
    <row r="4492" spans="3:3" x14ac:dyDescent="0.35">
      <c r="C4492" s="82"/>
    </row>
    <row r="4493" spans="3:3" x14ac:dyDescent="0.35">
      <c r="C4493" s="82"/>
    </row>
    <row r="4494" spans="3:3" x14ac:dyDescent="0.35">
      <c r="C4494" s="82"/>
    </row>
    <row r="4495" spans="3:3" x14ac:dyDescent="0.35">
      <c r="C4495" s="82"/>
    </row>
    <row r="4496" spans="3:3" x14ac:dyDescent="0.35">
      <c r="C4496" s="82"/>
    </row>
    <row r="4497" spans="3:3" x14ac:dyDescent="0.35">
      <c r="C4497" s="82"/>
    </row>
    <row r="4498" spans="3:3" x14ac:dyDescent="0.35">
      <c r="C4498" s="82"/>
    </row>
    <row r="4499" spans="3:3" x14ac:dyDescent="0.35">
      <c r="C4499" s="82"/>
    </row>
    <row r="4500" spans="3:3" x14ac:dyDescent="0.35">
      <c r="C4500" s="82"/>
    </row>
    <row r="4501" spans="3:3" x14ac:dyDescent="0.35">
      <c r="C4501" s="82"/>
    </row>
    <row r="4502" spans="3:3" x14ac:dyDescent="0.35">
      <c r="C4502" s="82"/>
    </row>
    <row r="4503" spans="3:3" x14ac:dyDescent="0.35">
      <c r="C4503" s="82"/>
    </row>
    <row r="4504" spans="3:3" x14ac:dyDescent="0.35">
      <c r="C4504" s="82"/>
    </row>
    <row r="4505" spans="3:3" x14ac:dyDescent="0.35">
      <c r="C4505" s="82"/>
    </row>
    <row r="4506" spans="3:3" x14ac:dyDescent="0.35">
      <c r="C4506" s="82"/>
    </row>
    <row r="4507" spans="3:3" x14ac:dyDescent="0.35">
      <c r="C4507" s="82"/>
    </row>
    <row r="4508" spans="3:3" x14ac:dyDescent="0.35">
      <c r="C4508" s="82"/>
    </row>
    <row r="4509" spans="3:3" x14ac:dyDescent="0.35">
      <c r="C4509" s="82"/>
    </row>
    <row r="4510" spans="3:3" x14ac:dyDescent="0.35">
      <c r="C4510" s="82"/>
    </row>
    <row r="4511" spans="3:3" x14ac:dyDescent="0.35">
      <c r="C4511" s="82"/>
    </row>
    <row r="4512" spans="3:3" x14ac:dyDescent="0.35">
      <c r="C4512" s="82"/>
    </row>
    <row r="4513" spans="3:3" x14ac:dyDescent="0.35">
      <c r="C4513" s="82"/>
    </row>
    <row r="4514" spans="3:3" x14ac:dyDescent="0.35">
      <c r="C4514" s="82"/>
    </row>
    <row r="4515" spans="3:3" x14ac:dyDescent="0.35">
      <c r="C4515" s="82"/>
    </row>
    <row r="4516" spans="3:3" x14ac:dyDescent="0.35">
      <c r="C4516" s="82"/>
    </row>
    <row r="4517" spans="3:3" x14ac:dyDescent="0.35">
      <c r="C4517" s="82"/>
    </row>
    <row r="4518" spans="3:3" x14ac:dyDescent="0.35">
      <c r="C4518" s="82"/>
    </row>
    <row r="4519" spans="3:3" x14ac:dyDescent="0.35">
      <c r="C4519" s="82"/>
    </row>
    <row r="4520" spans="3:3" x14ac:dyDescent="0.35">
      <c r="C4520" s="82"/>
    </row>
    <row r="4521" spans="3:3" x14ac:dyDescent="0.35">
      <c r="C4521" s="82"/>
    </row>
    <row r="4522" spans="3:3" x14ac:dyDescent="0.35">
      <c r="C4522" s="82"/>
    </row>
    <row r="4523" spans="3:3" x14ac:dyDescent="0.35">
      <c r="C4523" s="82"/>
    </row>
    <row r="4524" spans="3:3" x14ac:dyDescent="0.35">
      <c r="C4524" s="82"/>
    </row>
    <row r="4525" spans="3:3" x14ac:dyDescent="0.35">
      <c r="C4525" s="82"/>
    </row>
    <row r="4526" spans="3:3" x14ac:dyDescent="0.35">
      <c r="C4526" s="82"/>
    </row>
    <row r="4527" spans="3:3" x14ac:dyDescent="0.35">
      <c r="C4527" s="82"/>
    </row>
    <row r="4528" spans="3:3" x14ac:dyDescent="0.35">
      <c r="C4528" s="82"/>
    </row>
    <row r="4529" spans="3:3" x14ac:dyDescent="0.35">
      <c r="C4529" s="82"/>
    </row>
    <row r="4530" spans="3:3" x14ac:dyDescent="0.35">
      <c r="C4530" s="82"/>
    </row>
    <row r="4531" spans="3:3" x14ac:dyDescent="0.35">
      <c r="C4531" s="82"/>
    </row>
    <row r="4532" spans="3:3" x14ac:dyDescent="0.35">
      <c r="C4532" s="82"/>
    </row>
    <row r="4533" spans="3:3" x14ac:dyDescent="0.35">
      <c r="C4533" s="82"/>
    </row>
    <row r="4534" spans="3:3" x14ac:dyDescent="0.35">
      <c r="C4534" s="82"/>
    </row>
    <row r="4535" spans="3:3" x14ac:dyDescent="0.35">
      <c r="C4535" s="82"/>
    </row>
    <row r="4536" spans="3:3" x14ac:dyDescent="0.35">
      <c r="C4536" s="82"/>
    </row>
    <row r="4537" spans="3:3" x14ac:dyDescent="0.35">
      <c r="C4537" s="82"/>
    </row>
    <row r="4538" spans="3:3" x14ac:dyDescent="0.35">
      <c r="C4538" s="82"/>
    </row>
    <row r="4539" spans="3:3" x14ac:dyDescent="0.35">
      <c r="C4539" s="82"/>
    </row>
    <row r="4540" spans="3:3" x14ac:dyDescent="0.35">
      <c r="C4540" s="82"/>
    </row>
    <row r="4541" spans="3:3" x14ac:dyDescent="0.35">
      <c r="C4541" s="82"/>
    </row>
    <row r="4542" spans="3:3" x14ac:dyDescent="0.35">
      <c r="C4542" s="82"/>
    </row>
    <row r="4543" spans="3:3" x14ac:dyDescent="0.35">
      <c r="C4543" s="82"/>
    </row>
    <row r="4544" spans="3:3" x14ac:dyDescent="0.35">
      <c r="C4544" s="82"/>
    </row>
    <row r="4545" spans="3:3" x14ac:dyDescent="0.35">
      <c r="C4545" s="82"/>
    </row>
    <row r="4546" spans="3:3" x14ac:dyDescent="0.35">
      <c r="C4546" s="82"/>
    </row>
    <row r="4547" spans="3:3" x14ac:dyDescent="0.35">
      <c r="C4547" s="82"/>
    </row>
    <row r="4548" spans="3:3" x14ac:dyDescent="0.35">
      <c r="C4548" s="82"/>
    </row>
    <row r="4549" spans="3:3" x14ac:dyDescent="0.35">
      <c r="C4549" s="82"/>
    </row>
    <row r="4550" spans="3:3" x14ac:dyDescent="0.35">
      <c r="C4550" s="82"/>
    </row>
    <row r="4551" spans="3:3" x14ac:dyDescent="0.35">
      <c r="C4551" s="82"/>
    </row>
    <row r="4552" spans="3:3" x14ac:dyDescent="0.35">
      <c r="C4552" s="82"/>
    </row>
    <row r="4553" spans="3:3" x14ac:dyDescent="0.35">
      <c r="C4553" s="82"/>
    </row>
    <row r="4554" spans="3:3" x14ac:dyDescent="0.35">
      <c r="C4554" s="82"/>
    </row>
    <row r="4555" spans="3:3" x14ac:dyDescent="0.35">
      <c r="C4555" s="82"/>
    </row>
    <row r="4556" spans="3:3" x14ac:dyDescent="0.35">
      <c r="C4556" s="82"/>
    </row>
    <row r="4557" spans="3:3" x14ac:dyDescent="0.35">
      <c r="C4557" s="82"/>
    </row>
    <row r="4558" spans="3:3" x14ac:dyDescent="0.35">
      <c r="C4558" s="82"/>
    </row>
    <row r="4559" spans="3:3" x14ac:dyDescent="0.35">
      <c r="C4559" s="82"/>
    </row>
    <row r="4560" spans="3:3" x14ac:dyDescent="0.35">
      <c r="C4560" s="82"/>
    </row>
    <row r="4561" spans="3:3" x14ac:dyDescent="0.35">
      <c r="C4561" s="82"/>
    </row>
    <row r="4562" spans="3:3" x14ac:dyDescent="0.35">
      <c r="C4562" s="82"/>
    </row>
    <row r="4563" spans="3:3" x14ac:dyDescent="0.35">
      <c r="C4563" s="82"/>
    </row>
    <row r="4564" spans="3:3" x14ac:dyDescent="0.35">
      <c r="C4564" s="82"/>
    </row>
    <row r="4565" spans="3:3" x14ac:dyDescent="0.35">
      <c r="C4565" s="82"/>
    </row>
    <row r="4566" spans="3:3" x14ac:dyDescent="0.35">
      <c r="C4566" s="82"/>
    </row>
    <row r="4567" spans="3:3" x14ac:dyDescent="0.35">
      <c r="C4567" s="82"/>
    </row>
    <row r="4568" spans="3:3" x14ac:dyDescent="0.35">
      <c r="C4568" s="82"/>
    </row>
    <row r="4569" spans="3:3" x14ac:dyDescent="0.35">
      <c r="C4569" s="82"/>
    </row>
    <row r="4570" spans="3:3" x14ac:dyDescent="0.35">
      <c r="C4570" s="82"/>
    </row>
    <row r="4571" spans="3:3" x14ac:dyDescent="0.35">
      <c r="C4571" s="82"/>
    </row>
    <row r="4572" spans="3:3" x14ac:dyDescent="0.35">
      <c r="C4572" s="82"/>
    </row>
    <row r="4573" spans="3:3" x14ac:dyDescent="0.35">
      <c r="C4573" s="82"/>
    </row>
    <row r="4574" spans="3:3" x14ac:dyDescent="0.35">
      <c r="C4574" s="82"/>
    </row>
    <row r="4575" spans="3:3" x14ac:dyDescent="0.35">
      <c r="C4575" s="82"/>
    </row>
    <row r="4576" spans="3:3" x14ac:dyDescent="0.35">
      <c r="C4576" s="82"/>
    </row>
    <row r="4577" spans="3:3" x14ac:dyDescent="0.35">
      <c r="C4577" s="82"/>
    </row>
    <row r="4578" spans="3:3" x14ac:dyDescent="0.35">
      <c r="C4578" s="82"/>
    </row>
    <row r="4579" spans="3:3" x14ac:dyDescent="0.35">
      <c r="C4579" s="82"/>
    </row>
    <row r="4580" spans="3:3" x14ac:dyDescent="0.35">
      <c r="C4580" s="82"/>
    </row>
    <row r="4581" spans="3:3" x14ac:dyDescent="0.35">
      <c r="C4581" s="82"/>
    </row>
    <row r="4582" spans="3:3" x14ac:dyDescent="0.35">
      <c r="C4582" s="82"/>
    </row>
    <row r="4583" spans="3:3" x14ac:dyDescent="0.35">
      <c r="C4583" s="82"/>
    </row>
    <row r="4584" spans="3:3" x14ac:dyDescent="0.35">
      <c r="C4584" s="82"/>
    </row>
    <row r="4585" spans="3:3" x14ac:dyDescent="0.35">
      <c r="C4585" s="82"/>
    </row>
    <row r="4586" spans="3:3" x14ac:dyDescent="0.35">
      <c r="C4586" s="82"/>
    </row>
    <row r="4587" spans="3:3" x14ac:dyDescent="0.35">
      <c r="C4587" s="82"/>
    </row>
    <row r="4588" spans="3:3" x14ac:dyDescent="0.35">
      <c r="C4588" s="82"/>
    </row>
    <row r="4589" spans="3:3" x14ac:dyDescent="0.35">
      <c r="C4589" s="82"/>
    </row>
    <row r="4590" spans="3:3" x14ac:dyDescent="0.35">
      <c r="C4590" s="82"/>
    </row>
    <row r="4591" spans="3:3" x14ac:dyDescent="0.35">
      <c r="C4591" s="82"/>
    </row>
    <row r="4592" spans="3:3" x14ac:dyDescent="0.35">
      <c r="C4592" s="82"/>
    </row>
    <row r="4593" spans="3:3" x14ac:dyDescent="0.35">
      <c r="C4593" s="82"/>
    </row>
    <row r="4594" spans="3:3" x14ac:dyDescent="0.35">
      <c r="C4594" s="82"/>
    </row>
    <row r="4595" spans="3:3" x14ac:dyDescent="0.35">
      <c r="C4595" s="82"/>
    </row>
    <row r="4596" spans="3:3" x14ac:dyDescent="0.35">
      <c r="C4596" s="82"/>
    </row>
    <row r="4597" spans="3:3" x14ac:dyDescent="0.35">
      <c r="C4597" s="82"/>
    </row>
    <row r="4598" spans="3:3" x14ac:dyDescent="0.35">
      <c r="C4598" s="82"/>
    </row>
    <row r="4599" spans="3:3" x14ac:dyDescent="0.35">
      <c r="C4599" s="82"/>
    </row>
    <row r="4600" spans="3:3" x14ac:dyDescent="0.35">
      <c r="C4600" s="82"/>
    </row>
    <row r="4601" spans="3:3" x14ac:dyDescent="0.35">
      <c r="C4601" s="82"/>
    </row>
    <row r="4602" spans="3:3" x14ac:dyDescent="0.35">
      <c r="C4602" s="82"/>
    </row>
    <row r="4603" spans="3:3" x14ac:dyDescent="0.35">
      <c r="C4603" s="82"/>
    </row>
    <row r="4604" spans="3:3" x14ac:dyDescent="0.35">
      <c r="C4604" s="82"/>
    </row>
    <row r="4605" spans="3:3" x14ac:dyDescent="0.35">
      <c r="C4605" s="82"/>
    </row>
    <row r="4606" spans="3:3" x14ac:dyDescent="0.35">
      <c r="C4606" s="82"/>
    </row>
    <row r="4607" spans="3:3" x14ac:dyDescent="0.35">
      <c r="C4607" s="82"/>
    </row>
    <row r="4608" spans="3:3" x14ac:dyDescent="0.35">
      <c r="C4608" s="82"/>
    </row>
    <row r="4609" spans="3:3" x14ac:dyDescent="0.35">
      <c r="C4609" s="82"/>
    </row>
    <row r="4610" spans="3:3" x14ac:dyDescent="0.35">
      <c r="C4610" s="82"/>
    </row>
    <row r="4611" spans="3:3" x14ac:dyDescent="0.35">
      <c r="C4611" s="82"/>
    </row>
    <row r="4612" spans="3:3" x14ac:dyDescent="0.35">
      <c r="C4612" s="82"/>
    </row>
    <row r="4613" spans="3:3" x14ac:dyDescent="0.35">
      <c r="C4613" s="82"/>
    </row>
    <row r="4614" spans="3:3" x14ac:dyDescent="0.35">
      <c r="C4614" s="82"/>
    </row>
    <row r="4615" spans="3:3" x14ac:dyDescent="0.35">
      <c r="C4615" s="82"/>
    </row>
    <row r="4616" spans="3:3" x14ac:dyDescent="0.35">
      <c r="C4616" s="82"/>
    </row>
    <row r="4617" spans="3:3" x14ac:dyDescent="0.35">
      <c r="C4617" s="82"/>
    </row>
    <row r="4618" spans="3:3" x14ac:dyDescent="0.35">
      <c r="C4618" s="82"/>
    </row>
    <row r="4619" spans="3:3" x14ac:dyDescent="0.35">
      <c r="C4619" s="82"/>
    </row>
    <row r="4620" spans="3:3" x14ac:dyDescent="0.35">
      <c r="C4620" s="82"/>
    </row>
    <row r="4621" spans="3:3" x14ac:dyDescent="0.35">
      <c r="C4621" s="82"/>
    </row>
    <row r="4622" spans="3:3" x14ac:dyDescent="0.35">
      <c r="C4622" s="82"/>
    </row>
    <row r="4623" spans="3:3" x14ac:dyDescent="0.35">
      <c r="C4623" s="82"/>
    </row>
    <row r="4624" spans="3:3" x14ac:dyDescent="0.35">
      <c r="C4624" s="82"/>
    </row>
    <row r="4625" spans="3:3" x14ac:dyDescent="0.35">
      <c r="C4625" s="82"/>
    </row>
    <row r="4626" spans="3:3" x14ac:dyDescent="0.35">
      <c r="C4626" s="82"/>
    </row>
    <row r="4627" spans="3:3" x14ac:dyDescent="0.35">
      <c r="C4627" s="82"/>
    </row>
    <row r="4628" spans="3:3" x14ac:dyDescent="0.35">
      <c r="C4628" s="82"/>
    </row>
    <row r="4629" spans="3:3" x14ac:dyDescent="0.35">
      <c r="C4629" s="82"/>
    </row>
    <row r="4630" spans="3:3" x14ac:dyDescent="0.35">
      <c r="C4630" s="82"/>
    </row>
    <row r="4631" spans="3:3" x14ac:dyDescent="0.35">
      <c r="C4631" s="82"/>
    </row>
    <row r="4632" spans="3:3" x14ac:dyDescent="0.35">
      <c r="C4632" s="82"/>
    </row>
    <row r="4633" spans="3:3" x14ac:dyDescent="0.35">
      <c r="C4633" s="82"/>
    </row>
    <row r="4634" spans="3:3" x14ac:dyDescent="0.35">
      <c r="C4634" s="82"/>
    </row>
    <row r="4635" spans="3:3" x14ac:dyDescent="0.35">
      <c r="C4635" s="82"/>
    </row>
    <row r="4636" spans="3:3" x14ac:dyDescent="0.35">
      <c r="C4636" s="82"/>
    </row>
    <row r="4637" spans="3:3" x14ac:dyDescent="0.35">
      <c r="C4637" s="82"/>
    </row>
    <row r="4638" spans="3:3" x14ac:dyDescent="0.35">
      <c r="C4638" s="82"/>
    </row>
    <row r="4639" spans="3:3" x14ac:dyDescent="0.35">
      <c r="C4639" s="82"/>
    </row>
    <row r="4640" spans="3:3" x14ac:dyDescent="0.35">
      <c r="C4640" s="82"/>
    </row>
    <row r="4641" spans="3:3" x14ac:dyDescent="0.35">
      <c r="C4641" s="82"/>
    </row>
    <row r="4642" spans="3:3" x14ac:dyDescent="0.35">
      <c r="C4642" s="82"/>
    </row>
    <row r="4643" spans="3:3" x14ac:dyDescent="0.35">
      <c r="C4643" s="82"/>
    </row>
    <row r="4644" spans="3:3" x14ac:dyDescent="0.35">
      <c r="C4644" s="82"/>
    </row>
    <row r="4645" spans="3:3" x14ac:dyDescent="0.35">
      <c r="C4645" s="82"/>
    </row>
    <row r="4646" spans="3:3" x14ac:dyDescent="0.35">
      <c r="C4646" s="82"/>
    </row>
    <row r="4647" spans="3:3" x14ac:dyDescent="0.35">
      <c r="C4647" s="82"/>
    </row>
    <row r="4648" spans="3:3" x14ac:dyDescent="0.35">
      <c r="C4648" s="82"/>
    </row>
    <row r="4649" spans="3:3" x14ac:dyDescent="0.35">
      <c r="C4649" s="82"/>
    </row>
    <row r="4650" spans="3:3" x14ac:dyDescent="0.35">
      <c r="C4650" s="82"/>
    </row>
    <row r="4651" spans="3:3" x14ac:dyDescent="0.35">
      <c r="C4651" s="82"/>
    </row>
    <row r="4652" spans="3:3" x14ac:dyDescent="0.35">
      <c r="C4652" s="82"/>
    </row>
    <row r="4653" spans="3:3" x14ac:dyDescent="0.35">
      <c r="C4653" s="82"/>
    </row>
    <row r="4654" spans="3:3" x14ac:dyDescent="0.35">
      <c r="C4654" s="82"/>
    </row>
    <row r="4655" spans="3:3" x14ac:dyDescent="0.35">
      <c r="C4655" s="82"/>
    </row>
    <row r="4656" spans="3:3" x14ac:dyDescent="0.35">
      <c r="C4656" s="82"/>
    </row>
    <row r="4657" spans="1:9" x14ac:dyDescent="0.35">
      <c r="C4657" s="82"/>
    </row>
    <row r="4658" spans="1:9" x14ac:dyDescent="0.35">
      <c r="C4658" s="82"/>
    </row>
    <row r="4659" spans="1:9" x14ac:dyDescent="0.35">
      <c r="C4659" s="82"/>
    </row>
    <row r="4660" spans="1:9" x14ac:dyDescent="0.35">
      <c r="C4660" s="82"/>
    </row>
    <row r="4661" spans="1:9" x14ac:dyDescent="0.35">
      <c r="C4661" s="82"/>
    </row>
    <row r="4662" spans="1:9" x14ac:dyDescent="0.35">
      <c r="C4662" s="82"/>
    </row>
    <row r="4663" spans="1:9" x14ac:dyDescent="0.35">
      <c r="C4663" s="82"/>
    </row>
    <row r="4664" spans="1:9" x14ac:dyDescent="0.35">
      <c r="C4664" s="82"/>
    </row>
    <row r="4665" spans="1:9" x14ac:dyDescent="0.35">
      <c r="C4665" s="82"/>
    </row>
    <row r="4666" spans="1:9" x14ac:dyDescent="0.35">
      <c r="C4666" s="82"/>
    </row>
    <row r="4667" spans="1:9" x14ac:dyDescent="0.35">
      <c r="C4667" s="82"/>
    </row>
    <row r="4668" spans="1:9" x14ac:dyDescent="0.35">
      <c r="C4668" s="82"/>
    </row>
    <row r="4669" spans="1:9" x14ac:dyDescent="0.35">
      <c r="C4669" s="82"/>
    </row>
    <row r="4670" spans="1:9" s="83" customFormat="1" x14ac:dyDescent="0.35">
      <c r="A4670" s="77"/>
      <c r="B4670" s="64"/>
      <c r="C4670" s="82"/>
      <c r="D4670" s="64"/>
      <c r="E4670" s="96"/>
      <c r="F4670" s="64"/>
      <c r="G4670" s="70"/>
      <c r="H4670" s="84"/>
      <c r="I4670" s="84"/>
    </row>
    <row r="4671" spans="1:9" s="83" customFormat="1" x14ac:dyDescent="0.35">
      <c r="A4671" s="77"/>
      <c r="B4671" s="64"/>
      <c r="C4671" s="82"/>
      <c r="D4671" s="64"/>
      <c r="E4671" s="96"/>
      <c r="F4671" s="64"/>
      <c r="G4671" s="70"/>
      <c r="H4671" s="84"/>
      <c r="I4671" s="84"/>
    </row>
    <row r="4672" spans="1:9" s="83" customFormat="1" x14ac:dyDescent="0.35">
      <c r="A4672" s="77"/>
      <c r="B4672" s="64"/>
      <c r="C4672" s="82"/>
      <c r="D4672" s="64"/>
      <c r="E4672" s="96"/>
      <c r="F4672" s="64"/>
      <c r="G4672" s="70"/>
      <c r="H4672" s="84"/>
      <c r="I4672" s="84"/>
    </row>
    <row r="4673" spans="1:9" s="83" customFormat="1" x14ac:dyDescent="0.35">
      <c r="A4673" s="77"/>
      <c r="B4673" s="64"/>
      <c r="C4673" s="82"/>
      <c r="D4673" s="64"/>
      <c r="E4673" s="96"/>
      <c r="F4673" s="64"/>
      <c r="G4673" s="70"/>
      <c r="H4673" s="84"/>
      <c r="I4673" s="84"/>
    </row>
    <row r="4674" spans="1:9" s="83" customFormat="1" x14ac:dyDescent="0.35">
      <c r="A4674" s="77"/>
      <c r="B4674" s="64"/>
      <c r="C4674" s="82"/>
      <c r="D4674" s="64"/>
      <c r="E4674" s="96"/>
      <c r="F4674" s="64"/>
      <c r="G4674" s="70"/>
      <c r="H4674" s="84"/>
      <c r="I4674" s="84"/>
    </row>
    <row r="4675" spans="1:9" s="83" customFormat="1" x14ac:dyDescent="0.35">
      <c r="A4675" s="77"/>
      <c r="B4675" s="64"/>
      <c r="C4675" s="82"/>
      <c r="D4675" s="64"/>
      <c r="E4675" s="96"/>
      <c r="F4675" s="64"/>
      <c r="G4675" s="70"/>
      <c r="H4675" s="84"/>
      <c r="I4675" s="84"/>
    </row>
    <row r="4676" spans="1:9" s="83" customFormat="1" x14ac:dyDescent="0.35">
      <c r="A4676" s="77"/>
      <c r="B4676" s="64"/>
      <c r="C4676" s="82"/>
      <c r="D4676" s="64"/>
      <c r="E4676" s="96"/>
      <c r="F4676" s="64"/>
      <c r="G4676" s="70"/>
      <c r="H4676" s="84"/>
      <c r="I4676" s="84"/>
    </row>
    <row r="4677" spans="1:9" s="83" customFormat="1" x14ac:dyDescent="0.35">
      <c r="A4677" s="77"/>
      <c r="B4677" s="64"/>
      <c r="C4677" s="82"/>
      <c r="D4677" s="64"/>
      <c r="E4677" s="96"/>
      <c r="F4677" s="64"/>
      <c r="G4677" s="70"/>
      <c r="H4677" s="84"/>
      <c r="I4677" s="84"/>
    </row>
    <row r="4678" spans="1:9" s="83" customFormat="1" x14ac:dyDescent="0.35">
      <c r="A4678" s="77"/>
      <c r="B4678" s="64"/>
      <c r="C4678" s="82"/>
      <c r="D4678" s="64"/>
      <c r="E4678" s="96"/>
      <c r="F4678" s="64"/>
      <c r="G4678" s="70"/>
      <c r="H4678" s="84"/>
      <c r="I4678" s="84"/>
    </row>
    <row r="4679" spans="1:9" s="83" customFormat="1" x14ac:dyDescent="0.35">
      <c r="A4679" s="77"/>
      <c r="B4679" s="64"/>
      <c r="C4679" s="82"/>
      <c r="D4679" s="64"/>
      <c r="E4679" s="96"/>
      <c r="F4679" s="64"/>
      <c r="G4679" s="70"/>
      <c r="H4679" s="84"/>
      <c r="I4679" s="84"/>
    </row>
    <row r="4680" spans="1:9" s="83" customFormat="1" x14ac:dyDescent="0.35">
      <c r="A4680" s="77"/>
      <c r="B4680" s="64"/>
      <c r="C4680" s="82"/>
      <c r="D4680" s="64"/>
      <c r="E4680" s="96"/>
      <c r="F4680" s="64"/>
      <c r="G4680" s="70"/>
      <c r="H4680" s="84"/>
      <c r="I4680" s="84"/>
    </row>
    <row r="4681" spans="1:9" s="83" customFormat="1" x14ac:dyDescent="0.35">
      <c r="A4681" s="77"/>
      <c r="B4681" s="64"/>
      <c r="C4681" s="82"/>
      <c r="D4681" s="64"/>
      <c r="E4681" s="96"/>
      <c r="F4681" s="64"/>
      <c r="G4681" s="70"/>
      <c r="H4681" s="84"/>
      <c r="I4681" s="84"/>
    </row>
    <row r="4682" spans="1:9" s="83" customFormat="1" x14ac:dyDescent="0.35">
      <c r="A4682" s="77"/>
      <c r="B4682" s="64"/>
      <c r="C4682" s="82"/>
      <c r="D4682" s="64"/>
      <c r="E4682" s="96"/>
      <c r="F4682" s="64"/>
      <c r="G4682" s="70"/>
      <c r="H4682" s="84"/>
      <c r="I4682" s="84"/>
    </row>
    <row r="4683" spans="1:9" s="83" customFormat="1" x14ac:dyDescent="0.35">
      <c r="A4683" s="77"/>
      <c r="B4683" s="64"/>
      <c r="C4683" s="82"/>
      <c r="D4683" s="64"/>
      <c r="E4683" s="96"/>
      <c r="F4683" s="64"/>
      <c r="G4683" s="70"/>
      <c r="H4683" s="84"/>
      <c r="I4683" s="84"/>
    </row>
    <row r="4684" spans="1:9" s="83" customFormat="1" x14ac:dyDescent="0.35">
      <c r="A4684" s="77"/>
      <c r="B4684" s="64"/>
      <c r="C4684" s="82"/>
      <c r="D4684" s="86"/>
      <c r="E4684" s="96"/>
      <c r="F4684" s="64"/>
      <c r="G4684" s="70"/>
      <c r="H4684" s="84"/>
      <c r="I4684" s="84"/>
    </row>
    <row r="4685" spans="1:9" s="83" customFormat="1" x14ac:dyDescent="0.35">
      <c r="A4685" s="77"/>
      <c r="B4685" s="64"/>
      <c r="C4685" s="82"/>
      <c r="D4685" s="64"/>
      <c r="E4685" s="96"/>
      <c r="F4685" s="64"/>
      <c r="G4685" s="70"/>
      <c r="H4685" s="84"/>
      <c r="I4685" s="84"/>
    </row>
    <row r="4686" spans="1:9" x14ac:dyDescent="0.35">
      <c r="C4686" s="82"/>
    </row>
    <row r="4687" spans="1:9" x14ac:dyDescent="0.35">
      <c r="C4687" s="82"/>
    </row>
    <row r="4688" spans="1:9" x14ac:dyDescent="0.35">
      <c r="C4688" s="82"/>
    </row>
    <row r="4689" spans="1:9" x14ac:dyDescent="0.35">
      <c r="C4689" s="82"/>
    </row>
    <row r="4690" spans="1:9" x14ac:dyDescent="0.35">
      <c r="C4690" s="82"/>
    </row>
    <row r="4691" spans="1:9" x14ac:dyDescent="0.35">
      <c r="C4691" s="82"/>
    </row>
    <row r="4692" spans="1:9" x14ac:dyDescent="0.35">
      <c r="C4692" s="82"/>
    </row>
    <row r="4693" spans="1:9" x14ac:dyDescent="0.35">
      <c r="C4693" s="82"/>
    </row>
    <row r="4694" spans="1:9" x14ac:dyDescent="0.35">
      <c r="C4694" s="82"/>
    </row>
    <row r="4695" spans="1:9" x14ac:dyDescent="0.35">
      <c r="C4695" s="82"/>
    </row>
    <row r="4696" spans="1:9" x14ac:dyDescent="0.35">
      <c r="C4696" s="82"/>
    </row>
    <row r="4697" spans="1:9" x14ac:dyDescent="0.35">
      <c r="C4697" s="82"/>
    </row>
    <row r="4698" spans="1:9" x14ac:dyDescent="0.35">
      <c r="C4698" s="82"/>
    </row>
    <row r="4699" spans="1:9" x14ac:dyDescent="0.35">
      <c r="C4699" s="82"/>
    </row>
    <row r="4700" spans="1:9" x14ac:dyDescent="0.35">
      <c r="C4700" s="82"/>
    </row>
    <row r="4701" spans="1:9" x14ac:dyDescent="0.35">
      <c r="C4701" s="82"/>
    </row>
    <row r="4702" spans="1:9" s="83" customFormat="1" x14ac:dyDescent="0.35">
      <c r="A4702" s="77"/>
      <c r="B4702" s="64"/>
      <c r="C4702" s="82"/>
      <c r="D4702" s="64"/>
      <c r="E4702" s="96"/>
      <c r="F4702" s="64"/>
      <c r="G4702" s="70"/>
      <c r="H4702" s="84"/>
      <c r="I4702" s="84"/>
    </row>
    <row r="4703" spans="1:9" s="83" customFormat="1" x14ac:dyDescent="0.35">
      <c r="A4703" s="77"/>
      <c r="B4703" s="64"/>
      <c r="C4703" s="82"/>
      <c r="D4703" s="64"/>
      <c r="E4703" s="96"/>
      <c r="F4703" s="64"/>
      <c r="G4703" s="70"/>
      <c r="H4703" s="84"/>
      <c r="I4703" s="84"/>
    </row>
    <row r="4704" spans="1:9" s="83" customFormat="1" x14ac:dyDescent="0.35">
      <c r="A4704" s="77"/>
      <c r="B4704" s="64"/>
      <c r="C4704" s="87"/>
      <c r="D4704" s="86"/>
      <c r="E4704" s="96"/>
      <c r="F4704" s="64"/>
      <c r="G4704" s="70"/>
      <c r="H4704" s="84"/>
      <c r="I4704" s="84"/>
    </row>
    <row r="4705" spans="1:9" s="83" customFormat="1" x14ac:dyDescent="0.35">
      <c r="A4705" s="77"/>
      <c r="B4705" s="64"/>
      <c r="C4705" s="82"/>
      <c r="D4705" s="86"/>
      <c r="E4705" s="96"/>
      <c r="F4705" s="64"/>
      <c r="G4705" s="70"/>
      <c r="H4705" s="84"/>
      <c r="I4705" s="84"/>
    </row>
    <row r="4706" spans="1:9" s="83" customFormat="1" x14ac:dyDescent="0.35">
      <c r="A4706" s="77"/>
      <c r="B4706" s="64"/>
      <c r="C4706" s="82"/>
      <c r="D4706" s="86"/>
      <c r="E4706" s="96"/>
      <c r="F4706" s="64"/>
      <c r="G4706" s="70"/>
      <c r="H4706" s="84"/>
      <c r="I4706" s="84"/>
    </row>
    <row r="4707" spans="1:9" s="83" customFormat="1" x14ac:dyDescent="0.35">
      <c r="A4707" s="77"/>
      <c r="B4707" s="64"/>
      <c r="C4707" s="82"/>
      <c r="D4707" s="86"/>
      <c r="E4707" s="96"/>
      <c r="F4707" s="64"/>
      <c r="G4707" s="70"/>
      <c r="H4707" s="84"/>
      <c r="I4707" s="84"/>
    </row>
    <row r="4708" spans="1:9" s="83" customFormat="1" x14ac:dyDescent="0.35">
      <c r="A4708" s="77"/>
      <c r="B4708" s="64"/>
      <c r="C4708" s="82"/>
      <c r="D4708" s="86"/>
      <c r="E4708" s="96"/>
      <c r="F4708" s="64"/>
      <c r="G4708" s="70"/>
      <c r="H4708" s="84"/>
      <c r="I4708" s="84"/>
    </row>
    <row r="4709" spans="1:9" s="83" customFormat="1" x14ac:dyDescent="0.35">
      <c r="A4709" s="77"/>
      <c r="B4709" s="64"/>
      <c r="C4709" s="82"/>
      <c r="D4709" s="86"/>
      <c r="E4709" s="96"/>
      <c r="F4709" s="64"/>
      <c r="G4709" s="70"/>
      <c r="H4709" s="84"/>
      <c r="I4709" s="84"/>
    </row>
    <row r="4710" spans="1:9" s="83" customFormat="1" x14ac:dyDescent="0.35">
      <c r="A4710" s="77"/>
      <c r="B4710" s="64"/>
      <c r="C4710" s="82"/>
      <c r="D4710" s="86"/>
      <c r="E4710" s="96"/>
      <c r="F4710" s="64"/>
      <c r="G4710" s="70"/>
      <c r="H4710" s="84"/>
      <c r="I4710" s="84"/>
    </row>
    <row r="4711" spans="1:9" s="83" customFormat="1" x14ac:dyDescent="0.35">
      <c r="A4711" s="77"/>
      <c r="B4711" s="64"/>
      <c r="C4711" s="82"/>
      <c r="D4711" s="64"/>
      <c r="E4711" s="96"/>
      <c r="F4711" s="64"/>
      <c r="G4711" s="70"/>
      <c r="H4711" s="84"/>
      <c r="I4711" s="84"/>
    </row>
    <row r="4712" spans="1:9" s="83" customFormat="1" x14ac:dyDescent="0.35">
      <c r="A4712" s="77"/>
      <c r="B4712" s="64"/>
      <c r="C4712" s="82"/>
      <c r="D4712" s="86"/>
      <c r="E4712" s="96"/>
      <c r="F4712" s="64"/>
      <c r="G4712" s="70"/>
      <c r="H4712" s="84"/>
      <c r="I4712" s="84"/>
    </row>
    <row r="4713" spans="1:9" s="83" customFormat="1" x14ac:dyDescent="0.35">
      <c r="A4713" s="77"/>
      <c r="B4713" s="64"/>
      <c r="C4713" s="82"/>
      <c r="D4713" s="86"/>
      <c r="E4713" s="96"/>
      <c r="F4713" s="64"/>
      <c r="G4713" s="70"/>
      <c r="H4713" s="84"/>
      <c r="I4713" s="84"/>
    </row>
    <row r="4714" spans="1:9" s="83" customFormat="1" x14ac:dyDescent="0.35">
      <c r="A4714" s="77"/>
      <c r="B4714" s="64"/>
      <c r="C4714" s="82"/>
      <c r="D4714" s="64"/>
      <c r="E4714" s="96"/>
      <c r="F4714" s="64"/>
      <c r="G4714" s="70"/>
      <c r="H4714" s="84"/>
      <c r="I4714" s="84"/>
    </row>
    <row r="4715" spans="1:9" s="83" customFormat="1" x14ac:dyDescent="0.35">
      <c r="A4715" s="77"/>
      <c r="B4715" s="64"/>
      <c r="C4715" s="82"/>
      <c r="D4715" s="64"/>
      <c r="E4715" s="96"/>
      <c r="F4715" s="64"/>
      <c r="G4715" s="70"/>
      <c r="H4715" s="84"/>
      <c r="I4715" s="84"/>
    </row>
    <row r="4716" spans="1:9" s="83" customFormat="1" x14ac:dyDescent="0.35">
      <c r="A4716" s="77"/>
      <c r="B4716" s="64"/>
      <c r="C4716" s="82"/>
      <c r="D4716" s="64"/>
      <c r="E4716" s="96"/>
      <c r="F4716" s="64"/>
      <c r="G4716" s="70"/>
      <c r="H4716" s="84"/>
      <c r="I4716" s="84"/>
    </row>
    <row r="4717" spans="1:9" s="83" customFormat="1" x14ac:dyDescent="0.35">
      <c r="A4717" s="77"/>
      <c r="B4717" s="64"/>
      <c r="C4717" s="82"/>
      <c r="D4717" s="86"/>
      <c r="E4717" s="96"/>
      <c r="F4717" s="64"/>
      <c r="G4717" s="70"/>
      <c r="H4717" s="84"/>
      <c r="I4717" s="84"/>
    </row>
    <row r="4718" spans="1:9" s="83" customFormat="1" x14ac:dyDescent="0.35">
      <c r="A4718" s="77"/>
      <c r="B4718" s="64"/>
      <c r="C4718" s="82"/>
      <c r="D4718" s="64"/>
      <c r="E4718" s="96"/>
      <c r="F4718" s="64"/>
      <c r="G4718" s="70"/>
      <c r="H4718" s="84"/>
      <c r="I4718" s="84"/>
    </row>
    <row r="4719" spans="1:9" s="83" customFormat="1" x14ac:dyDescent="0.35">
      <c r="A4719" s="77"/>
      <c r="B4719" s="64"/>
      <c r="C4719" s="87"/>
      <c r="D4719" s="86"/>
      <c r="E4719" s="96"/>
      <c r="F4719" s="64"/>
      <c r="G4719" s="70"/>
      <c r="H4719" s="84"/>
      <c r="I4719" s="84"/>
    </row>
    <row r="4720" spans="1:9" s="83" customFormat="1" x14ac:dyDescent="0.35">
      <c r="A4720" s="77"/>
      <c r="B4720" s="64"/>
      <c r="C4720" s="87"/>
      <c r="D4720" s="86"/>
      <c r="E4720" s="96"/>
      <c r="F4720" s="64"/>
      <c r="G4720" s="70"/>
      <c r="H4720" s="84"/>
      <c r="I4720" s="84"/>
    </row>
    <row r="4721" spans="1:9" s="83" customFormat="1" x14ac:dyDescent="0.35">
      <c r="A4721" s="77"/>
      <c r="B4721" s="64"/>
      <c r="C4721" s="87"/>
      <c r="D4721" s="86"/>
      <c r="E4721" s="96"/>
      <c r="F4721" s="64"/>
      <c r="G4721" s="70"/>
      <c r="H4721" s="84"/>
      <c r="I4721" s="84"/>
    </row>
    <row r="4722" spans="1:9" s="83" customFormat="1" x14ac:dyDescent="0.35">
      <c r="A4722" s="77"/>
      <c r="B4722" s="64"/>
      <c r="C4722" s="82"/>
      <c r="D4722" s="86"/>
      <c r="E4722" s="96"/>
      <c r="F4722" s="64"/>
      <c r="G4722" s="70"/>
      <c r="H4722" s="84"/>
      <c r="I4722" s="84"/>
    </row>
    <row r="4723" spans="1:9" s="83" customFormat="1" x14ac:dyDescent="0.35">
      <c r="A4723" s="77"/>
      <c r="B4723" s="64"/>
      <c r="C4723" s="87"/>
      <c r="D4723" s="86"/>
      <c r="E4723" s="96"/>
      <c r="F4723" s="64"/>
      <c r="G4723" s="70"/>
      <c r="H4723" s="84"/>
      <c r="I4723" s="84"/>
    </row>
    <row r="4724" spans="1:9" s="83" customFormat="1" x14ac:dyDescent="0.35">
      <c r="A4724" s="77"/>
      <c r="B4724" s="64"/>
      <c r="C4724" s="82"/>
      <c r="D4724" s="86"/>
      <c r="E4724" s="96"/>
      <c r="F4724" s="64"/>
      <c r="G4724" s="70"/>
      <c r="H4724" s="84"/>
      <c r="I4724" s="84"/>
    </row>
    <row r="4725" spans="1:9" s="83" customFormat="1" x14ac:dyDescent="0.35">
      <c r="A4725" s="77"/>
      <c r="B4725" s="64"/>
      <c r="C4725" s="87"/>
      <c r="D4725" s="86"/>
      <c r="E4725" s="96"/>
      <c r="F4725" s="64"/>
      <c r="G4725" s="70"/>
      <c r="H4725" s="84"/>
      <c r="I4725" s="84"/>
    </row>
    <row r="4726" spans="1:9" s="83" customFormat="1" x14ac:dyDescent="0.35">
      <c r="A4726" s="77"/>
      <c r="B4726" s="64"/>
      <c r="C4726" s="82"/>
      <c r="D4726" s="86"/>
      <c r="E4726" s="96"/>
      <c r="F4726" s="64"/>
      <c r="G4726" s="70"/>
      <c r="H4726" s="84"/>
      <c r="I4726" s="84"/>
    </row>
    <row r="4727" spans="1:9" s="83" customFormat="1" x14ac:dyDescent="0.35">
      <c r="A4727" s="77"/>
      <c r="B4727" s="64"/>
      <c r="C4727" s="87"/>
      <c r="D4727" s="86"/>
      <c r="E4727" s="96"/>
      <c r="F4727" s="64"/>
      <c r="G4727" s="70"/>
      <c r="H4727" s="84"/>
      <c r="I4727" s="84"/>
    </row>
    <row r="4728" spans="1:9" s="83" customFormat="1" x14ac:dyDescent="0.35">
      <c r="A4728" s="77"/>
      <c r="B4728" s="64"/>
      <c r="C4728" s="82"/>
      <c r="D4728" s="86"/>
      <c r="E4728" s="96"/>
      <c r="F4728" s="64"/>
      <c r="G4728" s="70"/>
      <c r="H4728" s="84"/>
      <c r="I4728" s="84"/>
    </row>
    <row r="4729" spans="1:9" s="83" customFormat="1" x14ac:dyDescent="0.35">
      <c r="A4729" s="77"/>
      <c r="B4729" s="64"/>
      <c r="C4729" s="82"/>
      <c r="D4729" s="86"/>
      <c r="E4729" s="96"/>
      <c r="F4729" s="64"/>
      <c r="G4729" s="70"/>
      <c r="H4729" s="84"/>
      <c r="I4729" s="84"/>
    </row>
    <row r="4730" spans="1:9" s="83" customFormat="1" x14ac:dyDescent="0.35">
      <c r="A4730" s="77"/>
      <c r="B4730" s="64"/>
      <c r="C4730" s="82"/>
      <c r="D4730" s="86"/>
      <c r="E4730" s="96"/>
      <c r="F4730" s="64"/>
      <c r="G4730" s="70"/>
      <c r="H4730" s="84"/>
      <c r="I4730" s="84"/>
    </row>
    <row r="4731" spans="1:9" s="83" customFormat="1" x14ac:dyDescent="0.35">
      <c r="A4731" s="77"/>
      <c r="B4731" s="64"/>
      <c r="C4731" s="82"/>
      <c r="D4731" s="64"/>
      <c r="E4731" s="96"/>
      <c r="F4731" s="64"/>
      <c r="G4731" s="70"/>
      <c r="H4731" s="84"/>
      <c r="I4731" s="84"/>
    </row>
    <row r="4732" spans="1:9" s="83" customFormat="1" x14ac:dyDescent="0.35">
      <c r="A4732" s="77"/>
      <c r="B4732" s="64"/>
      <c r="C4732" s="82"/>
      <c r="D4732" s="64"/>
      <c r="E4732" s="96"/>
      <c r="F4732" s="64"/>
      <c r="G4732" s="70"/>
      <c r="H4732" s="84"/>
      <c r="I4732" s="84"/>
    </row>
    <row r="4733" spans="1:9" s="83" customFormat="1" x14ac:dyDescent="0.35">
      <c r="A4733" s="77"/>
      <c r="B4733" s="64"/>
      <c r="C4733" s="82"/>
      <c r="D4733" s="64"/>
      <c r="E4733" s="96"/>
      <c r="F4733" s="64"/>
      <c r="G4733" s="70"/>
      <c r="H4733" s="84"/>
      <c r="I4733" s="84"/>
    </row>
    <row r="4734" spans="1:9" x14ac:dyDescent="0.35">
      <c r="C4734" s="82"/>
    </row>
    <row r="4735" spans="1:9" x14ac:dyDescent="0.35">
      <c r="C4735" s="82"/>
    </row>
    <row r="4736" spans="1:9" x14ac:dyDescent="0.35">
      <c r="C4736" s="82"/>
    </row>
    <row r="4737" spans="3:3" x14ac:dyDescent="0.35">
      <c r="C4737" s="82"/>
    </row>
    <row r="4738" spans="3:3" x14ac:dyDescent="0.35">
      <c r="C4738" s="82"/>
    </row>
    <row r="4739" spans="3:3" x14ac:dyDescent="0.35">
      <c r="C4739" s="82"/>
    </row>
    <row r="4740" spans="3:3" x14ac:dyDescent="0.35">
      <c r="C4740" s="82"/>
    </row>
    <row r="4741" spans="3:3" x14ac:dyDescent="0.35">
      <c r="C4741" s="82"/>
    </row>
    <row r="4742" spans="3:3" x14ac:dyDescent="0.35">
      <c r="C4742" s="82"/>
    </row>
    <row r="4743" spans="3:3" x14ac:dyDescent="0.35">
      <c r="C4743" s="82"/>
    </row>
    <row r="4744" spans="3:3" x14ac:dyDescent="0.35">
      <c r="C4744" s="82"/>
    </row>
    <row r="4745" spans="3:3" x14ac:dyDescent="0.35">
      <c r="C4745" s="82"/>
    </row>
    <row r="4746" spans="3:3" x14ac:dyDescent="0.35">
      <c r="C4746" s="82"/>
    </row>
    <row r="4747" spans="3:3" x14ac:dyDescent="0.35">
      <c r="C4747" s="82"/>
    </row>
    <row r="4748" spans="3:3" x14ac:dyDescent="0.35">
      <c r="C4748" s="82"/>
    </row>
    <row r="4749" spans="3:3" x14ac:dyDescent="0.35">
      <c r="C4749" s="82"/>
    </row>
    <row r="4750" spans="3:3" x14ac:dyDescent="0.35">
      <c r="C4750" s="82"/>
    </row>
    <row r="4751" spans="3:3" x14ac:dyDescent="0.35">
      <c r="C4751" s="82"/>
    </row>
    <row r="4752" spans="3:3" x14ac:dyDescent="0.35">
      <c r="C4752" s="82"/>
    </row>
    <row r="4753" spans="3:3" x14ac:dyDescent="0.35">
      <c r="C4753" s="82"/>
    </row>
    <row r="4754" spans="3:3" x14ac:dyDescent="0.35">
      <c r="C4754" s="82"/>
    </row>
    <row r="4755" spans="3:3" x14ac:dyDescent="0.35">
      <c r="C4755" s="82"/>
    </row>
    <row r="4756" spans="3:3" x14ac:dyDescent="0.35">
      <c r="C4756" s="82"/>
    </row>
    <row r="4757" spans="3:3" x14ac:dyDescent="0.35">
      <c r="C4757" s="82"/>
    </row>
    <row r="4758" spans="3:3" x14ac:dyDescent="0.35">
      <c r="C4758" s="82"/>
    </row>
    <row r="4759" spans="3:3" x14ac:dyDescent="0.35">
      <c r="C4759" s="82"/>
    </row>
    <row r="4760" spans="3:3" x14ac:dyDescent="0.35">
      <c r="C4760" s="82"/>
    </row>
    <row r="4761" spans="3:3" x14ac:dyDescent="0.35">
      <c r="C4761" s="82"/>
    </row>
    <row r="4762" spans="3:3" x14ac:dyDescent="0.35">
      <c r="C4762" s="82"/>
    </row>
    <row r="4763" spans="3:3" x14ac:dyDescent="0.35">
      <c r="C4763" s="82"/>
    </row>
    <row r="4764" spans="3:3" x14ac:dyDescent="0.35">
      <c r="C4764" s="82"/>
    </row>
    <row r="4765" spans="3:3" x14ac:dyDescent="0.35">
      <c r="C4765" s="82"/>
    </row>
    <row r="4766" spans="3:3" x14ac:dyDescent="0.35">
      <c r="C4766" s="82"/>
    </row>
    <row r="4767" spans="3:3" x14ac:dyDescent="0.35">
      <c r="C4767" s="82"/>
    </row>
    <row r="4768" spans="3:3" x14ac:dyDescent="0.35">
      <c r="C4768" s="82"/>
    </row>
    <row r="4769" spans="3:3" x14ac:dyDescent="0.35">
      <c r="C4769" s="82"/>
    </row>
    <row r="4770" spans="3:3" x14ac:dyDescent="0.35">
      <c r="C4770" s="82"/>
    </row>
    <row r="4771" spans="3:3" x14ac:dyDescent="0.35">
      <c r="C4771" s="82"/>
    </row>
    <row r="4772" spans="3:3" x14ac:dyDescent="0.35">
      <c r="C4772" s="82"/>
    </row>
    <row r="4773" spans="3:3" x14ac:dyDescent="0.35">
      <c r="C4773" s="82"/>
    </row>
    <row r="4774" spans="3:3" x14ac:dyDescent="0.35">
      <c r="C4774" s="82"/>
    </row>
    <row r="4775" spans="3:3" x14ac:dyDescent="0.35">
      <c r="C4775" s="82"/>
    </row>
    <row r="4776" spans="3:3" x14ac:dyDescent="0.35">
      <c r="C4776" s="82"/>
    </row>
    <row r="4777" spans="3:3" x14ac:dyDescent="0.35">
      <c r="C4777" s="82"/>
    </row>
    <row r="4778" spans="3:3" x14ac:dyDescent="0.35">
      <c r="C4778" s="82"/>
    </row>
    <row r="4779" spans="3:3" x14ac:dyDescent="0.35">
      <c r="C4779" s="82"/>
    </row>
    <row r="4780" spans="3:3" x14ac:dyDescent="0.35">
      <c r="C4780" s="82"/>
    </row>
    <row r="4781" spans="3:3" x14ac:dyDescent="0.35">
      <c r="C4781" s="82"/>
    </row>
    <row r="4782" spans="3:3" x14ac:dyDescent="0.35">
      <c r="C4782" s="82"/>
    </row>
    <row r="4783" spans="3:3" x14ac:dyDescent="0.35">
      <c r="C4783" s="82"/>
    </row>
    <row r="4784" spans="3:3" x14ac:dyDescent="0.35">
      <c r="C4784" s="82"/>
    </row>
    <row r="4785" spans="3:3" x14ac:dyDescent="0.35">
      <c r="C4785" s="82"/>
    </row>
    <row r="4786" spans="3:3" x14ac:dyDescent="0.35">
      <c r="C4786" s="82"/>
    </row>
    <row r="4787" spans="3:3" x14ac:dyDescent="0.35">
      <c r="C4787" s="82"/>
    </row>
    <row r="4788" spans="3:3" x14ac:dyDescent="0.35">
      <c r="C4788" s="82"/>
    </row>
    <row r="4789" spans="3:3" x14ac:dyDescent="0.35">
      <c r="C4789" s="82"/>
    </row>
    <row r="4790" spans="3:3" x14ac:dyDescent="0.35">
      <c r="C4790" s="82"/>
    </row>
    <row r="4791" spans="3:3" x14ac:dyDescent="0.35">
      <c r="C4791" s="82"/>
    </row>
    <row r="4792" spans="3:3" x14ac:dyDescent="0.35">
      <c r="C4792" s="82"/>
    </row>
    <row r="4793" spans="3:3" x14ac:dyDescent="0.35">
      <c r="C4793" s="82"/>
    </row>
    <row r="4794" spans="3:3" x14ac:dyDescent="0.35">
      <c r="C4794" s="82"/>
    </row>
    <row r="4795" spans="3:3" x14ac:dyDescent="0.35">
      <c r="C4795" s="82"/>
    </row>
    <row r="4796" spans="3:3" x14ac:dyDescent="0.35">
      <c r="C4796" s="82"/>
    </row>
    <row r="4797" spans="3:3" x14ac:dyDescent="0.35">
      <c r="C4797" s="82"/>
    </row>
    <row r="4798" spans="3:3" x14ac:dyDescent="0.35">
      <c r="C4798" s="82"/>
    </row>
    <row r="4799" spans="3:3" x14ac:dyDescent="0.35">
      <c r="C4799" s="82"/>
    </row>
    <row r="4800" spans="3:3" x14ac:dyDescent="0.35">
      <c r="C4800" s="82"/>
    </row>
    <row r="4801" spans="3:3" x14ac:dyDescent="0.35">
      <c r="C4801" s="82"/>
    </row>
    <row r="4802" spans="3:3" x14ac:dyDescent="0.35">
      <c r="C4802" s="82"/>
    </row>
    <row r="4803" spans="3:3" x14ac:dyDescent="0.35">
      <c r="C4803" s="82"/>
    </row>
    <row r="4804" spans="3:3" x14ac:dyDescent="0.35">
      <c r="C4804" s="82"/>
    </row>
    <row r="4805" spans="3:3" x14ac:dyDescent="0.35">
      <c r="C4805" s="82"/>
    </row>
    <row r="4806" spans="3:3" x14ac:dyDescent="0.35">
      <c r="C4806" s="82"/>
    </row>
    <row r="4807" spans="3:3" x14ac:dyDescent="0.35">
      <c r="C4807" s="82"/>
    </row>
    <row r="4808" spans="3:3" x14ac:dyDescent="0.35">
      <c r="C4808" s="82"/>
    </row>
    <row r="4809" spans="3:3" x14ac:dyDescent="0.35">
      <c r="C4809" s="82"/>
    </row>
    <row r="4810" spans="3:3" x14ac:dyDescent="0.35">
      <c r="C4810" s="82"/>
    </row>
    <row r="4811" spans="3:3" x14ac:dyDescent="0.35">
      <c r="C4811" s="82"/>
    </row>
    <row r="4812" spans="3:3" x14ac:dyDescent="0.35">
      <c r="C4812" s="82"/>
    </row>
    <row r="4813" spans="3:3" x14ac:dyDescent="0.35">
      <c r="C4813" s="82"/>
    </row>
    <row r="4814" spans="3:3" x14ac:dyDescent="0.35">
      <c r="C4814" s="82"/>
    </row>
    <row r="4815" spans="3:3" x14ac:dyDescent="0.35">
      <c r="C4815" s="82"/>
    </row>
    <row r="4816" spans="3:3" x14ac:dyDescent="0.35">
      <c r="C4816" s="82"/>
    </row>
    <row r="4817" spans="3:3" x14ac:dyDescent="0.35">
      <c r="C4817" s="82"/>
    </row>
    <row r="4818" spans="3:3" x14ac:dyDescent="0.35">
      <c r="C4818" s="82"/>
    </row>
    <row r="4819" spans="3:3" x14ac:dyDescent="0.35">
      <c r="C4819" s="82"/>
    </row>
    <row r="4820" spans="3:3" x14ac:dyDescent="0.35">
      <c r="C4820" s="82"/>
    </row>
    <row r="4821" spans="3:3" x14ac:dyDescent="0.35">
      <c r="C4821" s="82"/>
    </row>
    <row r="4822" spans="3:3" x14ac:dyDescent="0.35">
      <c r="C4822" s="82"/>
    </row>
    <row r="4823" spans="3:3" x14ac:dyDescent="0.35">
      <c r="C4823" s="82"/>
    </row>
    <row r="4824" spans="3:3" x14ac:dyDescent="0.35">
      <c r="C4824" s="82"/>
    </row>
    <row r="4825" spans="3:3" x14ac:dyDescent="0.35">
      <c r="C4825" s="82"/>
    </row>
    <row r="4826" spans="3:3" x14ac:dyDescent="0.35">
      <c r="C4826" s="82"/>
    </row>
    <row r="4827" spans="3:3" x14ac:dyDescent="0.35">
      <c r="C4827" s="82"/>
    </row>
    <row r="4828" spans="3:3" x14ac:dyDescent="0.35">
      <c r="C4828" s="82"/>
    </row>
    <row r="4829" spans="3:3" x14ac:dyDescent="0.35">
      <c r="C4829" s="82"/>
    </row>
    <row r="4830" spans="3:3" x14ac:dyDescent="0.35">
      <c r="C4830" s="82"/>
    </row>
    <row r="4831" spans="3:3" x14ac:dyDescent="0.35">
      <c r="C4831" s="82"/>
    </row>
    <row r="4832" spans="3:3" x14ac:dyDescent="0.35">
      <c r="C4832" s="82"/>
    </row>
    <row r="4833" spans="3:3" x14ac:dyDescent="0.35">
      <c r="C4833" s="82"/>
    </row>
    <row r="4834" spans="3:3" x14ac:dyDescent="0.35">
      <c r="C4834" s="82"/>
    </row>
    <row r="4835" spans="3:3" x14ac:dyDescent="0.35">
      <c r="C4835" s="82"/>
    </row>
    <row r="4836" spans="3:3" x14ac:dyDescent="0.35">
      <c r="C4836" s="82"/>
    </row>
    <row r="4837" spans="3:3" x14ac:dyDescent="0.35">
      <c r="C4837" s="82"/>
    </row>
    <row r="4838" spans="3:3" x14ac:dyDescent="0.35">
      <c r="C4838" s="82"/>
    </row>
    <row r="4839" spans="3:3" x14ac:dyDescent="0.35">
      <c r="C4839" s="82"/>
    </row>
    <row r="4840" spans="3:3" x14ac:dyDescent="0.35">
      <c r="C4840" s="82"/>
    </row>
    <row r="4841" spans="3:3" x14ac:dyDescent="0.35">
      <c r="C4841" s="82"/>
    </row>
    <row r="4842" spans="3:3" x14ac:dyDescent="0.35">
      <c r="C4842" s="82"/>
    </row>
    <row r="4843" spans="3:3" x14ac:dyDescent="0.35">
      <c r="C4843" s="82"/>
    </row>
    <row r="4844" spans="3:3" x14ac:dyDescent="0.35">
      <c r="C4844" s="82"/>
    </row>
    <row r="4845" spans="3:3" x14ac:dyDescent="0.35">
      <c r="C4845" s="82"/>
    </row>
    <row r="4846" spans="3:3" x14ac:dyDescent="0.35">
      <c r="C4846" s="82"/>
    </row>
    <row r="4847" spans="3:3" x14ac:dyDescent="0.35">
      <c r="C4847" s="82"/>
    </row>
    <row r="4848" spans="3:3" x14ac:dyDescent="0.35">
      <c r="C4848" s="82"/>
    </row>
    <row r="4849" spans="3:3" x14ac:dyDescent="0.35">
      <c r="C4849" s="82"/>
    </row>
    <row r="4850" spans="3:3" x14ac:dyDescent="0.35">
      <c r="C4850" s="82"/>
    </row>
    <row r="4851" spans="3:3" x14ac:dyDescent="0.35">
      <c r="C4851" s="82"/>
    </row>
    <row r="4852" spans="3:3" x14ac:dyDescent="0.35">
      <c r="C4852" s="82"/>
    </row>
    <row r="4853" spans="3:3" x14ac:dyDescent="0.35">
      <c r="C4853" s="82"/>
    </row>
    <row r="4854" spans="3:3" x14ac:dyDescent="0.35">
      <c r="C4854" s="82"/>
    </row>
    <row r="4855" spans="3:3" x14ac:dyDescent="0.35">
      <c r="C4855" s="82"/>
    </row>
    <row r="4856" spans="3:3" x14ac:dyDescent="0.35">
      <c r="C4856" s="82"/>
    </row>
    <row r="4857" spans="3:3" x14ac:dyDescent="0.35">
      <c r="C4857" s="82"/>
    </row>
    <row r="4858" spans="3:3" x14ac:dyDescent="0.35">
      <c r="C4858" s="82"/>
    </row>
    <row r="4859" spans="3:3" x14ac:dyDescent="0.35">
      <c r="C4859" s="82"/>
    </row>
    <row r="4860" spans="3:3" x14ac:dyDescent="0.35">
      <c r="C4860" s="82"/>
    </row>
    <row r="4861" spans="3:3" x14ac:dyDescent="0.35">
      <c r="C4861" s="82"/>
    </row>
    <row r="4862" spans="3:3" x14ac:dyDescent="0.35">
      <c r="C4862" s="82"/>
    </row>
    <row r="4863" spans="3:3" x14ac:dyDescent="0.35">
      <c r="C4863" s="82"/>
    </row>
    <row r="4864" spans="3:3" x14ac:dyDescent="0.35">
      <c r="C4864" s="82"/>
    </row>
    <row r="4865" spans="3:3" x14ac:dyDescent="0.35">
      <c r="C4865" s="82"/>
    </row>
    <row r="4866" spans="3:3" x14ac:dyDescent="0.35">
      <c r="C4866" s="82"/>
    </row>
    <row r="4867" spans="3:3" x14ac:dyDescent="0.35">
      <c r="C4867" s="82"/>
    </row>
    <row r="4868" spans="3:3" x14ac:dyDescent="0.35">
      <c r="C4868" s="82"/>
    </row>
    <row r="4869" spans="3:3" x14ac:dyDescent="0.35">
      <c r="C4869" s="82"/>
    </row>
    <row r="4870" spans="3:3" x14ac:dyDescent="0.35">
      <c r="C4870" s="82"/>
    </row>
    <row r="4871" spans="3:3" x14ac:dyDescent="0.35">
      <c r="C4871" s="82"/>
    </row>
    <row r="4872" spans="3:3" x14ac:dyDescent="0.35">
      <c r="C4872" s="82"/>
    </row>
    <row r="4873" spans="3:3" x14ac:dyDescent="0.35">
      <c r="C4873" s="82"/>
    </row>
    <row r="4874" spans="3:3" x14ac:dyDescent="0.35">
      <c r="C4874" s="82"/>
    </row>
    <row r="4875" spans="3:3" x14ac:dyDescent="0.35">
      <c r="C4875" s="82"/>
    </row>
    <row r="4876" spans="3:3" x14ac:dyDescent="0.35">
      <c r="C4876" s="82"/>
    </row>
    <row r="4877" spans="3:3" x14ac:dyDescent="0.35">
      <c r="C4877" s="82"/>
    </row>
    <row r="4878" spans="3:3" x14ac:dyDescent="0.35">
      <c r="C4878" s="82"/>
    </row>
    <row r="4879" spans="3:3" x14ac:dyDescent="0.35">
      <c r="C4879" s="82"/>
    </row>
    <row r="4880" spans="3:3" x14ac:dyDescent="0.35">
      <c r="C4880" s="82"/>
    </row>
    <row r="4881" spans="3:3" x14ac:dyDescent="0.35">
      <c r="C4881" s="82"/>
    </row>
    <row r="4882" spans="3:3" x14ac:dyDescent="0.35">
      <c r="C4882" s="82"/>
    </row>
    <row r="4883" spans="3:3" x14ac:dyDescent="0.35">
      <c r="C4883" s="82"/>
    </row>
    <row r="4884" spans="3:3" x14ac:dyDescent="0.35">
      <c r="C4884" s="82"/>
    </row>
    <row r="4885" spans="3:3" x14ac:dyDescent="0.35">
      <c r="C4885" s="82"/>
    </row>
    <row r="4886" spans="3:3" x14ac:dyDescent="0.35">
      <c r="C4886" s="82"/>
    </row>
    <row r="4887" spans="3:3" x14ac:dyDescent="0.35">
      <c r="C4887" s="82"/>
    </row>
    <row r="4888" spans="3:3" x14ac:dyDescent="0.35">
      <c r="C4888" s="82"/>
    </row>
    <row r="4889" spans="3:3" x14ac:dyDescent="0.35">
      <c r="C4889" s="82"/>
    </row>
    <row r="4890" spans="3:3" x14ac:dyDescent="0.35">
      <c r="C4890" s="82"/>
    </row>
    <row r="4891" spans="3:3" x14ac:dyDescent="0.35">
      <c r="C4891" s="82"/>
    </row>
    <row r="4892" spans="3:3" x14ac:dyDescent="0.35">
      <c r="C4892" s="82"/>
    </row>
    <row r="4893" spans="3:3" x14ac:dyDescent="0.35">
      <c r="C4893" s="82"/>
    </row>
    <row r="4894" spans="3:3" x14ac:dyDescent="0.35">
      <c r="C4894" s="82"/>
    </row>
    <row r="4895" spans="3:3" x14ac:dyDescent="0.35">
      <c r="C4895" s="82"/>
    </row>
    <row r="4896" spans="3:3" x14ac:dyDescent="0.35">
      <c r="C4896" s="82"/>
    </row>
    <row r="4897" spans="3:3" x14ac:dyDescent="0.35">
      <c r="C4897" s="82"/>
    </row>
    <row r="4898" spans="3:3" x14ac:dyDescent="0.35">
      <c r="C4898" s="82"/>
    </row>
    <row r="4899" spans="3:3" x14ac:dyDescent="0.35">
      <c r="C4899" s="82"/>
    </row>
    <row r="4900" spans="3:3" x14ac:dyDescent="0.35">
      <c r="C4900" s="82"/>
    </row>
    <row r="4901" spans="3:3" x14ac:dyDescent="0.35">
      <c r="C4901" s="82"/>
    </row>
    <row r="4902" spans="3:3" x14ac:dyDescent="0.35">
      <c r="C4902" s="82"/>
    </row>
    <row r="4903" spans="3:3" x14ac:dyDescent="0.35">
      <c r="C4903" s="82"/>
    </row>
    <row r="4904" spans="3:3" x14ac:dyDescent="0.35">
      <c r="C4904" s="82"/>
    </row>
    <row r="4905" spans="3:3" x14ac:dyDescent="0.35">
      <c r="C4905" s="82"/>
    </row>
    <row r="4906" spans="3:3" x14ac:dyDescent="0.35">
      <c r="C4906" s="82"/>
    </row>
    <row r="4907" spans="3:3" x14ac:dyDescent="0.35">
      <c r="C4907" s="82"/>
    </row>
    <row r="4908" spans="3:3" x14ac:dyDescent="0.35">
      <c r="C4908" s="82"/>
    </row>
    <row r="4909" spans="3:3" x14ac:dyDescent="0.35">
      <c r="C4909" s="82"/>
    </row>
    <row r="4910" spans="3:3" x14ac:dyDescent="0.35">
      <c r="C4910" s="82"/>
    </row>
    <row r="4911" spans="3:3" x14ac:dyDescent="0.35">
      <c r="C4911" s="82"/>
    </row>
    <row r="4912" spans="3:3" x14ac:dyDescent="0.35">
      <c r="C4912" s="82"/>
    </row>
    <row r="4913" spans="3:3" x14ac:dyDescent="0.35">
      <c r="C4913" s="82"/>
    </row>
    <row r="4914" spans="3:3" x14ac:dyDescent="0.35">
      <c r="C4914" s="82"/>
    </row>
    <row r="4915" spans="3:3" x14ac:dyDescent="0.35">
      <c r="C4915" s="82"/>
    </row>
    <row r="4916" spans="3:3" x14ac:dyDescent="0.35">
      <c r="C4916" s="82"/>
    </row>
    <row r="4917" spans="3:3" x14ac:dyDescent="0.35">
      <c r="C4917" s="82"/>
    </row>
    <row r="4918" spans="3:3" x14ac:dyDescent="0.35">
      <c r="C4918" s="82"/>
    </row>
    <row r="4919" spans="3:3" x14ac:dyDescent="0.35">
      <c r="C4919" s="82"/>
    </row>
    <row r="4920" spans="3:3" x14ac:dyDescent="0.35">
      <c r="C4920" s="82"/>
    </row>
    <row r="4921" spans="3:3" x14ac:dyDescent="0.35">
      <c r="C4921" s="82"/>
    </row>
    <row r="4922" spans="3:3" x14ac:dyDescent="0.35">
      <c r="C4922" s="82"/>
    </row>
    <row r="4923" spans="3:3" x14ac:dyDescent="0.35">
      <c r="C4923" s="82"/>
    </row>
    <row r="4924" spans="3:3" x14ac:dyDescent="0.35">
      <c r="C4924" s="82"/>
    </row>
    <row r="4925" spans="3:3" x14ac:dyDescent="0.35">
      <c r="C4925" s="82"/>
    </row>
    <row r="4926" spans="3:3" x14ac:dyDescent="0.35">
      <c r="C4926" s="82"/>
    </row>
    <row r="4927" spans="3:3" x14ac:dyDescent="0.35">
      <c r="C4927" s="82"/>
    </row>
    <row r="4928" spans="3:3" x14ac:dyDescent="0.35">
      <c r="C4928" s="82"/>
    </row>
    <row r="4929" spans="3:3" x14ac:dyDescent="0.35">
      <c r="C4929" s="82"/>
    </row>
    <row r="4930" spans="3:3" x14ac:dyDescent="0.35">
      <c r="C4930" s="82"/>
    </row>
    <row r="4931" spans="3:3" x14ac:dyDescent="0.35">
      <c r="C4931" s="82"/>
    </row>
    <row r="4932" spans="3:3" x14ac:dyDescent="0.35">
      <c r="C4932" s="82"/>
    </row>
    <row r="4933" spans="3:3" x14ac:dyDescent="0.35">
      <c r="C4933" s="82"/>
    </row>
    <row r="4934" spans="3:3" x14ac:dyDescent="0.35">
      <c r="C4934" s="82"/>
    </row>
    <row r="4935" spans="3:3" x14ac:dyDescent="0.35">
      <c r="C4935" s="82"/>
    </row>
    <row r="4936" spans="3:3" x14ac:dyDescent="0.35">
      <c r="C4936" s="82"/>
    </row>
    <row r="4937" spans="3:3" x14ac:dyDescent="0.35">
      <c r="C4937" s="82"/>
    </row>
    <row r="4938" spans="3:3" x14ac:dyDescent="0.35">
      <c r="C4938" s="82"/>
    </row>
    <row r="4939" spans="3:3" x14ac:dyDescent="0.35">
      <c r="C4939" s="82"/>
    </row>
    <row r="4940" spans="3:3" x14ac:dyDescent="0.35">
      <c r="C4940" s="82"/>
    </row>
    <row r="4941" spans="3:3" x14ac:dyDescent="0.35">
      <c r="C4941" s="82"/>
    </row>
    <row r="4942" spans="3:3" x14ac:dyDescent="0.35">
      <c r="C4942" s="82"/>
    </row>
    <row r="4943" spans="3:3" x14ac:dyDescent="0.35">
      <c r="C4943" s="82"/>
    </row>
    <row r="4944" spans="3:3" x14ac:dyDescent="0.35">
      <c r="C4944" s="82"/>
    </row>
    <row r="4945" spans="1:9" x14ac:dyDescent="0.35">
      <c r="C4945" s="82"/>
    </row>
    <row r="4946" spans="1:9" x14ac:dyDescent="0.35">
      <c r="C4946" s="82"/>
    </row>
    <row r="4947" spans="1:9" x14ac:dyDescent="0.35">
      <c r="C4947" s="82"/>
    </row>
    <row r="4948" spans="1:9" x14ac:dyDescent="0.35">
      <c r="C4948" s="82"/>
    </row>
    <row r="4949" spans="1:9" x14ac:dyDescent="0.35">
      <c r="C4949" s="82"/>
    </row>
    <row r="4950" spans="1:9" x14ac:dyDescent="0.35">
      <c r="C4950" s="82"/>
    </row>
    <row r="4951" spans="1:9" x14ac:dyDescent="0.35">
      <c r="C4951" s="82"/>
    </row>
    <row r="4952" spans="1:9" x14ac:dyDescent="0.35">
      <c r="C4952" s="82"/>
    </row>
    <row r="4953" spans="1:9" x14ac:dyDescent="0.35">
      <c r="C4953" s="82"/>
    </row>
    <row r="4954" spans="1:9" x14ac:dyDescent="0.35">
      <c r="C4954" s="82"/>
    </row>
    <row r="4955" spans="1:9" x14ac:dyDescent="0.35">
      <c r="C4955" s="82"/>
    </row>
    <row r="4956" spans="1:9" x14ac:dyDescent="0.35">
      <c r="C4956" s="82"/>
    </row>
    <row r="4957" spans="1:9" x14ac:dyDescent="0.35">
      <c r="C4957" s="82"/>
    </row>
    <row r="4958" spans="1:9" s="83" customFormat="1" x14ac:dyDescent="0.35">
      <c r="A4958" s="77"/>
      <c r="B4958" s="64"/>
      <c r="C4958" s="82"/>
      <c r="D4958" s="64"/>
      <c r="E4958" s="96"/>
      <c r="F4958" s="64"/>
      <c r="G4958" s="70"/>
      <c r="H4958" s="84"/>
      <c r="I4958" s="84"/>
    </row>
    <row r="4959" spans="1:9" s="83" customFormat="1" x14ac:dyDescent="0.35">
      <c r="A4959" s="77"/>
      <c r="B4959" s="64"/>
      <c r="C4959" s="82"/>
      <c r="D4959" s="64"/>
      <c r="E4959" s="96"/>
      <c r="F4959" s="64"/>
      <c r="G4959" s="70"/>
      <c r="H4959" s="84"/>
      <c r="I4959" s="84"/>
    </row>
    <row r="4960" spans="1:9" s="83" customFormat="1" x14ac:dyDescent="0.35">
      <c r="A4960" s="77"/>
      <c r="B4960" s="64"/>
      <c r="C4960" s="82"/>
      <c r="D4960" s="64"/>
      <c r="E4960" s="96"/>
      <c r="F4960" s="64"/>
      <c r="G4960" s="70"/>
      <c r="H4960" s="84"/>
      <c r="I4960" s="84"/>
    </row>
    <row r="4961" spans="1:9" s="83" customFormat="1" x14ac:dyDescent="0.35">
      <c r="A4961" s="77"/>
      <c r="B4961" s="64"/>
      <c r="C4961" s="82"/>
      <c r="D4961" s="64"/>
      <c r="E4961" s="96"/>
      <c r="F4961" s="64"/>
      <c r="G4961" s="70"/>
      <c r="H4961" s="84"/>
      <c r="I4961" s="84"/>
    </row>
    <row r="4962" spans="1:9" s="83" customFormat="1" x14ac:dyDescent="0.35">
      <c r="A4962" s="77"/>
      <c r="B4962" s="64"/>
      <c r="C4962" s="82"/>
      <c r="D4962" s="64"/>
      <c r="E4962" s="96"/>
      <c r="F4962" s="64"/>
      <c r="G4962" s="70"/>
      <c r="H4962" s="84"/>
      <c r="I4962" s="84"/>
    </row>
    <row r="4963" spans="1:9" s="83" customFormat="1" x14ac:dyDescent="0.35">
      <c r="A4963" s="77"/>
      <c r="B4963" s="64"/>
      <c r="C4963" s="82"/>
      <c r="D4963" s="64"/>
      <c r="E4963" s="96"/>
      <c r="F4963" s="64"/>
      <c r="G4963" s="70"/>
      <c r="H4963" s="84"/>
      <c r="I4963" s="84"/>
    </row>
    <row r="4964" spans="1:9" s="83" customFormat="1" x14ac:dyDescent="0.35">
      <c r="A4964" s="77"/>
      <c r="B4964" s="64"/>
      <c r="C4964" s="82"/>
      <c r="D4964" s="64"/>
      <c r="E4964" s="96"/>
      <c r="F4964" s="64"/>
      <c r="G4964" s="70"/>
      <c r="H4964" s="84"/>
      <c r="I4964" s="84"/>
    </row>
    <row r="4965" spans="1:9" s="83" customFormat="1" x14ac:dyDescent="0.35">
      <c r="A4965" s="77"/>
      <c r="B4965" s="64"/>
      <c r="C4965" s="82"/>
      <c r="D4965" s="86"/>
      <c r="E4965" s="96"/>
      <c r="F4965" s="64"/>
      <c r="G4965" s="70"/>
      <c r="H4965" s="84"/>
      <c r="I4965" s="84"/>
    </row>
    <row r="4966" spans="1:9" s="83" customFormat="1" x14ac:dyDescent="0.35">
      <c r="A4966" s="77"/>
      <c r="B4966" s="64"/>
      <c r="C4966" s="82"/>
      <c r="D4966" s="64"/>
      <c r="E4966" s="96"/>
      <c r="F4966" s="64"/>
      <c r="G4966" s="70"/>
      <c r="H4966" s="84"/>
      <c r="I4966" s="84"/>
    </row>
    <row r="4967" spans="1:9" s="83" customFormat="1" x14ac:dyDescent="0.35">
      <c r="A4967" s="77"/>
      <c r="B4967" s="64"/>
      <c r="C4967" s="82"/>
      <c r="D4967" s="64"/>
      <c r="E4967" s="96"/>
      <c r="F4967" s="64"/>
      <c r="G4967" s="70"/>
      <c r="H4967" s="84"/>
      <c r="I4967" s="84"/>
    </row>
    <row r="4968" spans="1:9" s="83" customFormat="1" x14ac:dyDescent="0.35">
      <c r="A4968" s="77"/>
      <c r="B4968" s="64"/>
      <c r="C4968" s="82"/>
      <c r="D4968" s="64"/>
      <c r="E4968" s="96"/>
      <c r="F4968" s="64"/>
      <c r="G4968" s="70"/>
      <c r="H4968" s="84"/>
      <c r="I4968" s="84"/>
    </row>
    <row r="4969" spans="1:9" s="83" customFormat="1" x14ac:dyDescent="0.35">
      <c r="A4969" s="77"/>
      <c r="B4969" s="64"/>
      <c r="C4969" s="82"/>
      <c r="D4969" s="64"/>
      <c r="E4969" s="96"/>
      <c r="F4969" s="64"/>
      <c r="G4969" s="70"/>
      <c r="H4969" s="84"/>
      <c r="I4969" s="84"/>
    </row>
    <row r="4970" spans="1:9" s="83" customFormat="1" x14ac:dyDescent="0.35">
      <c r="A4970" s="77"/>
      <c r="B4970" s="64"/>
      <c r="C4970" s="82"/>
      <c r="D4970" s="64"/>
      <c r="E4970" s="96"/>
      <c r="F4970" s="64"/>
      <c r="G4970" s="70"/>
      <c r="H4970" s="84"/>
      <c r="I4970" s="84"/>
    </row>
    <row r="4971" spans="1:9" s="83" customFormat="1" x14ac:dyDescent="0.35">
      <c r="A4971" s="77"/>
      <c r="B4971" s="64"/>
      <c r="C4971" s="82"/>
      <c r="D4971" s="64"/>
      <c r="E4971" s="96"/>
      <c r="F4971" s="64"/>
      <c r="G4971" s="70"/>
      <c r="H4971" s="84"/>
      <c r="I4971" s="84"/>
    </row>
    <row r="4972" spans="1:9" s="83" customFormat="1" x14ac:dyDescent="0.35">
      <c r="A4972" s="77"/>
      <c r="B4972" s="64"/>
      <c r="C4972" s="82"/>
      <c r="D4972" s="64"/>
      <c r="E4972" s="96"/>
      <c r="F4972" s="64"/>
      <c r="G4972" s="70"/>
      <c r="H4972" s="84"/>
      <c r="I4972" s="84"/>
    </row>
    <row r="4973" spans="1:9" s="83" customFormat="1" x14ac:dyDescent="0.35">
      <c r="A4973" s="77"/>
      <c r="B4973" s="64"/>
      <c r="C4973" s="82"/>
      <c r="D4973" s="64"/>
      <c r="E4973" s="96"/>
      <c r="F4973" s="64"/>
      <c r="G4973" s="70"/>
      <c r="H4973" s="84"/>
      <c r="I4973" s="84"/>
    </row>
    <row r="4974" spans="1:9" x14ac:dyDescent="0.35">
      <c r="C4974" s="82"/>
    </row>
    <row r="4975" spans="1:9" x14ac:dyDescent="0.35">
      <c r="C4975" s="82"/>
    </row>
    <row r="4976" spans="1:9" x14ac:dyDescent="0.35">
      <c r="C4976" s="82"/>
    </row>
    <row r="4977" spans="1:9" x14ac:dyDescent="0.35">
      <c r="C4977" s="82"/>
    </row>
    <row r="4978" spans="1:9" x14ac:dyDescent="0.35">
      <c r="C4978" s="82"/>
    </row>
    <row r="4979" spans="1:9" x14ac:dyDescent="0.35">
      <c r="C4979" s="82"/>
    </row>
    <row r="4980" spans="1:9" x14ac:dyDescent="0.35">
      <c r="C4980" s="82"/>
    </row>
    <row r="4981" spans="1:9" x14ac:dyDescent="0.35">
      <c r="C4981" s="82"/>
    </row>
    <row r="4982" spans="1:9" x14ac:dyDescent="0.35">
      <c r="C4982" s="82"/>
    </row>
    <row r="4983" spans="1:9" x14ac:dyDescent="0.35">
      <c r="C4983" s="82"/>
    </row>
    <row r="4984" spans="1:9" x14ac:dyDescent="0.35">
      <c r="C4984" s="82"/>
    </row>
    <row r="4985" spans="1:9" x14ac:dyDescent="0.35">
      <c r="C4985" s="82"/>
    </row>
    <row r="4986" spans="1:9" x14ac:dyDescent="0.35">
      <c r="C4986" s="82"/>
    </row>
    <row r="4987" spans="1:9" x14ac:dyDescent="0.35">
      <c r="C4987" s="82"/>
    </row>
    <row r="4988" spans="1:9" x14ac:dyDescent="0.35">
      <c r="C4988" s="82"/>
    </row>
    <row r="4989" spans="1:9" x14ac:dyDescent="0.35">
      <c r="C4989" s="82"/>
    </row>
    <row r="4990" spans="1:9" s="83" customFormat="1" x14ac:dyDescent="0.35">
      <c r="A4990" s="77"/>
      <c r="B4990" s="64"/>
      <c r="C4990" s="82"/>
      <c r="D4990" s="64"/>
      <c r="E4990" s="96"/>
      <c r="F4990" s="64"/>
      <c r="G4990" s="70"/>
      <c r="H4990" s="84"/>
      <c r="I4990" s="84"/>
    </row>
    <row r="4991" spans="1:9" s="83" customFormat="1" x14ac:dyDescent="0.35">
      <c r="A4991" s="77"/>
      <c r="B4991" s="64"/>
      <c r="C4991" s="82"/>
      <c r="D4991" s="64"/>
      <c r="E4991" s="96"/>
      <c r="F4991" s="64"/>
      <c r="G4991" s="70"/>
      <c r="H4991" s="84"/>
      <c r="I4991" s="84"/>
    </row>
    <row r="4992" spans="1:9" s="83" customFormat="1" x14ac:dyDescent="0.35">
      <c r="A4992" s="77"/>
      <c r="B4992" s="64"/>
      <c r="C4992" s="82"/>
      <c r="D4992" s="64"/>
      <c r="E4992" s="96"/>
      <c r="F4992" s="64"/>
      <c r="G4992" s="70"/>
      <c r="H4992" s="84"/>
      <c r="I4992" s="84"/>
    </row>
    <row r="4993" spans="1:9" s="83" customFormat="1" x14ac:dyDescent="0.35">
      <c r="A4993" s="77"/>
      <c r="B4993" s="64"/>
      <c r="C4993" s="82"/>
      <c r="D4993" s="64"/>
      <c r="E4993" s="96"/>
      <c r="F4993" s="64"/>
      <c r="G4993" s="70"/>
      <c r="H4993" s="84"/>
      <c r="I4993" s="84"/>
    </row>
    <row r="4994" spans="1:9" s="83" customFormat="1" x14ac:dyDescent="0.35">
      <c r="A4994" s="77"/>
      <c r="B4994" s="64"/>
      <c r="C4994" s="82"/>
      <c r="D4994" s="64"/>
      <c r="E4994" s="96"/>
      <c r="F4994" s="64"/>
      <c r="G4994" s="70"/>
      <c r="H4994" s="84"/>
      <c r="I4994" s="84"/>
    </row>
    <row r="4995" spans="1:9" s="83" customFormat="1" x14ac:dyDescent="0.35">
      <c r="A4995" s="77"/>
      <c r="B4995" s="64"/>
      <c r="C4995" s="82"/>
      <c r="D4995" s="64"/>
      <c r="E4995" s="96"/>
      <c r="F4995" s="64"/>
      <c r="G4995" s="70"/>
      <c r="H4995" s="84"/>
      <c r="I4995" s="84"/>
    </row>
    <row r="4996" spans="1:9" s="83" customFormat="1" x14ac:dyDescent="0.35">
      <c r="A4996" s="77"/>
      <c r="B4996" s="64"/>
      <c r="C4996" s="82"/>
      <c r="D4996" s="64"/>
      <c r="E4996" s="96"/>
      <c r="F4996" s="64"/>
      <c r="G4996" s="70"/>
      <c r="H4996" s="84"/>
      <c r="I4996" s="84"/>
    </row>
    <row r="4997" spans="1:9" s="83" customFormat="1" x14ac:dyDescent="0.35">
      <c r="A4997" s="77"/>
      <c r="B4997" s="64"/>
      <c r="C4997" s="82"/>
      <c r="D4997" s="64"/>
      <c r="E4997" s="96"/>
      <c r="F4997" s="64"/>
      <c r="G4997" s="70"/>
      <c r="H4997" s="84"/>
      <c r="I4997" s="84"/>
    </row>
    <row r="4998" spans="1:9" s="83" customFormat="1" x14ac:dyDescent="0.35">
      <c r="A4998" s="77"/>
      <c r="B4998" s="64"/>
      <c r="C4998" s="82"/>
      <c r="D4998" s="64"/>
      <c r="E4998" s="96"/>
      <c r="F4998" s="64"/>
      <c r="G4998" s="70"/>
      <c r="H4998" s="84"/>
      <c r="I4998" s="84"/>
    </row>
    <row r="4999" spans="1:9" s="83" customFormat="1" x14ac:dyDescent="0.35">
      <c r="A4999" s="77"/>
      <c r="B4999" s="64"/>
      <c r="C4999" s="82"/>
      <c r="D4999" s="64"/>
      <c r="E4999" s="96"/>
      <c r="F4999" s="64"/>
      <c r="G4999" s="70"/>
      <c r="H4999" s="84"/>
      <c r="I4999" s="84"/>
    </row>
    <row r="5000" spans="1:9" s="83" customFormat="1" x14ac:dyDescent="0.35">
      <c r="A5000" s="77"/>
      <c r="B5000" s="64"/>
      <c r="C5000" s="82"/>
      <c r="D5000" s="64"/>
      <c r="E5000" s="96"/>
      <c r="F5000" s="64"/>
      <c r="G5000" s="70"/>
      <c r="H5000" s="84"/>
      <c r="I5000" s="84"/>
    </row>
    <row r="5001" spans="1:9" s="83" customFormat="1" x14ac:dyDescent="0.35">
      <c r="A5001" s="77"/>
      <c r="B5001" s="64"/>
      <c r="C5001" s="87"/>
      <c r="D5001" s="86"/>
      <c r="E5001" s="96"/>
      <c r="F5001" s="64"/>
      <c r="G5001" s="70"/>
      <c r="H5001" s="84"/>
      <c r="I5001" s="84"/>
    </row>
    <row r="5002" spans="1:9" s="83" customFormat="1" x14ac:dyDescent="0.35">
      <c r="A5002" s="77"/>
      <c r="B5002" s="64"/>
      <c r="C5002" s="82"/>
      <c r="D5002" s="64"/>
      <c r="E5002" s="96"/>
      <c r="F5002" s="64"/>
      <c r="G5002" s="70"/>
      <c r="H5002" s="84"/>
      <c r="I5002" s="84"/>
    </row>
    <row r="5003" spans="1:9" s="83" customFormat="1" x14ac:dyDescent="0.35">
      <c r="A5003" s="77"/>
      <c r="B5003" s="64"/>
      <c r="C5003" s="82"/>
      <c r="D5003" s="64"/>
      <c r="E5003" s="96"/>
      <c r="F5003" s="64"/>
      <c r="G5003" s="70"/>
      <c r="H5003" s="84"/>
      <c r="I5003" s="84"/>
    </row>
    <row r="5004" spans="1:9" s="83" customFormat="1" x14ac:dyDescent="0.35">
      <c r="A5004" s="77"/>
      <c r="B5004" s="64"/>
      <c r="C5004" s="82"/>
      <c r="D5004" s="64"/>
      <c r="E5004" s="96"/>
      <c r="F5004" s="64"/>
      <c r="G5004" s="70"/>
      <c r="H5004" s="84"/>
      <c r="I5004" s="84"/>
    </row>
    <row r="5005" spans="1:9" s="83" customFormat="1" x14ac:dyDescent="0.35">
      <c r="A5005" s="77"/>
      <c r="B5005" s="64"/>
      <c r="C5005" s="82"/>
      <c r="D5005" s="64"/>
      <c r="E5005" s="96"/>
      <c r="F5005" s="64"/>
      <c r="G5005" s="70"/>
      <c r="H5005" s="84"/>
      <c r="I5005" s="84"/>
    </row>
    <row r="5006" spans="1:9" x14ac:dyDescent="0.35">
      <c r="C5006" s="82"/>
    </row>
    <row r="5007" spans="1:9" x14ac:dyDescent="0.35">
      <c r="C5007" s="82"/>
    </row>
    <row r="5008" spans="1:9" x14ac:dyDescent="0.35">
      <c r="C5008" s="82"/>
    </row>
    <row r="5009" spans="3:3" x14ac:dyDescent="0.35">
      <c r="C5009" s="82"/>
    </row>
    <row r="5010" spans="3:3" x14ac:dyDescent="0.35">
      <c r="C5010" s="82"/>
    </row>
    <row r="5011" spans="3:3" x14ac:dyDescent="0.35">
      <c r="C5011" s="82"/>
    </row>
    <row r="5012" spans="3:3" x14ac:dyDescent="0.35">
      <c r="C5012" s="82"/>
    </row>
    <row r="5013" spans="3:3" x14ac:dyDescent="0.35">
      <c r="C5013" s="82"/>
    </row>
    <row r="5014" spans="3:3" x14ac:dyDescent="0.35">
      <c r="C5014" s="82"/>
    </row>
    <row r="5015" spans="3:3" x14ac:dyDescent="0.35">
      <c r="C5015" s="82"/>
    </row>
    <row r="5016" spans="3:3" x14ac:dyDescent="0.35">
      <c r="C5016" s="82"/>
    </row>
    <row r="5017" spans="3:3" x14ac:dyDescent="0.35">
      <c r="C5017" s="82"/>
    </row>
    <row r="5018" spans="3:3" x14ac:dyDescent="0.35">
      <c r="C5018" s="82"/>
    </row>
    <row r="5019" spans="3:3" x14ac:dyDescent="0.35">
      <c r="C5019" s="82"/>
    </row>
    <row r="5020" spans="3:3" x14ac:dyDescent="0.35">
      <c r="C5020" s="82"/>
    </row>
    <row r="5021" spans="3:3" x14ac:dyDescent="0.35">
      <c r="C5021" s="82"/>
    </row>
    <row r="5022" spans="3:3" x14ac:dyDescent="0.35">
      <c r="C5022" s="82"/>
    </row>
    <row r="5023" spans="3:3" x14ac:dyDescent="0.35">
      <c r="C5023" s="82"/>
    </row>
    <row r="5024" spans="3:3" x14ac:dyDescent="0.35">
      <c r="C5024" s="82"/>
    </row>
    <row r="5025" spans="3:3" x14ac:dyDescent="0.35">
      <c r="C5025" s="82"/>
    </row>
    <row r="5026" spans="3:3" x14ac:dyDescent="0.35">
      <c r="C5026" s="82"/>
    </row>
    <row r="5027" spans="3:3" x14ac:dyDescent="0.35">
      <c r="C5027" s="82"/>
    </row>
    <row r="5028" spans="3:3" x14ac:dyDescent="0.35">
      <c r="C5028" s="82"/>
    </row>
    <row r="5029" spans="3:3" x14ac:dyDescent="0.35">
      <c r="C5029" s="82"/>
    </row>
    <row r="5030" spans="3:3" x14ac:dyDescent="0.35">
      <c r="C5030" s="82"/>
    </row>
    <row r="5031" spans="3:3" x14ac:dyDescent="0.35">
      <c r="C5031" s="82"/>
    </row>
    <row r="5032" spans="3:3" x14ac:dyDescent="0.35">
      <c r="C5032" s="82"/>
    </row>
    <row r="5033" spans="3:3" x14ac:dyDescent="0.35">
      <c r="C5033" s="82"/>
    </row>
    <row r="5034" spans="3:3" x14ac:dyDescent="0.35">
      <c r="C5034" s="82"/>
    </row>
    <row r="5035" spans="3:3" x14ac:dyDescent="0.35">
      <c r="C5035" s="82"/>
    </row>
    <row r="5036" spans="3:3" x14ac:dyDescent="0.35">
      <c r="C5036" s="82"/>
    </row>
    <row r="5037" spans="3:3" x14ac:dyDescent="0.35">
      <c r="C5037" s="82"/>
    </row>
    <row r="5038" spans="3:3" x14ac:dyDescent="0.35">
      <c r="C5038" s="82"/>
    </row>
    <row r="5039" spans="3:3" x14ac:dyDescent="0.35">
      <c r="C5039" s="82"/>
    </row>
    <row r="5040" spans="3:3" x14ac:dyDescent="0.35">
      <c r="C5040" s="82"/>
    </row>
    <row r="5041" spans="3:3" x14ac:dyDescent="0.35">
      <c r="C5041" s="82"/>
    </row>
    <row r="5042" spans="3:3" x14ac:dyDescent="0.35">
      <c r="C5042" s="82"/>
    </row>
    <row r="5043" spans="3:3" x14ac:dyDescent="0.35">
      <c r="C5043" s="82"/>
    </row>
    <row r="5044" spans="3:3" x14ac:dyDescent="0.35">
      <c r="C5044" s="82"/>
    </row>
    <row r="5045" spans="3:3" x14ac:dyDescent="0.35">
      <c r="C5045" s="82"/>
    </row>
    <row r="5046" spans="3:3" x14ac:dyDescent="0.35">
      <c r="C5046" s="82"/>
    </row>
    <row r="5047" spans="3:3" x14ac:dyDescent="0.35">
      <c r="C5047" s="82"/>
    </row>
    <row r="5048" spans="3:3" x14ac:dyDescent="0.35">
      <c r="C5048" s="82"/>
    </row>
    <row r="5049" spans="3:3" x14ac:dyDescent="0.35">
      <c r="C5049" s="82"/>
    </row>
    <row r="5050" spans="3:3" x14ac:dyDescent="0.35">
      <c r="C5050" s="82"/>
    </row>
    <row r="5051" spans="3:3" x14ac:dyDescent="0.35">
      <c r="C5051" s="82"/>
    </row>
    <row r="5052" spans="3:3" x14ac:dyDescent="0.35">
      <c r="C5052" s="82"/>
    </row>
    <row r="5053" spans="3:3" x14ac:dyDescent="0.35">
      <c r="C5053" s="82"/>
    </row>
    <row r="5054" spans="3:3" x14ac:dyDescent="0.35">
      <c r="C5054" s="82"/>
    </row>
    <row r="5055" spans="3:3" x14ac:dyDescent="0.35">
      <c r="C5055" s="82"/>
    </row>
    <row r="5056" spans="3:3" x14ac:dyDescent="0.35">
      <c r="C5056" s="82"/>
    </row>
    <row r="5057" spans="1:7" x14ac:dyDescent="0.35">
      <c r="C5057" s="82"/>
    </row>
    <row r="5058" spans="1:7" x14ac:dyDescent="0.35">
      <c r="C5058" s="82"/>
    </row>
    <row r="5059" spans="1:7" x14ac:dyDescent="0.35">
      <c r="C5059" s="82"/>
    </row>
    <row r="5060" spans="1:7" x14ac:dyDescent="0.35">
      <c r="C5060" s="82"/>
    </row>
    <row r="5061" spans="1:7" x14ac:dyDescent="0.35">
      <c r="C5061" s="82"/>
    </row>
    <row r="5062" spans="1:7" x14ac:dyDescent="0.35">
      <c r="C5062" s="82"/>
    </row>
    <row r="5063" spans="1:7" x14ac:dyDescent="0.35">
      <c r="C5063" s="82"/>
    </row>
    <row r="5064" spans="1:7" x14ac:dyDescent="0.35">
      <c r="C5064" s="82"/>
    </row>
    <row r="5065" spans="1:7" x14ac:dyDescent="0.35">
      <c r="C5065" s="82"/>
    </row>
    <row r="5066" spans="1:7" x14ac:dyDescent="0.35">
      <c r="C5066" s="82"/>
    </row>
    <row r="5067" spans="1:7" x14ac:dyDescent="0.35">
      <c r="C5067" s="82"/>
    </row>
    <row r="5068" spans="1:7" x14ac:dyDescent="0.35">
      <c r="C5068" s="82"/>
    </row>
    <row r="5069" spans="1:7" x14ac:dyDescent="0.35">
      <c r="C5069" s="82"/>
    </row>
    <row r="5070" spans="1:7" s="84" customFormat="1" x14ac:dyDescent="0.35">
      <c r="A5070" s="77"/>
      <c r="B5070" s="64"/>
      <c r="C5070" s="82"/>
      <c r="D5070" s="64"/>
      <c r="E5070" s="96"/>
      <c r="F5070" s="64"/>
      <c r="G5070" s="70"/>
    </row>
    <row r="5071" spans="1:7" s="84" customFormat="1" x14ac:dyDescent="0.35">
      <c r="A5071" s="77"/>
      <c r="B5071" s="64"/>
      <c r="C5071" s="82"/>
      <c r="D5071" s="64"/>
      <c r="E5071" s="96"/>
      <c r="F5071" s="64"/>
      <c r="G5071" s="70"/>
    </row>
    <row r="5072" spans="1:7" s="84" customFormat="1" x14ac:dyDescent="0.35">
      <c r="A5072" s="77"/>
      <c r="B5072" s="64"/>
      <c r="C5072" s="82"/>
      <c r="D5072" s="64"/>
      <c r="E5072" s="96"/>
      <c r="F5072" s="64"/>
      <c r="G5072" s="70"/>
    </row>
    <row r="5073" spans="1:9" s="84" customFormat="1" x14ac:dyDescent="0.35">
      <c r="A5073" s="77"/>
      <c r="B5073" s="64"/>
      <c r="C5073" s="82"/>
      <c r="D5073" s="64"/>
      <c r="E5073" s="96"/>
      <c r="F5073" s="64"/>
      <c r="G5073" s="70"/>
    </row>
    <row r="5074" spans="1:9" s="84" customFormat="1" x14ac:dyDescent="0.35">
      <c r="A5074" s="77"/>
      <c r="B5074" s="64"/>
      <c r="C5074" s="87"/>
      <c r="D5074" s="86"/>
      <c r="E5074" s="96"/>
      <c r="F5074" s="64"/>
      <c r="G5074" s="70"/>
    </row>
    <row r="5075" spans="1:9" s="84" customFormat="1" x14ac:dyDescent="0.35">
      <c r="A5075" s="77"/>
      <c r="B5075" s="64"/>
      <c r="C5075" s="82"/>
      <c r="D5075" s="86"/>
      <c r="E5075" s="96"/>
      <c r="F5075" s="64"/>
      <c r="G5075" s="70"/>
    </row>
    <row r="5076" spans="1:9" s="84" customFormat="1" x14ac:dyDescent="0.35">
      <c r="A5076" s="77"/>
      <c r="B5076" s="64"/>
      <c r="C5076" s="82"/>
      <c r="D5076" s="64"/>
      <c r="E5076" s="96"/>
      <c r="F5076" s="64"/>
      <c r="G5076" s="85"/>
    </row>
    <row r="5077" spans="1:9" s="84" customFormat="1" x14ac:dyDescent="0.35">
      <c r="A5077" s="77"/>
      <c r="B5077" s="64"/>
      <c r="C5077" s="82"/>
      <c r="D5077" s="64"/>
      <c r="E5077" s="96"/>
      <c r="F5077" s="64"/>
      <c r="G5077" s="70"/>
    </row>
    <row r="5078" spans="1:9" s="84" customFormat="1" x14ac:dyDescent="0.35">
      <c r="A5078" s="77"/>
      <c r="B5078" s="64"/>
      <c r="C5078" s="82"/>
      <c r="D5078" s="64"/>
      <c r="E5078" s="96"/>
      <c r="F5078" s="64"/>
      <c r="G5078" s="70"/>
    </row>
    <row r="5079" spans="1:9" s="84" customFormat="1" x14ac:dyDescent="0.35">
      <c r="A5079" s="77"/>
      <c r="B5079" s="64"/>
      <c r="C5079" s="82"/>
      <c r="D5079" s="64"/>
      <c r="E5079" s="96"/>
      <c r="F5079" s="64"/>
      <c r="G5079" s="70"/>
    </row>
    <row r="5080" spans="1:9" s="84" customFormat="1" x14ac:dyDescent="0.35">
      <c r="A5080" s="77"/>
      <c r="B5080" s="64"/>
      <c r="C5080" s="82"/>
      <c r="D5080" s="64"/>
      <c r="E5080" s="96"/>
      <c r="F5080" s="64"/>
      <c r="G5080" s="70"/>
    </row>
    <row r="5081" spans="1:9" s="84" customFormat="1" x14ac:dyDescent="0.35">
      <c r="A5081" s="77"/>
      <c r="B5081" s="64"/>
      <c r="C5081" s="82"/>
      <c r="D5081" s="64"/>
      <c r="E5081" s="96"/>
      <c r="F5081" s="64"/>
      <c r="G5081" s="70"/>
    </row>
    <row r="5082" spans="1:9" s="84" customFormat="1" x14ac:dyDescent="0.35">
      <c r="A5082" s="77"/>
      <c r="B5082" s="64"/>
      <c r="C5082" s="82"/>
      <c r="D5082" s="64"/>
      <c r="E5082" s="96"/>
      <c r="F5082" s="64"/>
      <c r="G5082" s="70"/>
    </row>
    <row r="5083" spans="1:9" s="84" customFormat="1" x14ac:dyDescent="0.35">
      <c r="A5083" s="77"/>
      <c r="B5083" s="64"/>
      <c r="C5083" s="82"/>
      <c r="D5083" s="64"/>
      <c r="E5083" s="96"/>
      <c r="F5083" s="64"/>
      <c r="G5083" s="70"/>
    </row>
    <row r="5084" spans="1:9" s="84" customFormat="1" x14ac:dyDescent="0.35">
      <c r="A5084" s="77"/>
      <c r="B5084" s="64"/>
      <c r="C5084" s="82"/>
      <c r="D5084" s="64"/>
      <c r="E5084" s="96"/>
      <c r="F5084" s="64"/>
      <c r="G5084" s="70"/>
    </row>
    <row r="5085" spans="1:9" s="84" customFormat="1" x14ac:dyDescent="0.35">
      <c r="A5085" s="77"/>
      <c r="B5085" s="64"/>
      <c r="C5085" s="82"/>
      <c r="D5085" s="64"/>
      <c r="E5085" s="96"/>
      <c r="F5085" s="64"/>
      <c r="G5085" s="70"/>
    </row>
    <row r="5086" spans="1:9" s="83" customFormat="1" x14ac:dyDescent="0.35">
      <c r="A5086" s="77"/>
      <c r="B5086" s="64"/>
      <c r="C5086" s="82"/>
      <c r="D5086" s="64"/>
      <c r="E5086" s="96"/>
      <c r="F5086" s="64"/>
      <c r="G5086" s="70"/>
      <c r="H5086" s="84"/>
      <c r="I5086" s="84"/>
    </row>
    <row r="5087" spans="1:9" s="83" customFormat="1" x14ac:dyDescent="0.35">
      <c r="A5087" s="77"/>
      <c r="B5087" s="64"/>
      <c r="C5087" s="82"/>
      <c r="D5087" s="64"/>
      <c r="E5087" s="96"/>
      <c r="F5087" s="64"/>
      <c r="G5087" s="70"/>
      <c r="H5087" s="84"/>
      <c r="I5087" s="84"/>
    </row>
    <row r="5088" spans="1:9" s="83" customFormat="1" x14ac:dyDescent="0.35">
      <c r="A5088" s="77"/>
      <c r="B5088" s="64"/>
      <c r="C5088" s="82"/>
      <c r="D5088" s="86"/>
      <c r="E5088" s="96"/>
      <c r="F5088" s="64"/>
      <c r="G5088" s="70"/>
      <c r="H5088" s="84"/>
      <c r="I5088" s="84"/>
    </row>
    <row r="5089" spans="1:9" s="83" customFormat="1" x14ac:dyDescent="0.35">
      <c r="A5089" s="77"/>
      <c r="B5089" s="64"/>
      <c r="C5089" s="82"/>
      <c r="D5089" s="64"/>
      <c r="E5089" s="96"/>
      <c r="F5089" s="64"/>
      <c r="G5089" s="70"/>
      <c r="H5089" s="84"/>
      <c r="I5089" s="84"/>
    </row>
    <row r="5090" spans="1:9" s="83" customFormat="1" x14ac:dyDescent="0.35">
      <c r="A5090" s="77"/>
      <c r="B5090" s="64"/>
      <c r="C5090" s="82"/>
      <c r="D5090" s="64"/>
      <c r="E5090" s="96"/>
      <c r="F5090" s="64"/>
      <c r="G5090" s="70"/>
      <c r="H5090" s="84"/>
      <c r="I5090" s="84"/>
    </row>
    <row r="5091" spans="1:9" s="83" customFormat="1" x14ac:dyDescent="0.35">
      <c r="A5091" s="77"/>
      <c r="B5091" s="64"/>
      <c r="C5091" s="82"/>
      <c r="D5091" s="64"/>
      <c r="E5091" s="96"/>
      <c r="F5091" s="64"/>
      <c r="G5091" s="70"/>
      <c r="H5091" s="84"/>
      <c r="I5091" s="84"/>
    </row>
    <row r="5092" spans="1:9" s="83" customFormat="1" x14ac:dyDescent="0.35">
      <c r="A5092" s="77"/>
      <c r="B5092" s="64"/>
      <c r="C5092" s="82"/>
      <c r="D5092" s="64"/>
      <c r="E5092" s="96"/>
      <c r="F5092" s="64"/>
      <c r="G5092" s="70"/>
      <c r="H5092" s="84"/>
      <c r="I5092" s="84"/>
    </row>
    <row r="5093" spans="1:9" s="83" customFormat="1" x14ac:dyDescent="0.35">
      <c r="A5093" s="77"/>
      <c r="B5093" s="64"/>
      <c r="C5093" s="82"/>
      <c r="D5093" s="64"/>
      <c r="E5093" s="96"/>
      <c r="F5093" s="64"/>
      <c r="G5093" s="70"/>
      <c r="H5093" s="84"/>
      <c r="I5093" s="84"/>
    </row>
    <row r="5094" spans="1:9" s="83" customFormat="1" x14ac:dyDescent="0.35">
      <c r="A5094" s="77"/>
      <c r="B5094" s="64"/>
      <c r="C5094" s="82"/>
      <c r="D5094" s="64"/>
      <c r="E5094" s="96"/>
      <c r="F5094" s="64"/>
      <c r="G5094" s="70"/>
      <c r="H5094" s="84"/>
      <c r="I5094" s="84"/>
    </row>
    <row r="5095" spans="1:9" s="83" customFormat="1" x14ac:dyDescent="0.35">
      <c r="A5095" s="77"/>
      <c r="B5095" s="64"/>
      <c r="C5095" s="82"/>
      <c r="D5095" s="64"/>
      <c r="E5095" s="96"/>
      <c r="F5095" s="64"/>
      <c r="G5095" s="70"/>
      <c r="H5095" s="84"/>
      <c r="I5095" s="84"/>
    </row>
    <row r="5096" spans="1:9" s="83" customFormat="1" x14ac:dyDescent="0.35">
      <c r="A5096" s="77"/>
      <c r="B5096" s="64"/>
      <c r="C5096" s="82"/>
      <c r="D5096" s="64"/>
      <c r="E5096" s="96"/>
      <c r="F5096" s="64"/>
      <c r="G5096" s="70"/>
      <c r="H5096" s="84"/>
      <c r="I5096" s="84"/>
    </row>
    <row r="5097" spans="1:9" s="83" customFormat="1" x14ac:dyDescent="0.35">
      <c r="A5097" s="77"/>
      <c r="B5097" s="64"/>
      <c r="C5097" s="82"/>
      <c r="D5097" s="64"/>
      <c r="E5097" s="96"/>
      <c r="F5097" s="64"/>
      <c r="G5097" s="70"/>
      <c r="H5097" s="84"/>
      <c r="I5097" s="84"/>
    </row>
    <row r="5098" spans="1:9" s="83" customFormat="1" x14ac:dyDescent="0.35">
      <c r="A5098" s="77"/>
      <c r="B5098" s="64"/>
      <c r="C5098" s="82"/>
      <c r="D5098" s="64"/>
      <c r="E5098" s="96"/>
      <c r="F5098" s="64"/>
      <c r="G5098" s="70"/>
      <c r="H5098" s="84"/>
      <c r="I5098" s="84"/>
    </row>
    <row r="5099" spans="1:9" s="83" customFormat="1" x14ac:dyDescent="0.35">
      <c r="A5099" s="77"/>
      <c r="B5099" s="64"/>
      <c r="C5099" s="82"/>
      <c r="D5099" s="64"/>
      <c r="E5099" s="96"/>
      <c r="F5099" s="64"/>
      <c r="G5099" s="70"/>
      <c r="H5099" s="84"/>
      <c r="I5099" s="84"/>
    </row>
    <row r="5100" spans="1:9" s="83" customFormat="1" x14ac:dyDescent="0.35">
      <c r="A5100" s="77"/>
      <c r="B5100" s="64"/>
      <c r="C5100" s="82"/>
      <c r="D5100" s="64"/>
      <c r="E5100" s="96"/>
      <c r="F5100" s="64"/>
      <c r="G5100" s="70"/>
      <c r="H5100" s="84"/>
      <c r="I5100" s="84"/>
    </row>
    <row r="5101" spans="1:9" s="83" customFormat="1" x14ac:dyDescent="0.35">
      <c r="A5101" s="77"/>
      <c r="B5101" s="64"/>
      <c r="C5101" s="82"/>
      <c r="D5101" s="64"/>
      <c r="E5101" s="96"/>
      <c r="F5101" s="64"/>
      <c r="G5101" s="70"/>
      <c r="H5101" s="84"/>
      <c r="I5101" s="84"/>
    </row>
    <row r="5102" spans="1:9" s="83" customFormat="1" x14ac:dyDescent="0.35">
      <c r="A5102" s="77"/>
      <c r="B5102" s="64"/>
      <c r="C5102" s="82"/>
      <c r="D5102" s="64"/>
      <c r="E5102" s="96"/>
      <c r="F5102" s="64"/>
      <c r="G5102" s="70"/>
      <c r="H5102" s="84"/>
      <c r="I5102" s="84"/>
    </row>
    <row r="5103" spans="1:9" s="83" customFormat="1" x14ac:dyDescent="0.35">
      <c r="A5103" s="77"/>
      <c r="B5103" s="64"/>
      <c r="C5103" s="82"/>
      <c r="D5103" s="64"/>
      <c r="E5103" s="96"/>
      <c r="F5103" s="64"/>
      <c r="G5103" s="70"/>
      <c r="H5103" s="84"/>
      <c r="I5103" s="84"/>
    </row>
    <row r="5104" spans="1:9" s="83" customFormat="1" x14ac:dyDescent="0.35">
      <c r="A5104" s="77"/>
      <c r="B5104" s="64"/>
      <c r="C5104" s="82"/>
      <c r="D5104" s="64"/>
      <c r="E5104" s="96"/>
      <c r="F5104" s="64"/>
      <c r="G5104" s="70"/>
      <c r="H5104" s="84"/>
      <c r="I5104" s="84"/>
    </row>
    <row r="5105" spans="1:9" s="83" customFormat="1" x14ac:dyDescent="0.35">
      <c r="A5105" s="77"/>
      <c r="B5105" s="64"/>
      <c r="C5105" s="82"/>
      <c r="D5105" s="64"/>
      <c r="E5105" s="96"/>
      <c r="F5105" s="64"/>
      <c r="G5105" s="70"/>
      <c r="H5105" s="84"/>
      <c r="I5105" s="84"/>
    </row>
    <row r="5106" spans="1:9" s="83" customFormat="1" x14ac:dyDescent="0.35">
      <c r="A5106" s="77"/>
      <c r="B5106" s="64"/>
      <c r="C5106" s="82"/>
      <c r="D5106" s="86"/>
      <c r="E5106" s="96"/>
      <c r="F5106" s="64"/>
      <c r="G5106" s="70"/>
      <c r="H5106" s="84"/>
      <c r="I5106" s="84"/>
    </row>
    <row r="5107" spans="1:9" s="83" customFormat="1" x14ac:dyDescent="0.35">
      <c r="A5107" s="77"/>
      <c r="B5107" s="64"/>
      <c r="C5107" s="82"/>
      <c r="D5107" s="64"/>
      <c r="E5107" s="96"/>
      <c r="F5107" s="64"/>
      <c r="G5107" s="70"/>
      <c r="H5107" s="84"/>
      <c r="I5107" s="84"/>
    </row>
    <row r="5108" spans="1:9" s="83" customFormat="1" x14ac:dyDescent="0.35">
      <c r="A5108" s="77"/>
      <c r="B5108" s="64"/>
      <c r="C5108" s="82"/>
      <c r="D5108" s="64"/>
      <c r="E5108" s="96"/>
      <c r="F5108" s="64"/>
      <c r="G5108" s="70"/>
      <c r="H5108" s="84"/>
      <c r="I5108" s="84"/>
    </row>
    <row r="5109" spans="1:9" s="83" customFormat="1" x14ac:dyDescent="0.35">
      <c r="A5109" s="77"/>
      <c r="B5109" s="64"/>
      <c r="C5109" s="82"/>
      <c r="D5109" s="64"/>
      <c r="E5109" s="96"/>
      <c r="F5109" s="64"/>
      <c r="G5109" s="70"/>
      <c r="H5109" s="84"/>
      <c r="I5109" s="84"/>
    </row>
    <row r="5110" spans="1:9" s="83" customFormat="1" x14ac:dyDescent="0.35">
      <c r="A5110" s="77"/>
      <c r="B5110" s="64"/>
      <c r="C5110" s="82"/>
      <c r="D5110" s="64"/>
      <c r="E5110" s="96"/>
      <c r="F5110" s="64"/>
      <c r="G5110" s="70"/>
      <c r="H5110" s="84"/>
      <c r="I5110" s="84"/>
    </row>
    <row r="5111" spans="1:9" s="83" customFormat="1" x14ac:dyDescent="0.35">
      <c r="A5111" s="77"/>
      <c r="B5111" s="64"/>
      <c r="C5111" s="82"/>
      <c r="D5111" s="64"/>
      <c r="E5111" s="96"/>
      <c r="F5111" s="64"/>
      <c r="G5111" s="70"/>
      <c r="H5111" s="84"/>
      <c r="I5111" s="84"/>
    </row>
    <row r="5112" spans="1:9" s="83" customFormat="1" x14ac:dyDescent="0.35">
      <c r="A5112" s="77"/>
      <c r="B5112" s="64"/>
      <c r="C5112" s="82"/>
      <c r="D5112" s="64"/>
      <c r="E5112" s="96"/>
      <c r="F5112" s="64"/>
      <c r="G5112" s="70"/>
      <c r="H5112" s="84"/>
      <c r="I5112" s="84"/>
    </row>
    <row r="5113" spans="1:9" s="83" customFormat="1" x14ac:dyDescent="0.35">
      <c r="A5113" s="77"/>
      <c r="B5113" s="64"/>
      <c r="C5113" s="82"/>
      <c r="D5113" s="64"/>
      <c r="E5113" s="96"/>
      <c r="F5113" s="64"/>
      <c r="G5113" s="70"/>
      <c r="H5113" s="84"/>
      <c r="I5113" s="84"/>
    </row>
    <row r="5114" spans="1:9" s="83" customFormat="1" x14ac:dyDescent="0.35">
      <c r="A5114" s="77"/>
      <c r="B5114" s="64"/>
      <c r="C5114" s="82"/>
      <c r="D5114" s="64"/>
      <c r="E5114" s="96"/>
      <c r="F5114" s="64"/>
      <c r="G5114" s="70"/>
      <c r="H5114" s="84"/>
      <c r="I5114" s="84"/>
    </row>
    <row r="5115" spans="1:9" s="83" customFormat="1" x14ac:dyDescent="0.35">
      <c r="A5115" s="77"/>
      <c r="B5115" s="64"/>
      <c r="C5115" s="82"/>
      <c r="D5115" s="64"/>
      <c r="E5115" s="96"/>
      <c r="F5115" s="64"/>
      <c r="G5115" s="70"/>
      <c r="H5115" s="84"/>
      <c r="I5115" s="84"/>
    </row>
    <row r="5116" spans="1:9" s="83" customFormat="1" x14ac:dyDescent="0.35">
      <c r="A5116" s="77"/>
      <c r="B5116" s="64"/>
      <c r="C5116" s="87"/>
      <c r="D5116" s="86"/>
      <c r="E5116" s="96"/>
      <c r="F5116" s="64"/>
      <c r="G5116" s="70"/>
      <c r="H5116" s="84"/>
      <c r="I5116" s="84"/>
    </row>
    <row r="5117" spans="1:9" s="83" customFormat="1" x14ac:dyDescent="0.35">
      <c r="A5117" s="77"/>
      <c r="B5117" s="64"/>
      <c r="C5117" s="82"/>
      <c r="D5117" s="86"/>
      <c r="E5117" s="96"/>
      <c r="F5117" s="64"/>
      <c r="G5117" s="70"/>
      <c r="H5117" s="84"/>
      <c r="I5117" s="84"/>
    </row>
    <row r="5118" spans="1:9" x14ac:dyDescent="0.35">
      <c r="C5118" s="82"/>
    </row>
    <row r="5119" spans="1:9" x14ac:dyDescent="0.35">
      <c r="C5119" s="82"/>
    </row>
    <row r="5120" spans="1:9" x14ac:dyDescent="0.35">
      <c r="C5120" s="82"/>
    </row>
    <row r="5121" spans="3:3" x14ac:dyDescent="0.35">
      <c r="C5121" s="82"/>
    </row>
    <row r="5122" spans="3:3" x14ac:dyDescent="0.35">
      <c r="C5122" s="82"/>
    </row>
    <row r="5123" spans="3:3" x14ac:dyDescent="0.35">
      <c r="C5123" s="82"/>
    </row>
    <row r="5124" spans="3:3" x14ac:dyDescent="0.35">
      <c r="C5124" s="82"/>
    </row>
    <row r="5125" spans="3:3" x14ac:dyDescent="0.35">
      <c r="C5125" s="82"/>
    </row>
    <row r="5126" spans="3:3" x14ac:dyDescent="0.35">
      <c r="C5126" s="82"/>
    </row>
    <row r="5127" spans="3:3" x14ac:dyDescent="0.35">
      <c r="C5127" s="82"/>
    </row>
    <row r="5128" spans="3:3" x14ac:dyDescent="0.35">
      <c r="C5128" s="82"/>
    </row>
    <row r="5129" spans="3:3" x14ac:dyDescent="0.35">
      <c r="C5129" s="82"/>
    </row>
    <row r="5130" spans="3:3" x14ac:dyDescent="0.35">
      <c r="C5130" s="82"/>
    </row>
    <row r="5131" spans="3:3" x14ac:dyDescent="0.35">
      <c r="C5131" s="82"/>
    </row>
    <row r="5132" spans="3:3" x14ac:dyDescent="0.35">
      <c r="C5132" s="82"/>
    </row>
    <row r="5133" spans="3:3" x14ac:dyDescent="0.35">
      <c r="C5133" s="82"/>
    </row>
    <row r="5134" spans="3:3" x14ac:dyDescent="0.35">
      <c r="C5134" s="82"/>
    </row>
    <row r="5135" spans="3:3" x14ac:dyDescent="0.35">
      <c r="C5135" s="82"/>
    </row>
    <row r="5136" spans="3:3" x14ac:dyDescent="0.35">
      <c r="C5136" s="82"/>
    </row>
    <row r="5137" spans="3:3" x14ac:dyDescent="0.35">
      <c r="C5137" s="82"/>
    </row>
    <row r="5138" spans="3:3" x14ac:dyDescent="0.35">
      <c r="C5138" s="82"/>
    </row>
    <row r="5139" spans="3:3" x14ac:dyDescent="0.35">
      <c r="C5139" s="82"/>
    </row>
    <row r="5140" spans="3:3" x14ac:dyDescent="0.35">
      <c r="C5140" s="82"/>
    </row>
    <row r="5141" spans="3:3" x14ac:dyDescent="0.35">
      <c r="C5141" s="82"/>
    </row>
    <row r="5142" spans="3:3" x14ac:dyDescent="0.35">
      <c r="C5142" s="82"/>
    </row>
    <row r="5143" spans="3:3" x14ac:dyDescent="0.35">
      <c r="C5143" s="82"/>
    </row>
    <row r="5144" spans="3:3" x14ac:dyDescent="0.35">
      <c r="C5144" s="82"/>
    </row>
    <row r="5145" spans="3:3" x14ac:dyDescent="0.35">
      <c r="C5145" s="82"/>
    </row>
    <row r="5146" spans="3:3" x14ac:dyDescent="0.35">
      <c r="C5146" s="82"/>
    </row>
    <row r="5147" spans="3:3" x14ac:dyDescent="0.35">
      <c r="C5147" s="82"/>
    </row>
    <row r="5148" spans="3:3" x14ac:dyDescent="0.35">
      <c r="C5148" s="82"/>
    </row>
    <row r="5149" spans="3:3" x14ac:dyDescent="0.35">
      <c r="C5149" s="82"/>
    </row>
    <row r="5150" spans="3:3" x14ac:dyDescent="0.35">
      <c r="C5150" s="82"/>
    </row>
    <row r="5151" spans="3:3" x14ac:dyDescent="0.35">
      <c r="C5151" s="82"/>
    </row>
    <row r="5152" spans="3:3" x14ac:dyDescent="0.35">
      <c r="C5152" s="82"/>
    </row>
    <row r="5153" spans="1:9" x14ac:dyDescent="0.35">
      <c r="C5153" s="82"/>
    </row>
    <row r="5154" spans="1:9" x14ac:dyDescent="0.35">
      <c r="C5154" s="82"/>
    </row>
    <row r="5155" spans="1:9" x14ac:dyDescent="0.35">
      <c r="C5155" s="82"/>
    </row>
    <row r="5156" spans="1:9" x14ac:dyDescent="0.35">
      <c r="C5156" s="82"/>
    </row>
    <row r="5157" spans="1:9" x14ac:dyDescent="0.35">
      <c r="C5157" s="82"/>
    </row>
    <row r="5158" spans="1:9" x14ac:dyDescent="0.35">
      <c r="C5158" s="82"/>
    </row>
    <row r="5159" spans="1:9" x14ac:dyDescent="0.35">
      <c r="C5159" s="82"/>
    </row>
    <row r="5160" spans="1:9" x14ac:dyDescent="0.35">
      <c r="C5160" s="82"/>
    </row>
    <row r="5161" spans="1:9" x14ac:dyDescent="0.35">
      <c r="C5161" s="82"/>
    </row>
    <row r="5162" spans="1:9" x14ac:dyDescent="0.35">
      <c r="C5162" s="82"/>
    </row>
    <row r="5163" spans="1:9" x14ac:dyDescent="0.35">
      <c r="C5163" s="82"/>
    </row>
    <row r="5164" spans="1:9" x14ac:dyDescent="0.35">
      <c r="C5164" s="82"/>
    </row>
    <row r="5165" spans="1:9" x14ac:dyDescent="0.35">
      <c r="C5165" s="82"/>
    </row>
    <row r="5166" spans="1:9" s="83" customFormat="1" x14ac:dyDescent="0.35">
      <c r="A5166" s="77"/>
      <c r="B5166" s="64"/>
      <c r="C5166" s="82"/>
      <c r="D5166" s="64"/>
      <c r="E5166" s="96"/>
      <c r="F5166" s="64"/>
      <c r="G5166" s="70"/>
      <c r="H5166" s="84"/>
      <c r="I5166" s="84"/>
    </row>
    <row r="5167" spans="1:9" s="83" customFormat="1" x14ac:dyDescent="0.35">
      <c r="A5167" s="77"/>
      <c r="B5167" s="64"/>
      <c r="C5167" s="82"/>
      <c r="D5167" s="64"/>
      <c r="E5167" s="96"/>
      <c r="F5167" s="64"/>
      <c r="G5167" s="70"/>
      <c r="H5167" s="84"/>
      <c r="I5167" s="84"/>
    </row>
    <row r="5168" spans="1:9" s="83" customFormat="1" x14ac:dyDescent="0.35">
      <c r="A5168" s="77"/>
      <c r="B5168" s="64"/>
      <c r="C5168" s="82"/>
      <c r="D5168" s="86"/>
      <c r="E5168" s="96"/>
      <c r="F5168" s="64"/>
      <c r="G5168" s="70"/>
      <c r="H5168" s="84"/>
      <c r="I5168" s="84"/>
    </row>
    <row r="5169" spans="1:9" s="83" customFormat="1" x14ac:dyDescent="0.35">
      <c r="A5169" s="77"/>
      <c r="B5169" s="64"/>
      <c r="C5169" s="82"/>
      <c r="D5169" s="86"/>
      <c r="E5169" s="96"/>
      <c r="F5169" s="64"/>
      <c r="G5169" s="70"/>
      <c r="H5169" s="84"/>
      <c r="I5169" s="84"/>
    </row>
    <row r="5170" spans="1:9" s="83" customFormat="1" x14ac:dyDescent="0.35">
      <c r="A5170" s="77"/>
      <c r="B5170" s="64"/>
      <c r="C5170" s="82"/>
      <c r="D5170" s="86"/>
      <c r="E5170" s="96"/>
      <c r="F5170" s="64"/>
      <c r="G5170" s="70"/>
      <c r="H5170" s="84"/>
      <c r="I5170" s="84"/>
    </row>
    <row r="5171" spans="1:9" s="83" customFormat="1" x14ac:dyDescent="0.35">
      <c r="A5171" s="77"/>
      <c r="B5171" s="64"/>
      <c r="C5171" s="82"/>
      <c r="D5171" s="64"/>
      <c r="E5171" s="96"/>
      <c r="F5171" s="64"/>
      <c r="G5171" s="70"/>
      <c r="H5171" s="84"/>
      <c r="I5171" s="84"/>
    </row>
    <row r="5172" spans="1:9" s="83" customFormat="1" x14ac:dyDescent="0.35">
      <c r="A5172" s="77"/>
      <c r="B5172" s="64"/>
      <c r="C5172" s="82"/>
      <c r="D5172" s="64"/>
      <c r="E5172" s="96"/>
      <c r="F5172" s="64"/>
      <c r="G5172" s="70"/>
      <c r="H5172" s="84"/>
      <c r="I5172" s="84"/>
    </row>
    <row r="5173" spans="1:9" s="83" customFormat="1" x14ac:dyDescent="0.35">
      <c r="A5173" s="77"/>
      <c r="B5173" s="64"/>
      <c r="C5173" s="82"/>
      <c r="D5173" s="64"/>
      <c r="E5173" s="96"/>
      <c r="F5173" s="64"/>
      <c r="G5173" s="70"/>
      <c r="H5173" s="84"/>
      <c r="I5173" s="84"/>
    </row>
    <row r="5174" spans="1:9" s="83" customFormat="1" x14ac:dyDescent="0.35">
      <c r="A5174" s="77"/>
      <c r="B5174" s="64"/>
      <c r="C5174" s="82"/>
      <c r="D5174" s="64"/>
      <c r="E5174" s="96"/>
      <c r="F5174" s="64"/>
      <c r="G5174" s="70"/>
      <c r="H5174" s="84"/>
      <c r="I5174" s="84"/>
    </row>
    <row r="5175" spans="1:9" s="83" customFormat="1" x14ac:dyDescent="0.35">
      <c r="A5175" s="77"/>
      <c r="B5175" s="64"/>
      <c r="C5175" s="82"/>
      <c r="D5175" s="64"/>
      <c r="E5175" s="96"/>
      <c r="F5175" s="64"/>
      <c r="G5175" s="70"/>
      <c r="H5175" s="84"/>
      <c r="I5175" s="84"/>
    </row>
    <row r="5176" spans="1:9" s="83" customFormat="1" x14ac:dyDescent="0.35">
      <c r="A5176" s="77"/>
      <c r="B5176" s="64"/>
      <c r="C5176" s="82"/>
      <c r="D5176" s="64"/>
      <c r="E5176" s="96"/>
      <c r="F5176" s="64"/>
      <c r="G5176" s="70"/>
      <c r="H5176" s="84"/>
      <c r="I5176" s="84"/>
    </row>
    <row r="5177" spans="1:9" s="83" customFormat="1" x14ac:dyDescent="0.35">
      <c r="A5177" s="77"/>
      <c r="B5177" s="64"/>
      <c r="C5177" s="82"/>
      <c r="D5177" s="64"/>
      <c r="E5177" s="96"/>
      <c r="F5177" s="64"/>
      <c r="G5177" s="70"/>
      <c r="H5177" s="84"/>
      <c r="I5177" s="84"/>
    </row>
    <row r="5178" spans="1:9" s="83" customFormat="1" x14ac:dyDescent="0.35">
      <c r="A5178" s="77"/>
      <c r="B5178" s="64"/>
      <c r="C5178" s="82"/>
      <c r="D5178" s="64"/>
      <c r="E5178" s="96"/>
      <c r="F5178" s="64"/>
      <c r="G5178" s="70"/>
      <c r="H5178" s="84"/>
      <c r="I5178" s="84"/>
    </row>
    <row r="5179" spans="1:9" s="83" customFormat="1" x14ac:dyDescent="0.35">
      <c r="A5179" s="77"/>
      <c r="B5179" s="64"/>
      <c r="C5179" s="82"/>
      <c r="D5179" s="64"/>
      <c r="E5179" s="96"/>
      <c r="F5179" s="64"/>
      <c r="G5179" s="70"/>
      <c r="H5179" s="84"/>
      <c r="I5179" s="84"/>
    </row>
    <row r="5180" spans="1:9" s="83" customFormat="1" x14ac:dyDescent="0.35">
      <c r="A5180" s="77"/>
      <c r="B5180" s="64"/>
      <c r="C5180" s="82"/>
      <c r="D5180" s="64"/>
      <c r="E5180" s="96"/>
      <c r="F5180" s="64"/>
      <c r="G5180" s="70"/>
      <c r="H5180" s="84"/>
      <c r="I5180" s="84"/>
    </row>
    <row r="5181" spans="1:9" s="83" customFormat="1" x14ac:dyDescent="0.35">
      <c r="A5181" s="77"/>
      <c r="B5181" s="64"/>
      <c r="C5181" s="82"/>
      <c r="D5181" s="64"/>
      <c r="E5181" s="96"/>
      <c r="F5181" s="64"/>
      <c r="G5181" s="70"/>
      <c r="H5181" s="84"/>
      <c r="I5181" s="84"/>
    </row>
    <row r="5182" spans="1:9" x14ac:dyDescent="0.35">
      <c r="C5182" s="82"/>
    </row>
    <row r="5183" spans="1:9" x14ac:dyDescent="0.35">
      <c r="C5183" s="82"/>
    </row>
    <row r="5184" spans="1:9" x14ac:dyDescent="0.35">
      <c r="C5184" s="82"/>
    </row>
    <row r="5185" spans="3:3" x14ac:dyDescent="0.35">
      <c r="C5185" s="82"/>
    </row>
    <row r="5186" spans="3:3" x14ac:dyDescent="0.35">
      <c r="C5186" s="82"/>
    </row>
    <row r="5187" spans="3:3" x14ac:dyDescent="0.35">
      <c r="C5187" s="82"/>
    </row>
    <row r="5188" spans="3:3" x14ac:dyDescent="0.35">
      <c r="C5188" s="82"/>
    </row>
    <row r="5189" spans="3:3" x14ac:dyDescent="0.35">
      <c r="C5189" s="82"/>
    </row>
    <row r="5190" spans="3:3" x14ac:dyDescent="0.35">
      <c r="C5190" s="82"/>
    </row>
    <row r="5191" spans="3:3" x14ac:dyDescent="0.35">
      <c r="C5191" s="82"/>
    </row>
    <row r="5192" spans="3:3" x14ac:dyDescent="0.35">
      <c r="C5192" s="82"/>
    </row>
    <row r="5193" spans="3:3" x14ac:dyDescent="0.35">
      <c r="C5193" s="82"/>
    </row>
    <row r="5194" spans="3:3" x14ac:dyDescent="0.35">
      <c r="C5194" s="82"/>
    </row>
    <row r="5195" spans="3:3" x14ac:dyDescent="0.35">
      <c r="C5195" s="82"/>
    </row>
    <row r="5196" spans="3:3" x14ac:dyDescent="0.35">
      <c r="C5196" s="82"/>
    </row>
    <row r="5197" spans="3:3" x14ac:dyDescent="0.35">
      <c r="C5197" s="82"/>
    </row>
    <row r="5198" spans="3:3" x14ac:dyDescent="0.35">
      <c r="C5198" s="82"/>
    </row>
    <row r="5199" spans="3:3" x14ac:dyDescent="0.35">
      <c r="C5199" s="82"/>
    </row>
    <row r="5200" spans="3:3" x14ac:dyDescent="0.35">
      <c r="C5200" s="82"/>
    </row>
    <row r="5201" spans="3:3" x14ac:dyDescent="0.35">
      <c r="C5201" s="82"/>
    </row>
    <row r="5202" spans="3:3" x14ac:dyDescent="0.35">
      <c r="C5202" s="82"/>
    </row>
    <row r="5203" spans="3:3" x14ac:dyDescent="0.35">
      <c r="C5203" s="82"/>
    </row>
    <row r="5204" spans="3:3" x14ac:dyDescent="0.35">
      <c r="C5204" s="82"/>
    </row>
    <row r="5205" spans="3:3" x14ac:dyDescent="0.35">
      <c r="C5205" s="82"/>
    </row>
    <row r="5206" spans="3:3" x14ac:dyDescent="0.35">
      <c r="C5206" s="82"/>
    </row>
    <row r="5207" spans="3:3" x14ac:dyDescent="0.35">
      <c r="C5207" s="82"/>
    </row>
    <row r="5208" spans="3:3" x14ac:dyDescent="0.35">
      <c r="C5208" s="82"/>
    </row>
    <row r="5209" spans="3:3" x14ac:dyDescent="0.35">
      <c r="C5209" s="82"/>
    </row>
    <row r="5210" spans="3:3" x14ac:dyDescent="0.35">
      <c r="C5210" s="82"/>
    </row>
    <row r="5211" spans="3:3" x14ac:dyDescent="0.35">
      <c r="C5211" s="82"/>
    </row>
    <row r="5212" spans="3:3" x14ac:dyDescent="0.35">
      <c r="C5212" s="82"/>
    </row>
    <row r="5213" spans="3:3" x14ac:dyDescent="0.35">
      <c r="C5213" s="82"/>
    </row>
    <row r="5214" spans="3:3" x14ac:dyDescent="0.35">
      <c r="C5214" s="82"/>
    </row>
    <row r="5215" spans="3:3" x14ac:dyDescent="0.35">
      <c r="C5215" s="82"/>
    </row>
    <row r="5216" spans="3:3" x14ac:dyDescent="0.35">
      <c r="C5216" s="82"/>
    </row>
    <row r="5217" spans="3:3" x14ac:dyDescent="0.35">
      <c r="C5217" s="82"/>
    </row>
    <row r="5218" spans="3:3" x14ac:dyDescent="0.35">
      <c r="C5218" s="82"/>
    </row>
    <row r="5219" spans="3:3" x14ac:dyDescent="0.35">
      <c r="C5219" s="82"/>
    </row>
    <row r="5220" spans="3:3" x14ac:dyDescent="0.35">
      <c r="C5220" s="82"/>
    </row>
    <row r="5221" spans="3:3" x14ac:dyDescent="0.35">
      <c r="C5221" s="82"/>
    </row>
    <row r="5222" spans="3:3" x14ac:dyDescent="0.35">
      <c r="C5222" s="82"/>
    </row>
    <row r="5223" spans="3:3" x14ac:dyDescent="0.35">
      <c r="C5223" s="82"/>
    </row>
    <row r="5224" spans="3:3" x14ac:dyDescent="0.35">
      <c r="C5224" s="82"/>
    </row>
    <row r="5225" spans="3:3" x14ac:dyDescent="0.35">
      <c r="C5225" s="82"/>
    </row>
    <row r="5226" spans="3:3" x14ac:dyDescent="0.35">
      <c r="C5226" s="82"/>
    </row>
    <row r="5227" spans="3:3" x14ac:dyDescent="0.35">
      <c r="C5227" s="82"/>
    </row>
    <row r="5228" spans="3:3" x14ac:dyDescent="0.35">
      <c r="C5228" s="82"/>
    </row>
    <row r="5229" spans="3:3" x14ac:dyDescent="0.35">
      <c r="C5229" s="82"/>
    </row>
    <row r="5230" spans="3:3" x14ac:dyDescent="0.35">
      <c r="C5230" s="82"/>
    </row>
    <row r="5231" spans="3:3" x14ac:dyDescent="0.35">
      <c r="C5231" s="82"/>
    </row>
    <row r="5232" spans="3:3" x14ac:dyDescent="0.35">
      <c r="C5232" s="82"/>
    </row>
    <row r="5233" spans="3:3" x14ac:dyDescent="0.35">
      <c r="C5233" s="82"/>
    </row>
    <row r="5234" spans="3:3" x14ac:dyDescent="0.35">
      <c r="C5234" s="82"/>
    </row>
    <row r="5235" spans="3:3" x14ac:dyDescent="0.35">
      <c r="C5235" s="82"/>
    </row>
    <row r="5236" spans="3:3" x14ac:dyDescent="0.35">
      <c r="C5236" s="82"/>
    </row>
    <row r="5237" spans="3:3" x14ac:dyDescent="0.35">
      <c r="C5237" s="82"/>
    </row>
    <row r="5238" spans="3:3" x14ac:dyDescent="0.35">
      <c r="C5238" s="82"/>
    </row>
    <row r="5239" spans="3:3" x14ac:dyDescent="0.35">
      <c r="C5239" s="82"/>
    </row>
    <row r="5240" spans="3:3" x14ac:dyDescent="0.35">
      <c r="C5240" s="82"/>
    </row>
    <row r="5241" spans="3:3" x14ac:dyDescent="0.35">
      <c r="C5241" s="82"/>
    </row>
    <row r="5242" spans="3:3" x14ac:dyDescent="0.35">
      <c r="C5242" s="82"/>
    </row>
    <row r="5243" spans="3:3" x14ac:dyDescent="0.35">
      <c r="C5243" s="82"/>
    </row>
    <row r="5244" spans="3:3" x14ac:dyDescent="0.35">
      <c r="C5244" s="82"/>
    </row>
    <row r="5245" spans="3:3" x14ac:dyDescent="0.35">
      <c r="C5245" s="82"/>
    </row>
    <row r="5246" spans="3:3" x14ac:dyDescent="0.35">
      <c r="C5246" s="82"/>
    </row>
    <row r="5247" spans="3:3" x14ac:dyDescent="0.35">
      <c r="C5247" s="82"/>
    </row>
    <row r="5248" spans="3:3" x14ac:dyDescent="0.35">
      <c r="C5248" s="82"/>
    </row>
    <row r="5249" spans="3:3" x14ac:dyDescent="0.35">
      <c r="C5249" s="82"/>
    </row>
    <row r="5250" spans="3:3" x14ac:dyDescent="0.35">
      <c r="C5250" s="82"/>
    </row>
    <row r="5251" spans="3:3" x14ac:dyDescent="0.35">
      <c r="C5251" s="82"/>
    </row>
    <row r="5252" spans="3:3" x14ac:dyDescent="0.35">
      <c r="C5252" s="82"/>
    </row>
    <row r="5253" spans="3:3" x14ac:dyDescent="0.35">
      <c r="C5253" s="82"/>
    </row>
    <row r="5254" spans="3:3" x14ac:dyDescent="0.35">
      <c r="C5254" s="82"/>
    </row>
    <row r="5255" spans="3:3" x14ac:dyDescent="0.35">
      <c r="C5255" s="82"/>
    </row>
    <row r="5256" spans="3:3" x14ac:dyDescent="0.35">
      <c r="C5256" s="82"/>
    </row>
    <row r="5257" spans="3:3" x14ac:dyDescent="0.35">
      <c r="C5257" s="82"/>
    </row>
    <row r="5258" spans="3:3" x14ac:dyDescent="0.35">
      <c r="C5258" s="82"/>
    </row>
    <row r="5259" spans="3:3" x14ac:dyDescent="0.35">
      <c r="C5259" s="82"/>
    </row>
    <row r="5260" spans="3:3" x14ac:dyDescent="0.35">
      <c r="C5260" s="82"/>
    </row>
    <row r="5261" spans="3:3" x14ac:dyDescent="0.35">
      <c r="C5261" s="82"/>
    </row>
    <row r="5262" spans="3:3" x14ac:dyDescent="0.35">
      <c r="C5262" s="82"/>
    </row>
    <row r="5263" spans="3:3" x14ac:dyDescent="0.35">
      <c r="C5263" s="82"/>
    </row>
    <row r="5264" spans="3:3" x14ac:dyDescent="0.35">
      <c r="C5264" s="82"/>
    </row>
    <row r="5265" spans="3:3" x14ac:dyDescent="0.35">
      <c r="C5265" s="82"/>
    </row>
    <row r="5266" spans="3:3" x14ac:dyDescent="0.35">
      <c r="C5266" s="82"/>
    </row>
    <row r="5267" spans="3:3" x14ac:dyDescent="0.35">
      <c r="C5267" s="82"/>
    </row>
    <row r="5268" spans="3:3" x14ac:dyDescent="0.35">
      <c r="C5268" s="82"/>
    </row>
    <row r="5269" spans="3:3" x14ac:dyDescent="0.35">
      <c r="C5269" s="82"/>
    </row>
    <row r="5270" spans="3:3" x14ac:dyDescent="0.35">
      <c r="C5270" s="82"/>
    </row>
    <row r="5271" spans="3:3" x14ac:dyDescent="0.35">
      <c r="C5271" s="82"/>
    </row>
    <row r="5272" spans="3:3" x14ac:dyDescent="0.35">
      <c r="C5272" s="82"/>
    </row>
    <row r="5273" spans="3:3" x14ac:dyDescent="0.35">
      <c r="C5273" s="82"/>
    </row>
    <row r="5274" spans="3:3" x14ac:dyDescent="0.35">
      <c r="C5274" s="82"/>
    </row>
    <row r="5275" spans="3:3" x14ac:dyDescent="0.35">
      <c r="C5275" s="82"/>
    </row>
    <row r="5276" spans="3:3" x14ac:dyDescent="0.35">
      <c r="C5276" s="82"/>
    </row>
    <row r="5277" spans="3:3" x14ac:dyDescent="0.35">
      <c r="C5277" s="82"/>
    </row>
    <row r="5278" spans="3:3" x14ac:dyDescent="0.35">
      <c r="C5278" s="82"/>
    </row>
    <row r="5279" spans="3:3" x14ac:dyDescent="0.35">
      <c r="C5279" s="82"/>
    </row>
    <row r="5280" spans="3:3" x14ac:dyDescent="0.35">
      <c r="C5280" s="82"/>
    </row>
    <row r="5281" spans="3:3" x14ac:dyDescent="0.35">
      <c r="C5281" s="82"/>
    </row>
    <row r="5282" spans="3:3" x14ac:dyDescent="0.35">
      <c r="C5282" s="82"/>
    </row>
    <row r="5283" spans="3:3" x14ac:dyDescent="0.35">
      <c r="C5283" s="82"/>
    </row>
    <row r="5284" spans="3:3" x14ac:dyDescent="0.35">
      <c r="C5284" s="82"/>
    </row>
    <row r="5285" spans="3:3" x14ac:dyDescent="0.35">
      <c r="C5285" s="82"/>
    </row>
    <row r="5286" spans="3:3" x14ac:dyDescent="0.35">
      <c r="C5286" s="82"/>
    </row>
    <row r="5287" spans="3:3" x14ac:dyDescent="0.35">
      <c r="C5287" s="82"/>
    </row>
    <row r="5288" spans="3:3" x14ac:dyDescent="0.35">
      <c r="C5288" s="82"/>
    </row>
    <row r="5289" spans="3:3" x14ac:dyDescent="0.35">
      <c r="C5289" s="82"/>
    </row>
    <row r="5290" spans="3:3" x14ac:dyDescent="0.35">
      <c r="C5290" s="82"/>
    </row>
    <row r="5291" spans="3:3" x14ac:dyDescent="0.35">
      <c r="C5291" s="82"/>
    </row>
    <row r="5292" spans="3:3" x14ac:dyDescent="0.35">
      <c r="C5292" s="82"/>
    </row>
    <row r="5293" spans="3:3" x14ac:dyDescent="0.35">
      <c r="C5293" s="82"/>
    </row>
    <row r="5294" spans="3:3" x14ac:dyDescent="0.35">
      <c r="C5294" s="82"/>
    </row>
    <row r="5295" spans="3:3" x14ac:dyDescent="0.35">
      <c r="C5295" s="82"/>
    </row>
    <row r="5296" spans="3:3" x14ac:dyDescent="0.35">
      <c r="C5296" s="82"/>
    </row>
    <row r="5297" spans="3:3" x14ac:dyDescent="0.35">
      <c r="C5297" s="82"/>
    </row>
    <row r="5298" spans="3:3" x14ac:dyDescent="0.35">
      <c r="C5298" s="82"/>
    </row>
    <row r="5299" spans="3:3" x14ac:dyDescent="0.35">
      <c r="C5299" s="82"/>
    </row>
    <row r="5300" spans="3:3" x14ac:dyDescent="0.35">
      <c r="C5300" s="82"/>
    </row>
    <row r="5301" spans="3:3" x14ac:dyDescent="0.35">
      <c r="C5301" s="82"/>
    </row>
    <row r="5302" spans="3:3" x14ac:dyDescent="0.35">
      <c r="C5302" s="82"/>
    </row>
    <row r="5303" spans="3:3" x14ac:dyDescent="0.35">
      <c r="C5303" s="82"/>
    </row>
    <row r="5304" spans="3:3" x14ac:dyDescent="0.35">
      <c r="C5304" s="82"/>
    </row>
    <row r="5305" spans="3:3" x14ac:dyDescent="0.35">
      <c r="C5305" s="82"/>
    </row>
    <row r="5306" spans="3:3" x14ac:dyDescent="0.35">
      <c r="C5306" s="82"/>
    </row>
    <row r="5307" spans="3:3" x14ac:dyDescent="0.35">
      <c r="C5307" s="82"/>
    </row>
    <row r="5308" spans="3:3" x14ac:dyDescent="0.35">
      <c r="C5308" s="82"/>
    </row>
    <row r="5309" spans="3:3" x14ac:dyDescent="0.35">
      <c r="C5309" s="82"/>
    </row>
    <row r="5310" spans="3:3" x14ac:dyDescent="0.35">
      <c r="C5310" s="82"/>
    </row>
    <row r="5311" spans="3:3" x14ac:dyDescent="0.35">
      <c r="C5311" s="82"/>
    </row>
    <row r="5312" spans="3:3" x14ac:dyDescent="0.35">
      <c r="C5312" s="82"/>
    </row>
    <row r="5313" spans="3:3" x14ac:dyDescent="0.35">
      <c r="C5313" s="82"/>
    </row>
    <row r="5314" spans="3:3" x14ac:dyDescent="0.35">
      <c r="C5314" s="82"/>
    </row>
    <row r="5315" spans="3:3" x14ac:dyDescent="0.35">
      <c r="C5315" s="82"/>
    </row>
    <row r="5316" spans="3:3" x14ac:dyDescent="0.35">
      <c r="C5316" s="82"/>
    </row>
    <row r="5317" spans="3:3" x14ac:dyDescent="0.35">
      <c r="C5317" s="82"/>
    </row>
    <row r="5318" spans="3:3" x14ac:dyDescent="0.35">
      <c r="C5318" s="82"/>
    </row>
    <row r="5319" spans="3:3" x14ac:dyDescent="0.35">
      <c r="C5319" s="82"/>
    </row>
    <row r="5320" spans="3:3" x14ac:dyDescent="0.35">
      <c r="C5320" s="82"/>
    </row>
    <row r="5321" spans="3:3" x14ac:dyDescent="0.35">
      <c r="C5321" s="82"/>
    </row>
    <row r="5322" spans="3:3" x14ac:dyDescent="0.35">
      <c r="C5322" s="82"/>
    </row>
    <row r="5323" spans="3:3" x14ac:dyDescent="0.35">
      <c r="C5323" s="82"/>
    </row>
    <row r="5324" spans="3:3" x14ac:dyDescent="0.35">
      <c r="C5324" s="82"/>
    </row>
    <row r="5325" spans="3:3" x14ac:dyDescent="0.35">
      <c r="C5325" s="82"/>
    </row>
    <row r="5326" spans="3:3" x14ac:dyDescent="0.35">
      <c r="C5326" s="82"/>
    </row>
    <row r="5327" spans="3:3" x14ac:dyDescent="0.35">
      <c r="C5327" s="82"/>
    </row>
    <row r="5328" spans="3:3" x14ac:dyDescent="0.35">
      <c r="C5328" s="82"/>
    </row>
    <row r="5329" spans="1:9" x14ac:dyDescent="0.35">
      <c r="C5329" s="82"/>
    </row>
    <row r="5330" spans="1:9" x14ac:dyDescent="0.35">
      <c r="C5330" s="82"/>
    </row>
    <row r="5331" spans="1:9" x14ac:dyDescent="0.35">
      <c r="C5331" s="82"/>
    </row>
    <row r="5332" spans="1:9" x14ac:dyDescent="0.35">
      <c r="C5332" s="82"/>
    </row>
    <row r="5333" spans="1:9" x14ac:dyDescent="0.35">
      <c r="C5333" s="82"/>
    </row>
    <row r="5334" spans="1:9" x14ac:dyDescent="0.35">
      <c r="C5334" s="82"/>
    </row>
    <row r="5335" spans="1:9" x14ac:dyDescent="0.35">
      <c r="C5335" s="82"/>
    </row>
    <row r="5336" spans="1:9" x14ac:dyDescent="0.35">
      <c r="C5336" s="82"/>
    </row>
    <row r="5337" spans="1:9" x14ac:dyDescent="0.35">
      <c r="C5337" s="82"/>
    </row>
    <row r="5338" spans="1:9" x14ac:dyDescent="0.35">
      <c r="C5338" s="82"/>
    </row>
    <row r="5339" spans="1:9" x14ac:dyDescent="0.35">
      <c r="C5339" s="82"/>
    </row>
    <row r="5340" spans="1:9" x14ac:dyDescent="0.35">
      <c r="C5340" s="82"/>
    </row>
    <row r="5341" spans="1:9" x14ac:dyDescent="0.35">
      <c r="C5341" s="82"/>
    </row>
    <row r="5342" spans="1:9" s="83" customFormat="1" x14ac:dyDescent="0.35">
      <c r="A5342" s="77"/>
      <c r="B5342" s="64"/>
      <c r="C5342" s="82"/>
      <c r="D5342" s="64"/>
      <c r="E5342" s="96"/>
      <c r="F5342" s="64"/>
      <c r="G5342" s="70"/>
      <c r="H5342" s="84"/>
      <c r="I5342" s="84"/>
    </row>
    <row r="5343" spans="1:9" s="83" customFormat="1" x14ac:dyDescent="0.35">
      <c r="A5343" s="77"/>
      <c r="B5343" s="64"/>
      <c r="C5343" s="82"/>
      <c r="D5343" s="64"/>
      <c r="E5343" s="96"/>
      <c r="F5343" s="64"/>
      <c r="G5343" s="70"/>
      <c r="H5343" s="84"/>
      <c r="I5343" s="84"/>
    </row>
    <row r="5344" spans="1:9" s="83" customFormat="1" x14ac:dyDescent="0.35">
      <c r="A5344" s="77"/>
      <c r="B5344" s="64"/>
      <c r="C5344" s="82"/>
      <c r="D5344" s="64"/>
      <c r="E5344" s="96"/>
      <c r="F5344" s="64"/>
      <c r="G5344" s="70"/>
      <c r="H5344" s="84"/>
      <c r="I5344" s="84"/>
    </row>
    <row r="5345" spans="1:9" s="83" customFormat="1" x14ac:dyDescent="0.35">
      <c r="A5345" s="77"/>
      <c r="B5345" s="64"/>
      <c r="C5345" s="82"/>
      <c r="D5345" s="64"/>
      <c r="E5345" s="96"/>
      <c r="F5345" s="64"/>
      <c r="G5345" s="70"/>
      <c r="H5345" s="84"/>
      <c r="I5345" s="84"/>
    </row>
    <row r="5346" spans="1:9" s="83" customFormat="1" x14ac:dyDescent="0.35">
      <c r="A5346" s="77"/>
      <c r="B5346" s="64"/>
      <c r="C5346" s="82"/>
      <c r="D5346" s="64"/>
      <c r="E5346" s="96"/>
      <c r="F5346" s="64"/>
      <c r="G5346" s="70"/>
      <c r="H5346" s="84"/>
      <c r="I5346" s="84"/>
    </row>
    <row r="5347" spans="1:9" s="83" customFormat="1" x14ac:dyDescent="0.35">
      <c r="A5347" s="77"/>
      <c r="B5347" s="64"/>
      <c r="C5347" s="82"/>
      <c r="D5347" s="64"/>
      <c r="E5347" s="96"/>
      <c r="F5347" s="64"/>
      <c r="G5347" s="70"/>
      <c r="H5347" s="84"/>
      <c r="I5347" s="84"/>
    </row>
    <row r="5348" spans="1:9" s="83" customFormat="1" x14ac:dyDescent="0.35">
      <c r="A5348" s="77"/>
      <c r="B5348" s="64"/>
      <c r="C5348" s="82"/>
      <c r="D5348" s="86"/>
      <c r="E5348" s="96"/>
      <c r="F5348" s="64"/>
      <c r="G5348" s="70"/>
      <c r="H5348" s="84"/>
      <c r="I5348" s="84"/>
    </row>
    <row r="5349" spans="1:9" s="83" customFormat="1" x14ac:dyDescent="0.35">
      <c r="A5349" s="77"/>
      <c r="B5349" s="64"/>
      <c r="C5349" s="82"/>
      <c r="D5349" s="64"/>
      <c r="E5349" s="96"/>
      <c r="F5349" s="64"/>
      <c r="G5349" s="70"/>
      <c r="H5349" s="84"/>
      <c r="I5349" s="84"/>
    </row>
    <row r="5350" spans="1:9" s="83" customFormat="1" x14ac:dyDescent="0.35">
      <c r="A5350" s="77"/>
      <c r="B5350" s="64"/>
      <c r="C5350" s="82"/>
      <c r="D5350" s="64"/>
      <c r="E5350" s="96"/>
      <c r="F5350" s="64"/>
      <c r="G5350" s="70"/>
      <c r="H5350" s="84"/>
      <c r="I5350" s="84"/>
    </row>
    <row r="5351" spans="1:9" s="83" customFormat="1" x14ac:dyDescent="0.35">
      <c r="A5351" s="77"/>
      <c r="B5351" s="64"/>
      <c r="C5351" s="82"/>
      <c r="D5351" s="64"/>
      <c r="E5351" s="96"/>
      <c r="F5351" s="64"/>
      <c r="G5351" s="70"/>
      <c r="H5351" s="84"/>
      <c r="I5351" s="84"/>
    </row>
    <row r="5352" spans="1:9" s="83" customFormat="1" x14ac:dyDescent="0.35">
      <c r="A5352" s="77"/>
      <c r="B5352" s="64"/>
      <c r="C5352" s="82"/>
      <c r="D5352" s="64"/>
      <c r="E5352" s="96"/>
      <c r="F5352" s="64"/>
      <c r="G5352" s="70"/>
      <c r="H5352" s="84"/>
      <c r="I5352" s="84"/>
    </row>
    <row r="5353" spans="1:9" s="83" customFormat="1" x14ac:dyDescent="0.35">
      <c r="A5353" s="77"/>
      <c r="B5353" s="64"/>
      <c r="C5353" s="82"/>
      <c r="D5353" s="64"/>
      <c r="E5353" s="96"/>
      <c r="F5353" s="64"/>
      <c r="G5353" s="70"/>
      <c r="H5353" s="84"/>
      <c r="I5353" s="84"/>
    </row>
    <row r="5354" spans="1:9" s="83" customFormat="1" x14ac:dyDescent="0.35">
      <c r="A5354" s="77"/>
      <c r="B5354" s="64"/>
      <c r="C5354" s="82"/>
      <c r="D5354" s="64"/>
      <c r="E5354" s="96"/>
      <c r="F5354" s="64"/>
      <c r="G5354" s="70"/>
      <c r="H5354" s="84"/>
      <c r="I5354" s="84"/>
    </row>
    <row r="5355" spans="1:9" s="83" customFormat="1" x14ac:dyDescent="0.35">
      <c r="A5355" s="77"/>
      <c r="B5355" s="64"/>
      <c r="C5355" s="82"/>
      <c r="D5355" s="64"/>
      <c r="E5355" s="96"/>
      <c r="F5355" s="64"/>
      <c r="G5355" s="70"/>
      <c r="H5355" s="84"/>
      <c r="I5355" s="84"/>
    </row>
    <row r="5356" spans="1:9" s="83" customFormat="1" x14ac:dyDescent="0.35">
      <c r="A5356" s="77"/>
      <c r="B5356" s="64"/>
      <c r="C5356" s="82"/>
      <c r="D5356" s="64"/>
      <c r="E5356" s="96"/>
      <c r="F5356" s="64"/>
      <c r="G5356" s="70"/>
      <c r="H5356" s="84"/>
      <c r="I5356" s="84"/>
    </row>
    <row r="5357" spans="1:9" s="83" customFormat="1" x14ac:dyDescent="0.35">
      <c r="A5357" s="77"/>
      <c r="B5357" s="64"/>
      <c r="C5357" s="82"/>
      <c r="D5357" s="64"/>
      <c r="E5357" s="96"/>
      <c r="F5357" s="64"/>
      <c r="G5357" s="70"/>
      <c r="H5357" s="84"/>
      <c r="I5357" s="84"/>
    </row>
    <row r="5358" spans="1:9" x14ac:dyDescent="0.35">
      <c r="C5358" s="82"/>
    </row>
    <row r="5359" spans="1:9" x14ac:dyDescent="0.35">
      <c r="C5359" s="82"/>
    </row>
    <row r="5360" spans="1:9" x14ac:dyDescent="0.35">
      <c r="C5360" s="82"/>
    </row>
    <row r="5361" spans="3:3" x14ac:dyDescent="0.35">
      <c r="C5361" s="82"/>
    </row>
    <row r="5362" spans="3:3" x14ac:dyDescent="0.35">
      <c r="C5362" s="82"/>
    </row>
    <row r="5363" spans="3:3" x14ac:dyDescent="0.35">
      <c r="C5363" s="82"/>
    </row>
    <row r="5364" spans="3:3" x14ac:dyDescent="0.35">
      <c r="C5364" s="82"/>
    </row>
    <row r="5365" spans="3:3" x14ac:dyDescent="0.35">
      <c r="C5365" s="82"/>
    </row>
    <row r="5366" spans="3:3" x14ac:dyDescent="0.35">
      <c r="C5366" s="82"/>
    </row>
    <row r="5367" spans="3:3" x14ac:dyDescent="0.35">
      <c r="C5367" s="82"/>
    </row>
    <row r="5368" spans="3:3" x14ac:dyDescent="0.35">
      <c r="C5368" s="82"/>
    </row>
    <row r="5369" spans="3:3" x14ac:dyDescent="0.35">
      <c r="C5369" s="82"/>
    </row>
    <row r="5370" spans="3:3" x14ac:dyDescent="0.35">
      <c r="C5370" s="82"/>
    </row>
    <row r="5371" spans="3:3" x14ac:dyDescent="0.35">
      <c r="C5371" s="82"/>
    </row>
    <row r="5372" spans="3:3" x14ac:dyDescent="0.35">
      <c r="C5372" s="82"/>
    </row>
    <row r="5373" spans="3:3" x14ac:dyDescent="0.35">
      <c r="C5373" s="82"/>
    </row>
    <row r="5374" spans="3:3" x14ac:dyDescent="0.35">
      <c r="C5374" s="82"/>
    </row>
    <row r="5375" spans="3:3" x14ac:dyDescent="0.35">
      <c r="C5375" s="82"/>
    </row>
    <row r="5376" spans="3:3" x14ac:dyDescent="0.35">
      <c r="C5376" s="82"/>
    </row>
    <row r="5377" spans="3:3" x14ac:dyDescent="0.35">
      <c r="C5377" s="82"/>
    </row>
    <row r="5378" spans="3:3" x14ac:dyDescent="0.35">
      <c r="C5378" s="82"/>
    </row>
    <row r="5379" spans="3:3" x14ac:dyDescent="0.35">
      <c r="C5379" s="82"/>
    </row>
    <row r="5380" spans="3:3" x14ac:dyDescent="0.35">
      <c r="C5380" s="82"/>
    </row>
    <row r="5381" spans="3:3" x14ac:dyDescent="0.35">
      <c r="C5381" s="82"/>
    </row>
    <row r="5382" spans="3:3" x14ac:dyDescent="0.35">
      <c r="C5382" s="82"/>
    </row>
    <row r="5383" spans="3:3" x14ac:dyDescent="0.35">
      <c r="C5383" s="82"/>
    </row>
    <row r="5384" spans="3:3" x14ac:dyDescent="0.35">
      <c r="C5384" s="82"/>
    </row>
    <row r="5385" spans="3:3" x14ac:dyDescent="0.35">
      <c r="C5385" s="82"/>
    </row>
    <row r="5386" spans="3:3" x14ac:dyDescent="0.35">
      <c r="C5386" s="82"/>
    </row>
    <row r="5387" spans="3:3" x14ac:dyDescent="0.35">
      <c r="C5387" s="82"/>
    </row>
    <row r="5388" spans="3:3" x14ac:dyDescent="0.35">
      <c r="C5388" s="82"/>
    </row>
    <row r="5389" spans="3:3" x14ac:dyDescent="0.35">
      <c r="C5389" s="82"/>
    </row>
    <row r="5390" spans="3:3" x14ac:dyDescent="0.35">
      <c r="C5390" s="82"/>
    </row>
    <row r="5391" spans="3:3" x14ac:dyDescent="0.35">
      <c r="C5391" s="82"/>
    </row>
    <row r="5392" spans="3:3" x14ac:dyDescent="0.35">
      <c r="C5392" s="82"/>
    </row>
    <row r="5393" spans="3:3" x14ac:dyDescent="0.35">
      <c r="C5393" s="82"/>
    </row>
    <row r="5394" spans="3:3" x14ac:dyDescent="0.35">
      <c r="C5394" s="82"/>
    </row>
    <row r="5395" spans="3:3" x14ac:dyDescent="0.35">
      <c r="C5395" s="82"/>
    </row>
    <row r="5396" spans="3:3" x14ac:dyDescent="0.35">
      <c r="C5396" s="82"/>
    </row>
    <row r="5397" spans="3:3" x14ac:dyDescent="0.35">
      <c r="C5397" s="82"/>
    </row>
    <row r="5398" spans="3:3" x14ac:dyDescent="0.35">
      <c r="C5398" s="82"/>
    </row>
    <row r="5399" spans="3:3" x14ac:dyDescent="0.35">
      <c r="C5399" s="82"/>
    </row>
    <row r="5400" spans="3:3" x14ac:dyDescent="0.35">
      <c r="C5400" s="82"/>
    </row>
    <row r="5401" spans="3:3" x14ac:dyDescent="0.35">
      <c r="C5401" s="82"/>
    </row>
    <row r="5402" spans="3:3" x14ac:dyDescent="0.35">
      <c r="C5402" s="82"/>
    </row>
    <row r="5403" spans="3:3" x14ac:dyDescent="0.35">
      <c r="C5403" s="82"/>
    </row>
    <row r="5404" spans="3:3" x14ac:dyDescent="0.35">
      <c r="C5404" s="82"/>
    </row>
    <row r="5405" spans="3:3" x14ac:dyDescent="0.35">
      <c r="C5405" s="82"/>
    </row>
    <row r="5406" spans="3:3" x14ac:dyDescent="0.35">
      <c r="C5406" s="82"/>
    </row>
    <row r="5407" spans="3:3" x14ac:dyDescent="0.35">
      <c r="C5407" s="82"/>
    </row>
    <row r="5408" spans="3:3" x14ac:dyDescent="0.35">
      <c r="C5408" s="82"/>
    </row>
    <row r="5409" spans="3:3" x14ac:dyDescent="0.35">
      <c r="C5409" s="82"/>
    </row>
    <row r="5410" spans="3:3" x14ac:dyDescent="0.35">
      <c r="C5410" s="82"/>
    </row>
    <row r="5411" spans="3:3" x14ac:dyDescent="0.35">
      <c r="C5411" s="82"/>
    </row>
    <row r="5412" spans="3:3" x14ac:dyDescent="0.35">
      <c r="C5412" s="82"/>
    </row>
    <row r="5413" spans="3:3" x14ac:dyDescent="0.35">
      <c r="C5413" s="82"/>
    </row>
    <row r="5414" spans="3:3" x14ac:dyDescent="0.35">
      <c r="C5414" s="82"/>
    </row>
    <row r="5415" spans="3:3" x14ac:dyDescent="0.35">
      <c r="C5415" s="82"/>
    </row>
    <row r="5416" spans="3:3" x14ac:dyDescent="0.35">
      <c r="C5416" s="82"/>
    </row>
    <row r="5417" spans="3:3" x14ac:dyDescent="0.35">
      <c r="C5417" s="82"/>
    </row>
    <row r="5418" spans="3:3" x14ac:dyDescent="0.35">
      <c r="C5418" s="82"/>
    </row>
    <row r="5419" spans="3:3" x14ac:dyDescent="0.35">
      <c r="C5419" s="82"/>
    </row>
    <row r="5420" spans="3:3" x14ac:dyDescent="0.35">
      <c r="C5420" s="82"/>
    </row>
    <row r="5421" spans="3:3" x14ac:dyDescent="0.35">
      <c r="C5421" s="82"/>
    </row>
    <row r="5422" spans="3:3" x14ac:dyDescent="0.35">
      <c r="C5422" s="82"/>
    </row>
    <row r="5423" spans="3:3" x14ac:dyDescent="0.35">
      <c r="C5423" s="82"/>
    </row>
    <row r="5424" spans="3:3" x14ac:dyDescent="0.35">
      <c r="C5424" s="82"/>
    </row>
    <row r="5425" spans="3:3" x14ac:dyDescent="0.35">
      <c r="C5425" s="82"/>
    </row>
    <row r="5426" spans="3:3" x14ac:dyDescent="0.35">
      <c r="C5426" s="82"/>
    </row>
    <row r="5427" spans="3:3" x14ac:dyDescent="0.35">
      <c r="C5427" s="82"/>
    </row>
    <row r="5428" spans="3:3" x14ac:dyDescent="0.35">
      <c r="C5428" s="82"/>
    </row>
    <row r="5429" spans="3:3" x14ac:dyDescent="0.35">
      <c r="C5429" s="82"/>
    </row>
    <row r="5430" spans="3:3" x14ac:dyDescent="0.35">
      <c r="C5430" s="82"/>
    </row>
    <row r="5431" spans="3:3" x14ac:dyDescent="0.35">
      <c r="C5431" s="82"/>
    </row>
    <row r="5432" spans="3:3" x14ac:dyDescent="0.35">
      <c r="C5432" s="82"/>
    </row>
    <row r="5433" spans="3:3" x14ac:dyDescent="0.35">
      <c r="C5433" s="82"/>
    </row>
    <row r="5434" spans="3:3" x14ac:dyDescent="0.35">
      <c r="C5434" s="82"/>
    </row>
    <row r="5435" spans="3:3" x14ac:dyDescent="0.35">
      <c r="C5435" s="82"/>
    </row>
    <row r="5436" spans="3:3" x14ac:dyDescent="0.35">
      <c r="C5436" s="82"/>
    </row>
    <row r="5437" spans="3:3" x14ac:dyDescent="0.35">
      <c r="C5437" s="82"/>
    </row>
    <row r="5438" spans="3:3" x14ac:dyDescent="0.35">
      <c r="C5438" s="82"/>
    </row>
    <row r="5439" spans="3:3" x14ac:dyDescent="0.35">
      <c r="C5439" s="82"/>
    </row>
    <row r="5440" spans="3:3" x14ac:dyDescent="0.35">
      <c r="C5440" s="82"/>
    </row>
    <row r="5441" spans="3:3" x14ac:dyDescent="0.35">
      <c r="C5441" s="82"/>
    </row>
    <row r="5442" spans="3:3" x14ac:dyDescent="0.35">
      <c r="C5442" s="82"/>
    </row>
    <row r="5443" spans="3:3" x14ac:dyDescent="0.35">
      <c r="C5443" s="82"/>
    </row>
    <row r="5444" spans="3:3" x14ac:dyDescent="0.35">
      <c r="C5444" s="82"/>
    </row>
    <row r="5445" spans="3:3" x14ac:dyDescent="0.35">
      <c r="C5445" s="82"/>
    </row>
    <row r="5446" spans="3:3" x14ac:dyDescent="0.35">
      <c r="C5446" s="82"/>
    </row>
    <row r="5447" spans="3:3" x14ac:dyDescent="0.35">
      <c r="C5447" s="82"/>
    </row>
    <row r="5448" spans="3:3" x14ac:dyDescent="0.35">
      <c r="C5448" s="82"/>
    </row>
    <row r="5449" spans="3:3" x14ac:dyDescent="0.35">
      <c r="C5449" s="82"/>
    </row>
    <row r="5450" spans="3:3" x14ac:dyDescent="0.35">
      <c r="C5450" s="82"/>
    </row>
    <row r="5451" spans="3:3" x14ac:dyDescent="0.35">
      <c r="C5451" s="82"/>
    </row>
    <row r="5452" spans="3:3" x14ac:dyDescent="0.35">
      <c r="C5452" s="82"/>
    </row>
    <row r="5453" spans="3:3" x14ac:dyDescent="0.35">
      <c r="C5453" s="82"/>
    </row>
    <row r="5454" spans="3:3" x14ac:dyDescent="0.35">
      <c r="C5454" s="82"/>
    </row>
    <row r="5455" spans="3:3" x14ac:dyDescent="0.35">
      <c r="C5455" s="82"/>
    </row>
    <row r="5456" spans="3:3" x14ac:dyDescent="0.35">
      <c r="C5456" s="82"/>
    </row>
    <row r="5457" spans="3:3" x14ac:dyDescent="0.35">
      <c r="C5457" s="82"/>
    </row>
    <row r="5458" spans="3:3" x14ac:dyDescent="0.35">
      <c r="C5458" s="82"/>
    </row>
    <row r="5459" spans="3:3" x14ac:dyDescent="0.35">
      <c r="C5459" s="82"/>
    </row>
    <row r="5460" spans="3:3" x14ac:dyDescent="0.35">
      <c r="C5460" s="82"/>
    </row>
    <row r="5461" spans="3:3" x14ac:dyDescent="0.35">
      <c r="C5461" s="82"/>
    </row>
    <row r="5462" spans="3:3" x14ac:dyDescent="0.35">
      <c r="C5462" s="82"/>
    </row>
    <row r="5463" spans="3:3" x14ac:dyDescent="0.35">
      <c r="C5463" s="82"/>
    </row>
    <row r="5464" spans="3:3" x14ac:dyDescent="0.35">
      <c r="C5464" s="82"/>
    </row>
    <row r="5465" spans="3:3" x14ac:dyDescent="0.35">
      <c r="C5465" s="82"/>
    </row>
    <row r="5466" spans="3:3" x14ac:dyDescent="0.35">
      <c r="C5466" s="82"/>
    </row>
    <row r="5467" spans="3:3" x14ac:dyDescent="0.35">
      <c r="C5467" s="82"/>
    </row>
    <row r="5468" spans="3:3" x14ac:dyDescent="0.35">
      <c r="C5468" s="82"/>
    </row>
    <row r="5469" spans="3:3" x14ac:dyDescent="0.35">
      <c r="C5469" s="82"/>
    </row>
    <row r="5470" spans="3:3" x14ac:dyDescent="0.35">
      <c r="C5470" s="82"/>
    </row>
    <row r="5471" spans="3:3" x14ac:dyDescent="0.35">
      <c r="C5471" s="82"/>
    </row>
    <row r="5472" spans="3:3" x14ac:dyDescent="0.35">
      <c r="C5472" s="82"/>
    </row>
    <row r="5473" spans="3:3" x14ac:dyDescent="0.35">
      <c r="C5473" s="82"/>
    </row>
    <row r="5474" spans="3:3" x14ac:dyDescent="0.35">
      <c r="C5474" s="82"/>
    </row>
    <row r="5475" spans="3:3" x14ac:dyDescent="0.35">
      <c r="C5475" s="82"/>
    </row>
    <row r="5476" spans="3:3" x14ac:dyDescent="0.35">
      <c r="C5476" s="82"/>
    </row>
    <row r="5477" spans="3:3" x14ac:dyDescent="0.35">
      <c r="C5477" s="82"/>
    </row>
    <row r="5478" spans="3:3" x14ac:dyDescent="0.35">
      <c r="C5478" s="82"/>
    </row>
    <row r="5479" spans="3:3" x14ac:dyDescent="0.35">
      <c r="C5479" s="82"/>
    </row>
    <row r="5480" spans="3:3" x14ac:dyDescent="0.35">
      <c r="C5480" s="82"/>
    </row>
    <row r="5481" spans="3:3" x14ac:dyDescent="0.35">
      <c r="C5481" s="82"/>
    </row>
    <row r="5482" spans="3:3" x14ac:dyDescent="0.35">
      <c r="C5482" s="82"/>
    </row>
    <row r="5483" spans="3:3" x14ac:dyDescent="0.35">
      <c r="C5483" s="82"/>
    </row>
    <row r="5484" spans="3:3" x14ac:dyDescent="0.35">
      <c r="C5484" s="82"/>
    </row>
    <row r="5485" spans="3:3" x14ac:dyDescent="0.35">
      <c r="C5485" s="82"/>
    </row>
    <row r="5486" spans="3:3" x14ac:dyDescent="0.35">
      <c r="C5486" s="82"/>
    </row>
    <row r="5487" spans="3:3" x14ac:dyDescent="0.35">
      <c r="C5487" s="82"/>
    </row>
    <row r="5488" spans="3:3" x14ac:dyDescent="0.35">
      <c r="C5488" s="82"/>
    </row>
    <row r="5489" spans="3:3" x14ac:dyDescent="0.35">
      <c r="C5489" s="82"/>
    </row>
    <row r="5490" spans="3:3" x14ac:dyDescent="0.35">
      <c r="C5490" s="82"/>
    </row>
    <row r="5491" spans="3:3" x14ac:dyDescent="0.35">
      <c r="C5491" s="82"/>
    </row>
    <row r="5492" spans="3:3" x14ac:dyDescent="0.35">
      <c r="C5492" s="82"/>
    </row>
    <row r="5493" spans="3:3" x14ac:dyDescent="0.35">
      <c r="C5493" s="82"/>
    </row>
    <row r="5494" spans="3:3" x14ac:dyDescent="0.35">
      <c r="C5494" s="82"/>
    </row>
    <row r="5495" spans="3:3" x14ac:dyDescent="0.35">
      <c r="C5495" s="82"/>
    </row>
    <row r="5496" spans="3:3" x14ac:dyDescent="0.35">
      <c r="C5496" s="82"/>
    </row>
    <row r="5497" spans="3:3" x14ac:dyDescent="0.35">
      <c r="C5497" s="82"/>
    </row>
    <row r="5498" spans="3:3" x14ac:dyDescent="0.35">
      <c r="C5498" s="82"/>
    </row>
    <row r="5499" spans="3:3" x14ac:dyDescent="0.35">
      <c r="C5499" s="82"/>
    </row>
    <row r="5500" spans="3:3" x14ac:dyDescent="0.35">
      <c r="C5500" s="82"/>
    </row>
    <row r="5501" spans="3:3" x14ac:dyDescent="0.35">
      <c r="C5501" s="82"/>
    </row>
    <row r="5502" spans="3:3" x14ac:dyDescent="0.35">
      <c r="C5502" s="82"/>
    </row>
    <row r="5503" spans="3:3" x14ac:dyDescent="0.35">
      <c r="C5503" s="82"/>
    </row>
    <row r="5504" spans="3:3" x14ac:dyDescent="0.35">
      <c r="C5504" s="82"/>
    </row>
    <row r="5505" spans="3:3" x14ac:dyDescent="0.35">
      <c r="C5505" s="82"/>
    </row>
    <row r="5506" spans="3:3" x14ac:dyDescent="0.35">
      <c r="C5506" s="82"/>
    </row>
    <row r="5507" spans="3:3" x14ac:dyDescent="0.35">
      <c r="C5507" s="82"/>
    </row>
    <row r="5508" spans="3:3" x14ac:dyDescent="0.35">
      <c r="C5508" s="82"/>
    </row>
    <row r="5509" spans="3:3" x14ac:dyDescent="0.35">
      <c r="C5509" s="82"/>
    </row>
    <row r="5510" spans="3:3" x14ac:dyDescent="0.35">
      <c r="C5510" s="82"/>
    </row>
    <row r="5511" spans="3:3" x14ac:dyDescent="0.35">
      <c r="C5511" s="82"/>
    </row>
    <row r="5512" spans="3:3" x14ac:dyDescent="0.35">
      <c r="C5512" s="82"/>
    </row>
    <row r="5513" spans="3:3" x14ac:dyDescent="0.35">
      <c r="C5513" s="82"/>
    </row>
    <row r="5514" spans="3:3" x14ac:dyDescent="0.35">
      <c r="C5514" s="82"/>
    </row>
    <row r="5515" spans="3:3" x14ac:dyDescent="0.35">
      <c r="C5515" s="82"/>
    </row>
    <row r="5516" spans="3:3" x14ac:dyDescent="0.35">
      <c r="C5516" s="82"/>
    </row>
    <row r="5517" spans="3:3" x14ac:dyDescent="0.35">
      <c r="C5517" s="82"/>
    </row>
    <row r="5518" spans="3:3" x14ac:dyDescent="0.35">
      <c r="C5518" s="82"/>
    </row>
    <row r="5519" spans="3:3" x14ac:dyDescent="0.35">
      <c r="C5519" s="82"/>
    </row>
    <row r="5520" spans="3:3" x14ac:dyDescent="0.35">
      <c r="C5520" s="82"/>
    </row>
    <row r="5521" spans="1:9" x14ac:dyDescent="0.35">
      <c r="C5521" s="82"/>
    </row>
    <row r="5522" spans="1:9" x14ac:dyDescent="0.35">
      <c r="C5522" s="82"/>
    </row>
    <row r="5523" spans="1:9" x14ac:dyDescent="0.35">
      <c r="C5523" s="82"/>
    </row>
    <row r="5524" spans="1:9" x14ac:dyDescent="0.35">
      <c r="C5524" s="82"/>
    </row>
    <row r="5525" spans="1:9" x14ac:dyDescent="0.35">
      <c r="C5525" s="82"/>
    </row>
    <row r="5526" spans="1:9" x14ac:dyDescent="0.35">
      <c r="C5526" s="82"/>
    </row>
    <row r="5527" spans="1:9" x14ac:dyDescent="0.35">
      <c r="C5527" s="82"/>
    </row>
    <row r="5528" spans="1:9" x14ac:dyDescent="0.35">
      <c r="C5528" s="82"/>
    </row>
    <row r="5529" spans="1:9" x14ac:dyDescent="0.35">
      <c r="C5529" s="82"/>
    </row>
    <row r="5530" spans="1:9" x14ac:dyDescent="0.35">
      <c r="C5530" s="82"/>
    </row>
    <row r="5531" spans="1:9" x14ac:dyDescent="0.35">
      <c r="C5531" s="82"/>
    </row>
    <row r="5532" spans="1:9" x14ac:dyDescent="0.35">
      <c r="C5532" s="82"/>
    </row>
    <row r="5533" spans="1:9" x14ac:dyDescent="0.35">
      <c r="C5533" s="82"/>
    </row>
    <row r="5534" spans="1:9" s="83" customFormat="1" x14ac:dyDescent="0.35">
      <c r="A5534" s="77"/>
      <c r="B5534" s="64"/>
      <c r="C5534" s="82"/>
      <c r="D5534" s="64"/>
      <c r="E5534" s="96"/>
      <c r="F5534" s="64"/>
      <c r="G5534" s="70"/>
      <c r="H5534" s="84"/>
      <c r="I5534" s="84"/>
    </row>
    <row r="5535" spans="1:9" s="83" customFormat="1" x14ac:dyDescent="0.35">
      <c r="A5535" s="77"/>
      <c r="B5535" s="64"/>
      <c r="C5535" s="82"/>
      <c r="D5535" s="64"/>
      <c r="E5535" s="96"/>
      <c r="F5535" s="64"/>
      <c r="G5535" s="70"/>
      <c r="H5535" s="84"/>
      <c r="I5535" s="84"/>
    </row>
    <row r="5536" spans="1:9" s="83" customFormat="1" x14ac:dyDescent="0.35">
      <c r="A5536" s="77"/>
      <c r="B5536" s="64"/>
      <c r="C5536" s="82"/>
      <c r="D5536" s="64"/>
      <c r="E5536" s="96"/>
      <c r="F5536" s="64"/>
      <c r="G5536" s="70"/>
      <c r="H5536" s="84"/>
      <c r="I5536" s="84"/>
    </row>
    <row r="5537" spans="1:9" s="83" customFormat="1" x14ac:dyDescent="0.35">
      <c r="A5537" s="77"/>
      <c r="B5537" s="64"/>
      <c r="C5537" s="82"/>
      <c r="D5537" s="64"/>
      <c r="E5537" s="96"/>
      <c r="F5537" s="64"/>
      <c r="G5537" s="70"/>
      <c r="H5537" s="84"/>
      <c r="I5537" s="84"/>
    </row>
    <row r="5538" spans="1:9" s="83" customFormat="1" x14ac:dyDescent="0.35">
      <c r="A5538" s="77"/>
      <c r="B5538" s="64"/>
      <c r="C5538" s="82"/>
      <c r="D5538" s="64"/>
      <c r="E5538" s="96"/>
      <c r="F5538" s="64"/>
      <c r="G5538" s="70"/>
      <c r="H5538" s="84"/>
      <c r="I5538" s="84"/>
    </row>
    <row r="5539" spans="1:9" s="83" customFormat="1" x14ac:dyDescent="0.35">
      <c r="A5539" s="77"/>
      <c r="B5539" s="64"/>
      <c r="C5539" s="82"/>
      <c r="D5539" s="64"/>
      <c r="E5539" s="96"/>
      <c r="F5539" s="64"/>
      <c r="G5539" s="70"/>
      <c r="H5539" s="84"/>
      <c r="I5539" s="84"/>
    </row>
    <row r="5540" spans="1:9" s="83" customFormat="1" x14ac:dyDescent="0.35">
      <c r="A5540" s="77"/>
      <c r="B5540" s="64"/>
      <c r="C5540" s="82"/>
      <c r="D5540" s="64"/>
      <c r="E5540" s="96"/>
      <c r="F5540" s="64"/>
      <c r="G5540" s="70"/>
      <c r="H5540" s="84"/>
      <c r="I5540" s="84"/>
    </row>
    <row r="5541" spans="1:9" s="83" customFormat="1" x14ac:dyDescent="0.35">
      <c r="A5541" s="77"/>
      <c r="B5541" s="64"/>
      <c r="C5541" s="82"/>
      <c r="D5541" s="64"/>
      <c r="E5541" s="96"/>
      <c r="F5541" s="64"/>
      <c r="G5541" s="70"/>
      <c r="H5541" s="84"/>
      <c r="I5541" s="84"/>
    </row>
    <row r="5542" spans="1:9" s="83" customFormat="1" x14ac:dyDescent="0.35">
      <c r="A5542" s="77"/>
      <c r="B5542" s="64"/>
      <c r="C5542" s="82"/>
      <c r="D5542" s="64"/>
      <c r="E5542" s="96"/>
      <c r="F5542" s="64"/>
      <c r="G5542" s="70"/>
      <c r="H5542" s="84"/>
      <c r="I5542" s="84"/>
    </row>
    <row r="5543" spans="1:9" s="83" customFormat="1" x14ac:dyDescent="0.35">
      <c r="A5543" s="77"/>
      <c r="B5543" s="64"/>
      <c r="C5543" s="82"/>
      <c r="D5543" s="64"/>
      <c r="E5543" s="96"/>
      <c r="F5543" s="64"/>
      <c r="G5543" s="70"/>
      <c r="H5543" s="84"/>
      <c r="I5543" s="84"/>
    </row>
    <row r="5544" spans="1:9" s="83" customFormat="1" x14ac:dyDescent="0.35">
      <c r="A5544" s="77"/>
      <c r="B5544" s="64"/>
      <c r="C5544" s="82"/>
      <c r="D5544" s="64"/>
      <c r="E5544" s="96"/>
      <c r="F5544" s="64"/>
      <c r="G5544" s="70"/>
      <c r="H5544" s="84"/>
      <c r="I5544" s="84"/>
    </row>
    <row r="5545" spans="1:9" s="83" customFormat="1" x14ac:dyDescent="0.35">
      <c r="A5545" s="77"/>
      <c r="B5545" s="64"/>
      <c r="C5545" s="82"/>
      <c r="D5545" s="64"/>
      <c r="E5545" s="96"/>
      <c r="F5545" s="64"/>
      <c r="G5545" s="70"/>
      <c r="H5545" s="84"/>
      <c r="I5545" s="84"/>
    </row>
    <row r="5546" spans="1:9" s="83" customFormat="1" x14ac:dyDescent="0.35">
      <c r="A5546" s="77"/>
      <c r="B5546" s="64"/>
      <c r="C5546" s="82"/>
      <c r="D5546" s="64"/>
      <c r="E5546" s="96"/>
      <c r="F5546" s="64"/>
      <c r="G5546" s="70"/>
      <c r="H5546" s="84"/>
      <c r="I5546" s="84"/>
    </row>
    <row r="5547" spans="1:9" s="83" customFormat="1" x14ac:dyDescent="0.35">
      <c r="A5547" s="77"/>
      <c r="B5547" s="64"/>
      <c r="C5547" s="82"/>
      <c r="D5547" s="64"/>
      <c r="E5547" s="96"/>
      <c r="F5547" s="64"/>
      <c r="G5547" s="70"/>
      <c r="H5547" s="84"/>
      <c r="I5547" s="84"/>
    </row>
    <row r="5548" spans="1:9" s="83" customFormat="1" x14ac:dyDescent="0.35">
      <c r="A5548" s="77"/>
      <c r="B5548" s="64"/>
      <c r="C5548" s="82"/>
      <c r="D5548" s="86"/>
      <c r="E5548" s="96"/>
      <c r="F5548" s="64"/>
      <c r="G5548" s="70"/>
      <c r="H5548" s="84"/>
      <c r="I5548" s="84"/>
    </row>
    <row r="5549" spans="1:9" s="83" customFormat="1" x14ac:dyDescent="0.35">
      <c r="A5549" s="77"/>
      <c r="B5549" s="64"/>
      <c r="C5549" s="82"/>
      <c r="D5549" s="64"/>
      <c r="E5549" s="96"/>
      <c r="F5549" s="64"/>
      <c r="G5549" s="70"/>
      <c r="H5549" s="84"/>
      <c r="I5549" s="84"/>
    </row>
    <row r="5550" spans="1:9" x14ac:dyDescent="0.35">
      <c r="C5550" s="82"/>
    </row>
    <row r="5551" spans="1:9" x14ac:dyDescent="0.35">
      <c r="C5551" s="82"/>
    </row>
    <row r="5552" spans="1:9" x14ac:dyDescent="0.35">
      <c r="C5552" s="82"/>
    </row>
    <row r="5553" spans="3:3" x14ac:dyDescent="0.35">
      <c r="C5553" s="82"/>
    </row>
    <row r="5554" spans="3:3" x14ac:dyDescent="0.35">
      <c r="C5554" s="82"/>
    </row>
    <row r="5555" spans="3:3" x14ac:dyDescent="0.35">
      <c r="C5555" s="82"/>
    </row>
    <row r="5556" spans="3:3" x14ac:dyDescent="0.35">
      <c r="C5556" s="82"/>
    </row>
    <row r="5557" spans="3:3" x14ac:dyDescent="0.35">
      <c r="C5557" s="82"/>
    </row>
    <row r="5558" spans="3:3" x14ac:dyDescent="0.35">
      <c r="C5558" s="82"/>
    </row>
    <row r="5559" spans="3:3" x14ac:dyDescent="0.35">
      <c r="C5559" s="82"/>
    </row>
    <row r="5560" spans="3:3" x14ac:dyDescent="0.35">
      <c r="C5560" s="82"/>
    </row>
    <row r="5561" spans="3:3" x14ac:dyDescent="0.35">
      <c r="C5561" s="82"/>
    </row>
    <row r="5562" spans="3:3" x14ac:dyDescent="0.35">
      <c r="C5562" s="82"/>
    </row>
    <row r="5563" spans="3:3" x14ac:dyDescent="0.35">
      <c r="C5563" s="82"/>
    </row>
    <row r="5564" spans="3:3" x14ac:dyDescent="0.35">
      <c r="C5564" s="82"/>
    </row>
    <row r="5565" spans="3:3" x14ac:dyDescent="0.35">
      <c r="C5565" s="82"/>
    </row>
    <row r="5566" spans="3:3" x14ac:dyDescent="0.35">
      <c r="C5566" s="82"/>
    </row>
    <row r="5567" spans="3:3" x14ac:dyDescent="0.35">
      <c r="C5567" s="82"/>
    </row>
    <row r="5568" spans="3:3" x14ac:dyDescent="0.35">
      <c r="C5568" s="82"/>
    </row>
    <row r="5569" spans="3:3" x14ac:dyDescent="0.35">
      <c r="C5569" s="82"/>
    </row>
    <row r="5570" spans="3:3" x14ac:dyDescent="0.35">
      <c r="C5570" s="82"/>
    </row>
    <row r="5571" spans="3:3" x14ac:dyDescent="0.35">
      <c r="C5571" s="82"/>
    </row>
    <row r="5572" spans="3:3" x14ac:dyDescent="0.35">
      <c r="C5572" s="82"/>
    </row>
    <row r="5573" spans="3:3" x14ac:dyDescent="0.35">
      <c r="C5573" s="82"/>
    </row>
    <row r="5574" spans="3:3" x14ac:dyDescent="0.35">
      <c r="C5574" s="82"/>
    </row>
    <row r="5575" spans="3:3" x14ac:dyDescent="0.35">
      <c r="C5575" s="82"/>
    </row>
    <row r="5576" spans="3:3" x14ac:dyDescent="0.35">
      <c r="C5576" s="82"/>
    </row>
    <row r="5577" spans="3:3" x14ac:dyDescent="0.35">
      <c r="C5577" s="82"/>
    </row>
    <row r="5578" spans="3:3" x14ac:dyDescent="0.35">
      <c r="C5578" s="82"/>
    </row>
    <row r="5579" spans="3:3" x14ac:dyDescent="0.35">
      <c r="C5579" s="82"/>
    </row>
    <row r="5580" spans="3:3" x14ac:dyDescent="0.35">
      <c r="C5580" s="82"/>
    </row>
    <row r="5581" spans="3:3" x14ac:dyDescent="0.35">
      <c r="C5581" s="82"/>
    </row>
    <row r="5582" spans="3:3" x14ac:dyDescent="0.35">
      <c r="C5582" s="82"/>
    </row>
    <row r="5583" spans="3:3" x14ac:dyDescent="0.35">
      <c r="C5583" s="82"/>
    </row>
    <row r="5584" spans="3:3" x14ac:dyDescent="0.35">
      <c r="C5584" s="82"/>
    </row>
    <row r="5585" spans="3:3" x14ac:dyDescent="0.35">
      <c r="C5585" s="82"/>
    </row>
    <row r="5586" spans="3:3" x14ac:dyDescent="0.35">
      <c r="C5586" s="82"/>
    </row>
    <row r="5587" spans="3:3" x14ac:dyDescent="0.35">
      <c r="C5587" s="82"/>
    </row>
    <row r="5588" spans="3:3" x14ac:dyDescent="0.35">
      <c r="C5588" s="82"/>
    </row>
    <row r="5589" spans="3:3" x14ac:dyDescent="0.35">
      <c r="C5589" s="82"/>
    </row>
    <row r="5590" spans="3:3" x14ac:dyDescent="0.35">
      <c r="C5590" s="82"/>
    </row>
    <row r="5591" spans="3:3" x14ac:dyDescent="0.35">
      <c r="C5591" s="82"/>
    </row>
    <row r="5592" spans="3:3" x14ac:dyDescent="0.35">
      <c r="C5592" s="82"/>
    </row>
    <row r="5593" spans="3:3" x14ac:dyDescent="0.35">
      <c r="C5593" s="82"/>
    </row>
    <row r="5594" spans="3:3" x14ac:dyDescent="0.35">
      <c r="C5594" s="82"/>
    </row>
    <row r="5595" spans="3:3" x14ac:dyDescent="0.35">
      <c r="C5595" s="82"/>
    </row>
    <row r="5596" spans="3:3" x14ac:dyDescent="0.35">
      <c r="C5596" s="82"/>
    </row>
    <row r="5597" spans="3:3" x14ac:dyDescent="0.35">
      <c r="C5597" s="82"/>
    </row>
    <row r="5598" spans="3:3" x14ac:dyDescent="0.35">
      <c r="C5598" s="82"/>
    </row>
    <row r="5599" spans="3:3" x14ac:dyDescent="0.35">
      <c r="C5599" s="82"/>
    </row>
    <row r="5600" spans="3:3" x14ac:dyDescent="0.35">
      <c r="C5600" s="82"/>
    </row>
    <row r="5601" spans="3:3" x14ac:dyDescent="0.35">
      <c r="C5601" s="82"/>
    </row>
    <row r="5602" spans="3:3" x14ac:dyDescent="0.35">
      <c r="C5602" s="82"/>
    </row>
    <row r="5603" spans="3:3" x14ac:dyDescent="0.35">
      <c r="C5603" s="82"/>
    </row>
    <row r="5604" spans="3:3" x14ac:dyDescent="0.35">
      <c r="C5604" s="82"/>
    </row>
    <row r="5605" spans="3:3" x14ac:dyDescent="0.35">
      <c r="C5605" s="82"/>
    </row>
    <row r="5606" spans="3:3" x14ac:dyDescent="0.35">
      <c r="C5606" s="82"/>
    </row>
    <row r="5607" spans="3:3" x14ac:dyDescent="0.35">
      <c r="C5607" s="82"/>
    </row>
    <row r="5608" spans="3:3" x14ac:dyDescent="0.35">
      <c r="C5608" s="82"/>
    </row>
    <row r="5609" spans="3:3" x14ac:dyDescent="0.35">
      <c r="C5609" s="82"/>
    </row>
    <row r="5610" spans="3:3" x14ac:dyDescent="0.35">
      <c r="C5610" s="82"/>
    </row>
    <row r="5611" spans="3:3" x14ac:dyDescent="0.35">
      <c r="C5611" s="82"/>
    </row>
    <row r="5612" spans="3:3" x14ac:dyDescent="0.35">
      <c r="C5612" s="82"/>
    </row>
    <row r="5613" spans="3:3" x14ac:dyDescent="0.35">
      <c r="C5613" s="82"/>
    </row>
    <row r="5614" spans="3:3" x14ac:dyDescent="0.35">
      <c r="C5614" s="82"/>
    </row>
    <row r="5615" spans="3:3" x14ac:dyDescent="0.35">
      <c r="C5615" s="82"/>
    </row>
    <row r="5616" spans="3:3" x14ac:dyDescent="0.35">
      <c r="C5616" s="82"/>
    </row>
    <row r="5617" spans="3:3" x14ac:dyDescent="0.35">
      <c r="C5617" s="82"/>
    </row>
    <row r="5618" spans="3:3" x14ac:dyDescent="0.35">
      <c r="C5618" s="82"/>
    </row>
    <row r="5619" spans="3:3" x14ac:dyDescent="0.35">
      <c r="C5619" s="82"/>
    </row>
    <row r="5620" spans="3:3" x14ac:dyDescent="0.35">
      <c r="C5620" s="82"/>
    </row>
    <row r="5621" spans="3:3" x14ac:dyDescent="0.35">
      <c r="C5621" s="82"/>
    </row>
    <row r="5622" spans="3:3" x14ac:dyDescent="0.35">
      <c r="C5622" s="82"/>
    </row>
    <row r="5623" spans="3:3" x14ac:dyDescent="0.35">
      <c r="C5623" s="82"/>
    </row>
    <row r="5624" spans="3:3" x14ac:dyDescent="0.35">
      <c r="C5624" s="82"/>
    </row>
    <row r="5625" spans="3:3" x14ac:dyDescent="0.35">
      <c r="C5625" s="82"/>
    </row>
    <row r="5626" spans="3:3" x14ac:dyDescent="0.35">
      <c r="C5626" s="82"/>
    </row>
    <row r="5627" spans="3:3" x14ac:dyDescent="0.35">
      <c r="C5627" s="82"/>
    </row>
    <row r="5628" spans="3:3" x14ac:dyDescent="0.35">
      <c r="C5628" s="82"/>
    </row>
    <row r="5629" spans="3:3" x14ac:dyDescent="0.35">
      <c r="C5629" s="82"/>
    </row>
    <row r="5630" spans="3:3" x14ac:dyDescent="0.35">
      <c r="C5630" s="82"/>
    </row>
    <row r="5631" spans="3:3" x14ac:dyDescent="0.35">
      <c r="C5631" s="82"/>
    </row>
    <row r="5632" spans="3:3" x14ac:dyDescent="0.35">
      <c r="C5632" s="82"/>
    </row>
    <row r="5633" spans="3:3" x14ac:dyDescent="0.35">
      <c r="C5633" s="82"/>
    </row>
    <row r="5634" spans="3:3" x14ac:dyDescent="0.35">
      <c r="C5634" s="82"/>
    </row>
    <row r="5635" spans="3:3" x14ac:dyDescent="0.35">
      <c r="C5635" s="82"/>
    </row>
    <row r="5636" spans="3:3" x14ac:dyDescent="0.35">
      <c r="C5636" s="82"/>
    </row>
    <row r="5637" spans="3:3" x14ac:dyDescent="0.35">
      <c r="C5637" s="82"/>
    </row>
    <row r="5638" spans="3:3" x14ac:dyDescent="0.35">
      <c r="C5638" s="82"/>
    </row>
    <row r="5639" spans="3:3" x14ac:dyDescent="0.35">
      <c r="C5639" s="82"/>
    </row>
    <row r="5640" spans="3:3" x14ac:dyDescent="0.35">
      <c r="C5640" s="82"/>
    </row>
    <row r="5641" spans="3:3" x14ac:dyDescent="0.35">
      <c r="C5641" s="82"/>
    </row>
    <row r="5642" spans="3:3" x14ac:dyDescent="0.35">
      <c r="C5642" s="82"/>
    </row>
    <row r="5643" spans="3:3" x14ac:dyDescent="0.35">
      <c r="C5643" s="82"/>
    </row>
    <row r="5644" spans="3:3" x14ac:dyDescent="0.35">
      <c r="C5644" s="82"/>
    </row>
    <row r="5645" spans="3:3" x14ac:dyDescent="0.35">
      <c r="C5645" s="82"/>
    </row>
    <row r="5646" spans="3:3" x14ac:dyDescent="0.35">
      <c r="C5646" s="82"/>
    </row>
    <row r="5647" spans="3:3" x14ac:dyDescent="0.35">
      <c r="C5647" s="82"/>
    </row>
    <row r="5648" spans="3:3" x14ac:dyDescent="0.35">
      <c r="C5648" s="82"/>
    </row>
    <row r="5649" spans="1:9" x14ac:dyDescent="0.35">
      <c r="C5649" s="82"/>
    </row>
    <row r="5650" spans="1:9" x14ac:dyDescent="0.35">
      <c r="C5650" s="82"/>
    </row>
    <row r="5651" spans="1:9" x14ac:dyDescent="0.35">
      <c r="C5651" s="82"/>
    </row>
    <row r="5652" spans="1:9" x14ac:dyDescent="0.35">
      <c r="C5652" s="82"/>
    </row>
    <row r="5653" spans="1:9" x14ac:dyDescent="0.35">
      <c r="C5653" s="82"/>
    </row>
    <row r="5654" spans="1:9" x14ac:dyDescent="0.35">
      <c r="C5654" s="82"/>
    </row>
    <row r="5655" spans="1:9" x14ac:dyDescent="0.35">
      <c r="C5655" s="82"/>
    </row>
    <row r="5656" spans="1:9" x14ac:dyDescent="0.35">
      <c r="C5656" s="82"/>
    </row>
    <row r="5657" spans="1:9" x14ac:dyDescent="0.35">
      <c r="C5657" s="82"/>
    </row>
    <row r="5658" spans="1:9" x14ac:dyDescent="0.35">
      <c r="C5658" s="82"/>
    </row>
    <row r="5659" spans="1:9" x14ac:dyDescent="0.35">
      <c r="C5659" s="82"/>
    </row>
    <row r="5660" spans="1:9" x14ac:dyDescent="0.35">
      <c r="C5660" s="82"/>
    </row>
    <row r="5661" spans="1:9" x14ac:dyDescent="0.35">
      <c r="C5661" s="82"/>
    </row>
    <row r="5662" spans="1:9" s="83" customFormat="1" x14ac:dyDescent="0.35">
      <c r="A5662" s="77"/>
      <c r="B5662" s="64"/>
      <c r="C5662" s="82"/>
      <c r="D5662" s="64"/>
      <c r="E5662" s="96"/>
      <c r="F5662" s="64"/>
      <c r="G5662" s="70"/>
      <c r="H5662" s="84"/>
      <c r="I5662" s="84"/>
    </row>
    <row r="5663" spans="1:9" s="83" customFormat="1" x14ac:dyDescent="0.35">
      <c r="A5663" s="77"/>
      <c r="B5663" s="64"/>
      <c r="C5663" s="82"/>
      <c r="D5663" s="64"/>
      <c r="E5663" s="96"/>
      <c r="F5663" s="64"/>
      <c r="G5663" s="70"/>
      <c r="H5663" s="84"/>
      <c r="I5663" s="84"/>
    </row>
    <row r="5664" spans="1:9" s="83" customFormat="1" x14ac:dyDescent="0.35">
      <c r="A5664" s="77"/>
      <c r="B5664" s="64"/>
      <c r="C5664" s="82"/>
      <c r="D5664" s="64"/>
      <c r="E5664" s="96"/>
      <c r="F5664" s="64"/>
      <c r="G5664" s="70"/>
      <c r="H5664" s="84"/>
      <c r="I5664" s="84"/>
    </row>
    <row r="5665" spans="1:9" s="83" customFormat="1" x14ac:dyDescent="0.35">
      <c r="A5665" s="77"/>
      <c r="B5665" s="64"/>
      <c r="C5665" s="82"/>
      <c r="D5665" s="64"/>
      <c r="E5665" s="96"/>
      <c r="F5665" s="64"/>
      <c r="G5665" s="70"/>
      <c r="H5665" s="84"/>
      <c r="I5665" s="84"/>
    </row>
    <row r="5666" spans="1:9" s="83" customFormat="1" x14ac:dyDescent="0.35">
      <c r="A5666" s="77"/>
      <c r="B5666" s="64"/>
      <c r="C5666" s="82"/>
      <c r="D5666" s="64"/>
      <c r="E5666" s="96"/>
      <c r="F5666" s="64"/>
      <c r="G5666" s="70"/>
      <c r="H5666" s="84"/>
      <c r="I5666" s="84"/>
    </row>
    <row r="5667" spans="1:9" s="83" customFormat="1" x14ac:dyDescent="0.35">
      <c r="A5667" s="77"/>
      <c r="B5667" s="64"/>
      <c r="C5667" s="82"/>
      <c r="D5667" s="64"/>
      <c r="E5667" s="96"/>
      <c r="F5667" s="64"/>
      <c r="G5667" s="70"/>
      <c r="H5667" s="84"/>
      <c r="I5667" s="84"/>
    </row>
    <row r="5668" spans="1:9" s="83" customFormat="1" x14ac:dyDescent="0.35">
      <c r="A5668" s="77"/>
      <c r="B5668" s="64"/>
      <c r="C5668" s="82"/>
      <c r="D5668" s="86"/>
      <c r="E5668" s="96"/>
      <c r="F5668" s="64"/>
      <c r="G5668" s="70"/>
      <c r="H5668" s="84"/>
      <c r="I5668" s="84"/>
    </row>
    <row r="5669" spans="1:9" s="83" customFormat="1" x14ac:dyDescent="0.35">
      <c r="A5669" s="77"/>
      <c r="B5669" s="64"/>
      <c r="C5669" s="82"/>
      <c r="D5669" s="64"/>
      <c r="E5669" s="96"/>
      <c r="F5669" s="64"/>
      <c r="G5669" s="70"/>
      <c r="H5669" s="84"/>
      <c r="I5669" s="84"/>
    </row>
    <row r="5670" spans="1:9" s="83" customFormat="1" x14ac:dyDescent="0.35">
      <c r="A5670" s="77"/>
      <c r="B5670" s="64"/>
      <c r="C5670" s="82"/>
      <c r="D5670" s="64"/>
      <c r="E5670" s="96"/>
      <c r="F5670" s="64"/>
      <c r="G5670" s="70"/>
      <c r="H5670" s="84"/>
      <c r="I5670" s="84"/>
    </row>
    <row r="5671" spans="1:9" s="83" customFormat="1" x14ac:dyDescent="0.35">
      <c r="A5671" s="77"/>
      <c r="B5671" s="64"/>
      <c r="C5671" s="82"/>
      <c r="D5671" s="64"/>
      <c r="E5671" s="96"/>
      <c r="F5671" s="64"/>
      <c r="G5671" s="70"/>
      <c r="H5671" s="84"/>
      <c r="I5671" s="84"/>
    </row>
    <row r="5672" spans="1:9" s="83" customFormat="1" x14ac:dyDescent="0.35">
      <c r="A5672" s="77"/>
      <c r="B5672" s="64"/>
      <c r="C5672" s="82"/>
      <c r="D5672" s="64"/>
      <c r="E5672" s="96"/>
      <c r="F5672" s="64"/>
      <c r="G5672" s="70"/>
      <c r="H5672" s="84"/>
      <c r="I5672" s="84"/>
    </row>
    <row r="5673" spans="1:9" s="83" customFormat="1" x14ac:dyDescent="0.35">
      <c r="A5673" s="77"/>
      <c r="B5673" s="64"/>
      <c r="C5673" s="82"/>
      <c r="D5673" s="64"/>
      <c r="E5673" s="96"/>
      <c r="F5673" s="64"/>
      <c r="G5673" s="70"/>
      <c r="H5673" s="84"/>
      <c r="I5673" s="84"/>
    </row>
    <row r="5674" spans="1:9" s="83" customFormat="1" x14ac:dyDescent="0.35">
      <c r="A5674" s="77"/>
      <c r="B5674" s="64"/>
      <c r="C5674" s="82"/>
      <c r="D5674" s="64"/>
      <c r="E5674" s="96"/>
      <c r="F5674" s="64"/>
      <c r="G5674" s="70"/>
      <c r="H5674" s="84"/>
      <c r="I5674" s="84"/>
    </row>
    <row r="5675" spans="1:9" s="83" customFormat="1" x14ac:dyDescent="0.35">
      <c r="A5675" s="77"/>
      <c r="B5675" s="64"/>
      <c r="C5675" s="82"/>
      <c r="D5675" s="64"/>
      <c r="E5675" s="96"/>
      <c r="F5675" s="64"/>
      <c r="G5675" s="70"/>
      <c r="H5675" s="84"/>
      <c r="I5675" s="84"/>
    </row>
    <row r="5676" spans="1:9" s="83" customFormat="1" x14ac:dyDescent="0.35">
      <c r="A5676" s="77"/>
      <c r="B5676" s="64"/>
      <c r="C5676" s="82"/>
      <c r="D5676" s="64"/>
      <c r="E5676" s="96"/>
      <c r="F5676" s="64"/>
      <c r="G5676" s="70"/>
      <c r="H5676" s="84"/>
      <c r="I5676" s="84"/>
    </row>
    <row r="5677" spans="1:9" s="83" customFormat="1" x14ac:dyDescent="0.35">
      <c r="A5677" s="77"/>
      <c r="B5677" s="64"/>
      <c r="C5677" s="82"/>
      <c r="D5677" s="64"/>
      <c r="E5677" s="96"/>
      <c r="F5677" s="64"/>
      <c r="G5677" s="70"/>
      <c r="H5677" s="84"/>
      <c r="I5677" s="84"/>
    </row>
    <row r="5678" spans="1:9" x14ac:dyDescent="0.35">
      <c r="C5678" s="82"/>
    </row>
    <row r="5679" spans="1:9" x14ac:dyDescent="0.35">
      <c r="C5679" s="82"/>
    </row>
    <row r="5680" spans="1:9" x14ac:dyDescent="0.35">
      <c r="C5680" s="82"/>
    </row>
    <row r="5681" spans="3:3" x14ac:dyDescent="0.35">
      <c r="C5681" s="82"/>
    </row>
    <row r="5682" spans="3:3" x14ac:dyDescent="0.35">
      <c r="C5682" s="82"/>
    </row>
    <row r="5683" spans="3:3" x14ac:dyDescent="0.35">
      <c r="C5683" s="82"/>
    </row>
    <row r="5684" spans="3:3" x14ac:dyDescent="0.35">
      <c r="C5684" s="82"/>
    </row>
    <row r="5685" spans="3:3" x14ac:dyDescent="0.35">
      <c r="C5685" s="82"/>
    </row>
    <row r="5686" spans="3:3" x14ac:dyDescent="0.35">
      <c r="C5686" s="82"/>
    </row>
    <row r="5687" spans="3:3" x14ac:dyDescent="0.35">
      <c r="C5687" s="82"/>
    </row>
    <row r="5688" spans="3:3" x14ac:dyDescent="0.35">
      <c r="C5688" s="82"/>
    </row>
    <row r="5689" spans="3:3" x14ac:dyDescent="0.35">
      <c r="C5689" s="82"/>
    </row>
    <row r="5690" spans="3:3" x14ac:dyDescent="0.35">
      <c r="C5690" s="82"/>
    </row>
    <row r="5691" spans="3:3" x14ac:dyDescent="0.35">
      <c r="C5691" s="82"/>
    </row>
    <row r="5692" spans="3:3" x14ac:dyDescent="0.35">
      <c r="C5692" s="82"/>
    </row>
    <row r="5693" spans="3:3" x14ac:dyDescent="0.35">
      <c r="C5693" s="82"/>
    </row>
    <row r="5694" spans="3:3" x14ac:dyDescent="0.35">
      <c r="C5694" s="82"/>
    </row>
    <row r="5695" spans="3:3" x14ac:dyDescent="0.35">
      <c r="C5695" s="82"/>
    </row>
    <row r="5696" spans="3:3" x14ac:dyDescent="0.35">
      <c r="C5696" s="82"/>
    </row>
    <row r="5697" spans="3:3" x14ac:dyDescent="0.35">
      <c r="C5697" s="82"/>
    </row>
    <row r="5698" spans="3:3" x14ac:dyDescent="0.35">
      <c r="C5698" s="82"/>
    </row>
    <row r="5699" spans="3:3" x14ac:dyDescent="0.35">
      <c r="C5699" s="82"/>
    </row>
    <row r="5700" spans="3:3" x14ac:dyDescent="0.35">
      <c r="C5700" s="82"/>
    </row>
    <row r="5701" spans="3:3" x14ac:dyDescent="0.35">
      <c r="C5701" s="82"/>
    </row>
    <row r="5702" spans="3:3" x14ac:dyDescent="0.35">
      <c r="C5702" s="82"/>
    </row>
    <row r="5703" spans="3:3" x14ac:dyDescent="0.35">
      <c r="C5703" s="82"/>
    </row>
    <row r="5704" spans="3:3" x14ac:dyDescent="0.35">
      <c r="C5704" s="82"/>
    </row>
    <row r="5705" spans="3:3" x14ac:dyDescent="0.35">
      <c r="C5705" s="82"/>
    </row>
    <row r="5706" spans="3:3" x14ac:dyDescent="0.35">
      <c r="C5706" s="82"/>
    </row>
    <row r="5707" spans="3:3" x14ac:dyDescent="0.35">
      <c r="C5707" s="82"/>
    </row>
    <row r="5708" spans="3:3" x14ac:dyDescent="0.35">
      <c r="C5708" s="82"/>
    </row>
    <row r="5709" spans="3:3" x14ac:dyDescent="0.35">
      <c r="C5709" s="82"/>
    </row>
    <row r="5710" spans="3:3" x14ac:dyDescent="0.35">
      <c r="C5710" s="82"/>
    </row>
    <row r="5711" spans="3:3" x14ac:dyDescent="0.35">
      <c r="C5711" s="82"/>
    </row>
    <row r="5712" spans="3:3" x14ac:dyDescent="0.35">
      <c r="C5712" s="82"/>
    </row>
    <row r="5713" spans="3:3" x14ac:dyDescent="0.35">
      <c r="C5713" s="82"/>
    </row>
    <row r="5714" spans="3:3" x14ac:dyDescent="0.35">
      <c r="C5714" s="82"/>
    </row>
    <row r="5715" spans="3:3" x14ac:dyDescent="0.35">
      <c r="C5715" s="82"/>
    </row>
    <row r="5716" spans="3:3" x14ac:dyDescent="0.35">
      <c r="C5716" s="82"/>
    </row>
    <row r="5717" spans="3:3" x14ac:dyDescent="0.35">
      <c r="C5717" s="82"/>
    </row>
    <row r="5718" spans="3:3" x14ac:dyDescent="0.35">
      <c r="C5718" s="82"/>
    </row>
    <row r="5719" spans="3:3" x14ac:dyDescent="0.35">
      <c r="C5719" s="82"/>
    </row>
    <row r="5720" spans="3:3" x14ac:dyDescent="0.35">
      <c r="C5720" s="82"/>
    </row>
    <row r="5721" spans="3:3" x14ac:dyDescent="0.35">
      <c r="C5721" s="82"/>
    </row>
    <row r="5722" spans="3:3" x14ac:dyDescent="0.35">
      <c r="C5722" s="82"/>
    </row>
    <row r="5723" spans="3:3" x14ac:dyDescent="0.35">
      <c r="C5723" s="82"/>
    </row>
    <row r="5724" spans="3:3" x14ac:dyDescent="0.35">
      <c r="C5724" s="82"/>
    </row>
    <row r="5725" spans="3:3" x14ac:dyDescent="0.35">
      <c r="C5725" s="82"/>
    </row>
    <row r="5726" spans="3:3" x14ac:dyDescent="0.35">
      <c r="C5726" s="82"/>
    </row>
    <row r="5727" spans="3:3" x14ac:dyDescent="0.35">
      <c r="C5727" s="82"/>
    </row>
    <row r="5728" spans="3:3" x14ac:dyDescent="0.35">
      <c r="C5728" s="82"/>
    </row>
    <row r="5729" spans="3:3" x14ac:dyDescent="0.35">
      <c r="C5729" s="82"/>
    </row>
    <row r="5730" spans="3:3" x14ac:dyDescent="0.35">
      <c r="C5730" s="82"/>
    </row>
    <row r="5731" spans="3:3" x14ac:dyDescent="0.35">
      <c r="C5731" s="82"/>
    </row>
    <row r="5732" spans="3:3" x14ac:dyDescent="0.35">
      <c r="C5732" s="82"/>
    </row>
    <row r="5733" spans="3:3" x14ac:dyDescent="0.35">
      <c r="C5733" s="82"/>
    </row>
    <row r="5734" spans="3:3" x14ac:dyDescent="0.35">
      <c r="C5734" s="82"/>
    </row>
    <row r="5735" spans="3:3" x14ac:dyDescent="0.35">
      <c r="C5735" s="82"/>
    </row>
    <row r="5736" spans="3:3" x14ac:dyDescent="0.35">
      <c r="C5736" s="82"/>
    </row>
    <row r="5737" spans="3:3" x14ac:dyDescent="0.35">
      <c r="C5737" s="82"/>
    </row>
    <row r="5738" spans="3:3" x14ac:dyDescent="0.35">
      <c r="C5738" s="82"/>
    </row>
    <row r="5739" spans="3:3" x14ac:dyDescent="0.35">
      <c r="C5739" s="82"/>
    </row>
    <row r="5740" spans="3:3" x14ac:dyDescent="0.35">
      <c r="C5740" s="82"/>
    </row>
    <row r="5741" spans="3:3" x14ac:dyDescent="0.35">
      <c r="C5741" s="82"/>
    </row>
    <row r="5742" spans="3:3" x14ac:dyDescent="0.35">
      <c r="C5742" s="82"/>
    </row>
    <row r="5743" spans="3:3" x14ac:dyDescent="0.35">
      <c r="C5743" s="82"/>
    </row>
    <row r="5744" spans="3:3" x14ac:dyDescent="0.35">
      <c r="C5744" s="82"/>
    </row>
    <row r="5745" spans="3:3" x14ac:dyDescent="0.35">
      <c r="C5745" s="82"/>
    </row>
    <row r="5746" spans="3:3" x14ac:dyDescent="0.35">
      <c r="C5746" s="82"/>
    </row>
    <row r="5747" spans="3:3" x14ac:dyDescent="0.35">
      <c r="C5747" s="82"/>
    </row>
    <row r="5748" spans="3:3" x14ac:dyDescent="0.35">
      <c r="C5748" s="82"/>
    </row>
    <row r="5749" spans="3:3" x14ac:dyDescent="0.35">
      <c r="C5749" s="82"/>
    </row>
    <row r="5750" spans="3:3" x14ac:dyDescent="0.35">
      <c r="C5750" s="82"/>
    </row>
    <row r="5751" spans="3:3" x14ac:dyDescent="0.35">
      <c r="C5751" s="82"/>
    </row>
    <row r="5752" spans="3:3" x14ac:dyDescent="0.35">
      <c r="C5752" s="82"/>
    </row>
    <row r="5753" spans="3:3" x14ac:dyDescent="0.35">
      <c r="C5753" s="82"/>
    </row>
    <row r="5754" spans="3:3" x14ac:dyDescent="0.35">
      <c r="C5754" s="82"/>
    </row>
    <row r="5755" spans="3:3" x14ac:dyDescent="0.35">
      <c r="C5755" s="82"/>
    </row>
    <row r="5756" spans="3:3" x14ac:dyDescent="0.35">
      <c r="C5756" s="82"/>
    </row>
    <row r="5757" spans="3:3" x14ac:dyDescent="0.35">
      <c r="C5757" s="82"/>
    </row>
    <row r="5758" spans="3:3" x14ac:dyDescent="0.35">
      <c r="C5758" s="82"/>
    </row>
    <row r="5759" spans="3:3" x14ac:dyDescent="0.35">
      <c r="C5759" s="82"/>
    </row>
    <row r="5760" spans="3:3" x14ac:dyDescent="0.35">
      <c r="C5760" s="82"/>
    </row>
    <row r="5761" spans="3:3" x14ac:dyDescent="0.35">
      <c r="C5761" s="82"/>
    </row>
    <row r="5762" spans="3:3" x14ac:dyDescent="0.35">
      <c r="C5762" s="82"/>
    </row>
    <row r="5763" spans="3:3" x14ac:dyDescent="0.35">
      <c r="C5763" s="82"/>
    </row>
    <row r="5764" spans="3:3" x14ac:dyDescent="0.35">
      <c r="C5764" s="82"/>
    </row>
    <row r="5765" spans="3:3" x14ac:dyDescent="0.35">
      <c r="C5765" s="82"/>
    </row>
    <row r="5766" spans="3:3" x14ac:dyDescent="0.35">
      <c r="C5766" s="82"/>
    </row>
    <row r="5767" spans="3:3" x14ac:dyDescent="0.35">
      <c r="C5767" s="82"/>
    </row>
    <row r="5768" spans="3:3" x14ac:dyDescent="0.35">
      <c r="C5768" s="82"/>
    </row>
    <row r="5769" spans="3:3" x14ac:dyDescent="0.35">
      <c r="C5769" s="82"/>
    </row>
    <row r="5770" spans="3:3" x14ac:dyDescent="0.35">
      <c r="C5770" s="82"/>
    </row>
    <row r="5771" spans="3:3" x14ac:dyDescent="0.35">
      <c r="C5771" s="82"/>
    </row>
    <row r="5772" spans="3:3" x14ac:dyDescent="0.35">
      <c r="C5772" s="82"/>
    </row>
    <row r="5773" spans="3:3" x14ac:dyDescent="0.35">
      <c r="C5773" s="82"/>
    </row>
    <row r="5774" spans="3:3" x14ac:dyDescent="0.35">
      <c r="C5774" s="82"/>
    </row>
    <row r="5775" spans="3:3" x14ac:dyDescent="0.35">
      <c r="C5775" s="82"/>
    </row>
    <row r="5776" spans="3:3" x14ac:dyDescent="0.35">
      <c r="C5776" s="82"/>
    </row>
    <row r="5777" spans="3:3" x14ac:dyDescent="0.35">
      <c r="C5777" s="82"/>
    </row>
    <row r="5778" spans="3:3" x14ac:dyDescent="0.35">
      <c r="C5778" s="82"/>
    </row>
    <row r="5779" spans="3:3" x14ac:dyDescent="0.35">
      <c r="C5779" s="82"/>
    </row>
    <row r="5780" spans="3:3" x14ac:dyDescent="0.35">
      <c r="C5780" s="82"/>
    </row>
    <row r="5781" spans="3:3" x14ac:dyDescent="0.35">
      <c r="C5781" s="82"/>
    </row>
    <row r="5782" spans="3:3" x14ac:dyDescent="0.35">
      <c r="C5782" s="82"/>
    </row>
    <row r="5783" spans="3:3" x14ac:dyDescent="0.35">
      <c r="C5783" s="82"/>
    </row>
    <row r="5784" spans="3:3" x14ac:dyDescent="0.35">
      <c r="C5784" s="82"/>
    </row>
    <row r="5785" spans="3:3" x14ac:dyDescent="0.35">
      <c r="C5785" s="82"/>
    </row>
    <row r="5786" spans="3:3" x14ac:dyDescent="0.35">
      <c r="C5786" s="82"/>
    </row>
    <row r="5787" spans="3:3" x14ac:dyDescent="0.35">
      <c r="C5787" s="82"/>
    </row>
    <row r="5788" spans="3:3" x14ac:dyDescent="0.35">
      <c r="C5788" s="82"/>
    </row>
    <row r="5789" spans="3:3" x14ac:dyDescent="0.35">
      <c r="C5789" s="82"/>
    </row>
    <row r="5790" spans="3:3" x14ac:dyDescent="0.35">
      <c r="C5790" s="82"/>
    </row>
    <row r="5791" spans="3:3" x14ac:dyDescent="0.35">
      <c r="C5791" s="82"/>
    </row>
    <row r="5792" spans="3:3" x14ac:dyDescent="0.35">
      <c r="C5792" s="82"/>
    </row>
    <row r="5793" spans="3:3" x14ac:dyDescent="0.35">
      <c r="C5793" s="82"/>
    </row>
    <row r="5794" spans="3:3" x14ac:dyDescent="0.35">
      <c r="C5794" s="82"/>
    </row>
    <row r="5795" spans="3:3" x14ac:dyDescent="0.35">
      <c r="C5795" s="82"/>
    </row>
    <row r="5796" spans="3:3" x14ac:dyDescent="0.35">
      <c r="C5796" s="82"/>
    </row>
    <row r="5797" spans="3:3" x14ac:dyDescent="0.35">
      <c r="C5797" s="82"/>
    </row>
    <row r="5798" spans="3:3" x14ac:dyDescent="0.35">
      <c r="C5798" s="82"/>
    </row>
    <row r="5799" spans="3:3" x14ac:dyDescent="0.35">
      <c r="C5799" s="82"/>
    </row>
    <row r="5800" spans="3:3" x14ac:dyDescent="0.35">
      <c r="C5800" s="82"/>
    </row>
    <row r="5801" spans="3:3" x14ac:dyDescent="0.35">
      <c r="C5801" s="82"/>
    </row>
    <row r="5802" spans="3:3" x14ac:dyDescent="0.35">
      <c r="C5802" s="82"/>
    </row>
    <row r="5803" spans="3:3" x14ac:dyDescent="0.35">
      <c r="C5803" s="82"/>
    </row>
    <row r="5804" spans="3:3" x14ac:dyDescent="0.35">
      <c r="C5804" s="82"/>
    </row>
    <row r="5805" spans="3:3" x14ac:dyDescent="0.35">
      <c r="C5805" s="82"/>
    </row>
    <row r="5806" spans="3:3" x14ac:dyDescent="0.35">
      <c r="C5806" s="82"/>
    </row>
    <row r="5807" spans="3:3" x14ac:dyDescent="0.35">
      <c r="C5807" s="82"/>
    </row>
    <row r="5808" spans="3:3" x14ac:dyDescent="0.35">
      <c r="C5808" s="82"/>
    </row>
    <row r="5809" spans="3:3" x14ac:dyDescent="0.35">
      <c r="C5809" s="82"/>
    </row>
    <row r="5810" spans="3:3" x14ac:dyDescent="0.35">
      <c r="C5810" s="82"/>
    </row>
    <row r="5811" spans="3:3" x14ac:dyDescent="0.35">
      <c r="C5811" s="82"/>
    </row>
    <row r="5812" spans="3:3" x14ac:dyDescent="0.35">
      <c r="C5812" s="82"/>
    </row>
    <row r="5813" spans="3:3" x14ac:dyDescent="0.35">
      <c r="C5813" s="82"/>
    </row>
    <row r="5814" spans="3:3" x14ac:dyDescent="0.35">
      <c r="C5814" s="82"/>
    </row>
    <row r="5815" spans="3:3" x14ac:dyDescent="0.35">
      <c r="C5815" s="82"/>
    </row>
    <row r="5816" spans="3:3" x14ac:dyDescent="0.35">
      <c r="C5816" s="82"/>
    </row>
    <row r="5817" spans="3:3" x14ac:dyDescent="0.35">
      <c r="C5817" s="82"/>
    </row>
    <row r="5818" spans="3:3" x14ac:dyDescent="0.35">
      <c r="C5818" s="82"/>
    </row>
    <row r="5819" spans="3:3" x14ac:dyDescent="0.35">
      <c r="C5819" s="82"/>
    </row>
    <row r="5820" spans="3:3" x14ac:dyDescent="0.35">
      <c r="C5820" s="82"/>
    </row>
    <row r="5821" spans="3:3" x14ac:dyDescent="0.35">
      <c r="C5821" s="82"/>
    </row>
    <row r="5822" spans="3:3" x14ac:dyDescent="0.35">
      <c r="C5822" s="82"/>
    </row>
    <row r="5823" spans="3:3" x14ac:dyDescent="0.35">
      <c r="C5823" s="82"/>
    </row>
    <row r="5824" spans="3:3" x14ac:dyDescent="0.35">
      <c r="C5824" s="82"/>
    </row>
    <row r="5825" spans="3:3" x14ac:dyDescent="0.35">
      <c r="C5825" s="82"/>
    </row>
    <row r="5826" spans="3:3" x14ac:dyDescent="0.35">
      <c r="C5826" s="82"/>
    </row>
    <row r="5827" spans="3:3" x14ac:dyDescent="0.35">
      <c r="C5827" s="82"/>
    </row>
    <row r="5828" spans="3:3" x14ac:dyDescent="0.35">
      <c r="C5828" s="82"/>
    </row>
    <row r="5829" spans="3:3" x14ac:dyDescent="0.35">
      <c r="C5829" s="82"/>
    </row>
    <row r="5830" spans="3:3" x14ac:dyDescent="0.35">
      <c r="C5830" s="82"/>
    </row>
    <row r="5831" spans="3:3" x14ac:dyDescent="0.35">
      <c r="C5831" s="82"/>
    </row>
    <row r="5832" spans="3:3" x14ac:dyDescent="0.35">
      <c r="C5832" s="82"/>
    </row>
    <row r="5833" spans="3:3" x14ac:dyDescent="0.35">
      <c r="C5833" s="82"/>
    </row>
    <row r="5834" spans="3:3" x14ac:dyDescent="0.35">
      <c r="C5834" s="82"/>
    </row>
    <row r="5835" spans="3:3" x14ac:dyDescent="0.35">
      <c r="C5835" s="82"/>
    </row>
    <row r="5836" spans="3:3" x14ac:dyDescent="0.35">
      <c r="C5836" s="82"/>
    </row>
    <row r="5837" spans="3:3" x14ac:dyDescent="0.35">
      <c r="C5837" s="82"/>
    </row>
    <row r="5838" spans="3:3" x14ac:dyDescent="0.35">
      <c r="C5838" s="82"/>
    </row>
    <row r="5839" spans="3:3" x14ac:dyDescent="0.35">
      <c r="C5839" s="82"/>
    </row>
    <row r="5840" spans="3:3" x14ac:dyDescent="0.35">
      <c r="C5840" s="82"/>
    </row>
    <row r="5841" spans="3:3" x14ac:dyDescent="0.35">
      <c r="C5841" s="82"/>
    </row>
    <row r="5842" spans="3:3" x14ac:dyDescent="0.35">
      <c r="C5842" s="82"/>
    </row>
    <row r="5843" spans="3:3" x14ac:dyDescent="0.35">
      <c r="C5843" s="82"/>
    </row>
    <row r="5844" spans="3:3" x14ac:dyDescent="0.35">
      <c r="C5844" s="82"/>
    </row>
    <row r="5845" spans="3:3" x14ac:dyDescent="0.35">
      <c r="C5845" s="82"/>
    </row>
    <row r="5846" spans="3:3" x14ac:dyDescent="0.35">
      <c r="C5846" s="82"/>
    </row>
    <row r="5847" spans="3:3" x14ac:dyDescent="0.35">
      <c r="C5847" s="82"/>
    </row>
    <row r="5848" spans="3:3" x14ac:dyDescent="0.35">
      <c r="C5848" s="82"/>
    </row>
    <row r="5849" spans="3:3" x14ac:dyDescent="0.35">
      <c r="C5849" s="82"/>
    </row>
    <row r="5850" spans="3:3" x14ac:dyDescent="0.35">
      <c r="C5850" s="82"/>
    </row>
    <row r="5851" spans="3:3" x14ac:dyDescent="0.35">
      <c r="C5851" s="82"/>
    </row>
    <row r="5852" spans="3:3" x14ac:dyDescent="0.35">
      <c r="C5852" s="82"/>
    </row>
    <row r="5853" spans="3:3" x14ac:dyDescent="0.35">
      <c r="C5853" s="82"/>
    </row>
    <row r="5854" spans="3:3" x14ac:dyDescent="0.35">
      <c r="C5854" s="82"/>
    </row>
    <row r="5855" spans="3:3" x14ac:dyDescent="0.35">
      <c r="C5855" s="82"/>
    </row>
    <row r="5856" spans="3:3" x14ac:dyDescent="0.35">
      <c r="C5856" s="82"/>
    </row>
    <row r="5857" spans="3:3" x14ac:dyDescent="0.35">
      <c r="C5857" s="82"/>
    </row>
    <row r="5858" spans="3:3" x14ac:dyDescent="0.35">
      <c r="C5858" s="82"/>
    </row>
    <row r="5859" spans="3:3" x14ac:dyDescent="0.35">
      <c r="C5859" s="82"/>
    </row>
    <row r="5860" spans="3:3" x14ac:dyDescent="0.35">
      <c r="C5860" s="82"/>
    </row>
    <row r="5861" spans="3:3" x14ac:dyDescent="0.35">
      <c r="C5861" s="82"/>
    </row>
    <row r="5862" spans="3:3" x14ac:dyDescent="0.35">
      <c r="C5862" s="82"/>
    </row>
    <row r="5863" spans="3:3" x14ac:dyDescent="0.35">
      <c r="C5863" s="82"/>
    </row>
    <row r="5864" spans="3:3" x14ac:dyDescent="0.35">
      <c r="C5864" s="82"/>
    </row>
    <row r="5865" spans="3:3" x14ac:dyDescent="0.35">
      <c r="C5865" s="82"/>
    </row>
    <row r="5866" spans="3:3" x14ac:dyDescent="0.35">
      <c r="C5866" s="82"/>
    </row>
    <row r="5867" spans="3:3" x14ac:dyDescent="0.35">
      <c r="C5867" s="82"/>
    </row>
    <row r="5868" spans="3:3" x14ac:dyDescent="0.35">
      <c r="C5868" s="82"/>
    </row>
    <row r="5869" spans="3:3" x14ac:dyDescent="0.35">
      <c r="C5869" s="82"/>
    </row>
    <row r="5870" spans="3:3" x14ac:dyDescent="0.35">
      <c r="C5870" s="82"/>
    </row>
    <row r="5871" spans="3:3" x14ac:dyDescent="0.35">
      <c r="C5871" s="82"/>
    </row>
    <row r="5872" spans="3:3" x14ac:dyDescent="0.35">
      <c r="C5872" s="82"/>
    </row>
    <row r="5873" spans="3:3" x14ac:dyDescent="0.35">
      <c r="C5873" s="82"/>
    </row>
    <row r="5874" spans="3:3" x14ac:dyDescent="0.35">
      <c r="C5874" s="82"/>
    </row>
    <row r="5875" spans="3:3" x14ac:dyDescent="0.35">
      <c r="C5875" s="82"/>
    </row>
    <row r="5876" spans="3:3" x14ac:dyDescent="0.35">
      <c r="C5876" s="82"/>
    </row>
    <row r="5877" spans="3:3" x14ac:dyDescent="0.35">
      <c r="C5877" s="82"/>
    </row>
    <row r="5878" spans="3:3" x14ac:dyDescent="0.35">
      <c r="C5878" s="82"/>
    </row>
    <row r="5879" spans="3:3" x14ac:dyDescent="0.35">
      <c r="C5879" s="82"/>
    </row>
    <row r="5880" spans="3:3" x14ac:dyDescent="0.35">
      <c r="C5880" s="82"/>
    </row>
    <row r="5881" spans="3:3" x14ac:dyDescent="0.35">
      <c r="C5881" s="82"/>
    </row>
    <row r="5882" spans="3:3" x14ac:dyDescent="0.35">
      <c r="C5882" s="82"/>
    </row>
    <row r="5883" spans="3:3" x14ac:dyDescent="0.35">
      <c r="C5883" s="82"/>
    </row>
    <row r="5884" spans="3:3" x14ac:dyDescent="0.35">
      <c r="C5884" s="82"/>
    </row>
    <row r="5885" spans="3:3" x14ac:dyDescent="0.35">
      <c r="C5885" s="82"/>
    </row>
    <row r="5886" spans="3:3" x14ac:dyDescent="0.35">
      <c r="C5886" s="82"/>
    </row>
    <row r="5887" spans="3:3" x14ac:dyDescent="0.35">
      <c r="C5887" s="82"/>
    </row>
    <row r="5888" spans="3:3" x14ac:dyDescent="0.35">
      <c r="C5888" s="82"/>
    </row>
    <row r="5889" spans="3:3" x14ac:dyDescent="0.35">
      <c r="C5889" s="82"/>
    </row>
    <row r="5890" spans="3:3" x14ac:dyDescent="0.35">
      <c r="C5890" s="82"/>
    </row>
    <row r="5891" spans="3:3" x14ac:dyDescent="0.35">
      <c r="C5891" s="82"/>
    </row>
    <row r="5892" spans="3:3" x14ac:dyDescent="0.35">
      <c r="C5892" s="82"/>
    </row>
    <row r="5893" spans="3:3" x14ac:dyDescent="0.35">
      <c r="C5893" s="82"/>
    </row>
    <row r="5894" spans="3:3" x14ac:dyDescent="0.35">
      <c r="C5894" s="82"/>
    </row>
    <row r="5895" spans="3:3" x14ac:dyDescent="0.35">
      <c r="C5895" s="82"/>
    </row>
    <row r="5896" spans="3:3" x14ac:dyDescent="0.35">
      <c r="C5896" s="82"/>
    </row>
    <row r="5897" spans="3:3" x14ac:dyDescent="0.35">
      <c r="C5897" s="82"/>
    </row>
    <row r="5898" spans="3:3" x14ac:dyDescent="0.35">
      <c r="C5898" s="82"/>
    </row>
    <row r="5899" spans="3:3" x14ac:dyDescent="0.35">
      <c r="C5899" s="82"/>
    </row>
    <row r="5900" spans="3:3" x14ac:dyDescent="0.35">
      <c r="C5900" s="82"/>
    </row>
    <row r="5901" spans="3:3" x14ac:dyDescent="0.35">
      <c r="C5901" s="82"/>
    </row>
    <row r="5902" spans="3:3" x14ac:dyDescent="0.35">
      <c r="C5902" s="82"/>
    </row>
    <row r="5903" spans="3:3" x14ac:dyDescent="0.35">
      <c r="C5903" s="82"/>
    </row>
    <row r="5904" spans="3:3" x14ac:dyDescent="0.35">
      <c r="C5904" s="82"/>
    </row>
    <row r="5905" spans="3:3" x14ac:dyDescent="0.35">
      <c r="C5905" s="82"/>
    </row>
    <row r="5906" spans="3:3" x14ac:dyDescent="0.35">
      <c r="C5906" s="82"/>
    </row>
    <row r="5907" spans="3:3" x14ac:dyDescent="0.35">
      <c r="C5907" s="82"/>
    </row>
    <row r="5908" spans="3:3" x14ac:dyDescent="0.35">
      <c r="C5908" s="82"/>
    </row>
    <row r="5909" spans="3:3" x14ac:dyDescent="0.35">
      <c r="C5909" s="82"/>
    </row>
    <row r="5910" spans="3:3" x14ac:dyDescent="0.35">
      <c r="C5910" s="82"/>
    </row>
    <row r="5911" spans="3:3" x14ac:dyDescent="0.35">
      <c r="C5911" s="82"/>
    </row>
    <row r="5912" spans="3:3" x14ac:dyDescent="0.35">
      <c r="C5912" s="82"/>
    </row>
    <row r="5913" spans="3:3" x14ac:dyDescent="0.35">
      <c r="C5913" s="82"/>
    </row>
    <row r="5914" spans="3:3" x14ac:dyDescent="0.35">
      <c r="C5914" s="82"/>
    </row>
    <row r="5915" spans="3:3" x14ac:dyDescent="0.35">
      <c r="C5915" s="82"/>
    </row>
    <row r="5916" spans="3:3" x14ac:dyDescent="0.35">
      <c r="C5916" s="82"/>
    </row>
    <row r="5917" spans="3:3" x14ac:dyDescent="0.35">
      <c r="C5917" s="82"/>
    </row>
    <row r="5918" spans="3:3" x14ac:dyDescent="0.35">
      <c r="C5918" s="82"/>
    </row>
    <row r="5919" spans="3:3" x14ac:dyDescent="0.35">
      <c r="C5919" s="82"/>
    </row>
    <row r="5920" spans="3:3" x14ac:dyDescent="0.35">
      <c r="C5920" s="82"/>
    </row>
    <row r="5921" spans="1:9" x14ac:dyDescent="0.35">
      <c r="C5921" s="82"/>
    </row>
    <row r="5922" spans="1:9" x14ac:dyDescent="0.35">
      <c r="C5922" s="82"/>
    </row>
    <row r="5923" spans="1:9" x14ac:dyDescent="0.35">
      <c r="C5923" s="82"/>
    </row>
    <row r="5924" spans="1:9" x14ac:dyDescent="0.35">
      <c r="C5924" s="82"/>
    </row>
    <row r="5925" spans="1:9" x14ac:dyDescent="0.35">
      <c r="C5925" s="82"/>
    </row>
    <row r="5926" spans="1:9" x14ac:dyDescent="0.35">
      <c r="C5926" s="82"/>
    </row>
    <row r="5927" spans="1:9" x14ac:dyDescent="0.35">
      <c r="C5927" s="82"/>
    </row>
    <row r="5928" spans="1:9" x14ac:dyDescent="0.35">
      <c r="C5928" s="82"/>
    </row>
    <row r="5929" spans="1:9" x14ac:dyDescent="0.35">
      <c r="C5929" s="82"/>
    </row>
    <row r="5930" spans="1:9" x14ac:dyDescent="0.35">
      <c r="C5930" s="82"/>
    </row>
    <row r="5931" spans="1:9" x14ac:dyDescent="0.35">
      <c r="C5931" s="82"/>
    </row>
    <row r="5932" spans="1:9" x14ac:dyDescent="0.35">
      <c r="C5932" s="82"/>
    </row>
    <row r="5933" spans="1:9" x14ac:dyDescent="0.35">
      <c r="C5933" s="82"/>
    </row>
    <row r="5934" spans="1:9" s="83" customFormat="1" x14ac:dyDescent="0.35">
      <c r="A5934" s="77"/>
      <c r="B5934" s="64"/>
      <c r="C5934" s="82"/>
      <c r="D5934" s="64"/>
      <c r="E5934" s="96"/>
      <c r="F5934" s="64"/>
      <c r="G5934" s="70"/>
      <c r="H5934" s="84"/>
      <c r="I5934" s="84"/>
    </row>
    <row r="5935" spans="1:9" s="83" customFormat="1" x14ac:dyDescent="0.35">
      <c r="A5935" s="77"/>
      <c r="B5935" s="64"/>
      <c r="C5935" s="82"/>
      <c r="D5935" s="64"/>
      <c r="E5935" s="96"/>
      <c r="F5935" s="64"/>
      <c r="G5935" s="70"/>
      <c r="H5935" s="84"/>
      <c r="I5935" s="84"/>
    </row>
    <row r="5936" spans="1:9" s="83" customFormat="1" x14ac:dyDescent="0.35">
      <c r="A5936" s="77"/>
      <c r="B5936" s="64"/>
      <c r="C5936" s="82"/>
      <c r="D5936" s="64"/>
      <c r="E5936" s="96"/>
      <c r="F5936" s="64"/>
      <c r="G5936" s="70"/>
      <c r="H5936" s="84"/>
      <c r="I5936" s="84"/>
    </row>
    <row r="5937" spans="1:9" s="83" customFormat="1" x14ac:dyDescent="0.35">
      <c r="A5937" s="77"/>
      <c r="B5937" s="64"/>
      <c r="C5937" s="82"/>
      <c r="D5937" s="64"/>
      <c r="E5937" s="96"/>
      <c r="F5937" s="64"/>
      <c r="G5937" s="70"/>
      <c r="H5937" s="84"/>
      <c r="I5937" s="84"/>
    </row>
    <row r="5938" spans="1:9" s="83" customFormat="1" x14ac:dyDescent="0.35">
      <c r="A5938" s="77"/>
      <c r="B5938" s="64"/>
      <c r="C5938" s="82"/>
      <c r="D5938" s="64"/>
      <c r="E5938" s="96"/>
      <c r="F5938" s="64"/>
      <c r="G5938" s="70"/>
      <c r="H5938" s="84"/>
      <c r="I5938" s="84"/>
    </row>
    <row r="5939" spans="1:9" s="83" customFormat="1" x14ac:dyDescent="0.35">
      <c r="A5939" s="77"/>
      <c r="B5939" s="64"/>
      <c r="C5939" s="82"/>
      <c r="D5939" s="64"/>
      <c r="E5939" s="96"/>
      <c r="F5939" s="64"/>
      <c r="G5939" s="70"/>
      <c r="H5939" s="84"/>
      <c r="I5939" s="84"/>
    </row>
    <row r="5940" spans="1:9" s="83" customFormat="1" x14ac:dyDescent="0.35">
      <c r="A5940" s="77"/>
      <c r="B5940" s="64"/>
      <c r="C5940" s="82"/>
      <c r="D5940" s="64"/>
      <c r="E5940" s="96"/>
      <c r="F5940" s="64"/>
      <c r="G5940" s="70"/>
      <c r="H5940" s="84"/>
      <c r="I5940" s="84"/>
    </row>
    <row r="5941" spans="1:9" s="83" customFormat="1" x14ac:dyDescent="0.35">
      <c r="A5941" s="77"/>
      <c r="B5941" s="64"/>
      <c r="C5941" s="82"/>
      <c r="D5941" s="64"/>
      <c r="E5941" s="96"/>
      <c r="F5941" s="64"/>
      <c r="G5941" s="70"/>
      <c r="H5941" s="84"/>
      <c r="I5941" s="84"/>
    </row>
    <row r="5942" spans="1:9" s="83" customFormat="1" x14ac:dyDescent="0.35">
      <c r="A5942" s="77"/>
      <c r="B5942" s="64"/>
      <c r="C5942" s="82"/>
      <c r="D5942" s="64"/>
      <c r="E5942" s="96"/>
      <c r="F5942" s="64"/>
      <c r="G5942" s="70"/>
      <c r="H5942" s="84"/>
      <c r="I5942" s="84"/>
    </row>
    <row r="5943" spans="1:9" s="83" customFormat="1" x14ac:dyDescent="0.35">
      <c r="A5943" s="77"/>
      <c r="B5943" s="64"/>
      <c r="C5943" s="82"/>
      <c r="D5943" s="64"/>
      <c r="E5943" s="96"/>
      <c r="F5943" s="64"/>
      <c r="G5943" s="70"/>
      <c r="H5943" s="84"/>
      <c r="I5943" s="84"/>
    </row>
    <row r="5944" spans="1:9" s="83" customFormat="1" x14ac:dyDescent="0.35">
      <c r="A5944" s="77"/>
      <c r="B5944" s="64"/>
      <c r="C5944" s="82"/>
      <c r="D5944" s="64"/>
      <c r="E5944" s="96"/>
      <c r="F5944" s="64"/>
      <c r="G5944" s="70"/>
      <c r="H5944" s="84"/>
      <c r="I5944" s="84"/>
    </row>
    <row r="5945" spans="1:9" s="83" customFormat="1" x14ac:dyDescent="0.35">
      <c r="A5945" s="77"/>
      <c r="B5945" s="64"/>
      <c r="C5945" s="82"/>
      <c r="D5945" s="64"/>
      <c r="E5945" s="96"/>
      <c r="F5945" s="64"/>
      <c r="G5945" s="70"/>
      <c r="H5945" s="84"/>
      <c r="I5945" s="84"/>
    </row>
    <row r="5946" spans="1:9" s="83" customFormat="1" x14ac:dyDescent="0.35">
      <c r="A5946" s="77"/>
      <c r="B5946" s="64"/>
      <c r="C5946" s="82"/>
      <c r="D5946" s="64"/>
      <c r="E5946" s="96"/>
      <c r="F5946" s="64"/>
      <c r="G5946" s="70"/>
      <c r="H5946" s="84"/>
      <c r="I5946" s="84"/>
    </row>
    <row r="5947" spans="1:9" s="83" customFormat="1" x14ac:dyDescent="0.35">
      <c r="A5947" s="77"/>
      <c r="B5947" s="64"/>
      <c r="C5947" s="82"/>
      <c r="D5947" s="64"/>
      <c r="E5947" s="96"/>
      <c r="F5947" s="64"/>
      <c r="G5947" s="70"/>
      <c r="H5947" s="84"/>
      <c r="I5947" s="84"/>
    </row>
    <row r="5948" spans="1:9" s="83" customFormat="1" x14ac:dyDescent="0.35">
      <c r="A5948" s="77"/>
      <c r="B5948" s="64"/>
      <c r="C5948" s="82"/>
      <c r="D5948" s="64"/>
      <c r="E5948" s="96"/>
      <c r="F5948" s="64"/>
      <c r="G5948" s="70"/>
      <c r="H5948" s="84"/>
      <c r="I5948" s="84"/>
    </row>
    <row r="5949" spans="1:9" s="83" customFormat="1" x14ac:dyDescent="0.35">
      <c r="A5949" s="77"/>
      <c r="B5949" s="64"/>
      <c r="C5949" s="82"/>
      <c r="D5949" s="86"/>
      <c r="E5949" s="96"/>
      <c r="F5949" s="64"/>
      <c r="G5949" s="70"/>
      <c r="H5949" s="84"/>
      <c r="I5949" s="84"/>
    </row>
    <row r="5950" spans="1:9" x14ac:dyDescent="0.35">
      <c r="C5950" s="82"/>
    </row>
    <row r="5951" spans="1:9" x14ac:dyDescent="0.35">
      <c r="C5951" s="82"/>
    </row>
    <row r="5952" spans="1:9" x14ac:dyDescent="0.35">
      <c r="C5952" s="82"/>
    </row>
    <row r="5953" spans="3:3" x14ac:dyDescent="0.35">
      <c r="C5953" s="82"/>
    </row>
    <row r="5954" spans="3:3" x14ac:dyDescent="0.35">
      <c r="C5954" s="82"/>
    </row>
    <row r="5955" spans="3:3" x14ac:dyDescent="0.35">
      <c r="C5955" s="82"/>
    </row>
    <row r="5956" spans="3:3" x14ac:dyDescent="0.35">
      <c r="C5956" s="82"/>
    </row>
    <row r="5957" spans="3:3" x14ac:dyDescent="0.35">
      <c r="C5957" s="82"/>
    </row>
    <row r="5958" spans="3:3" x14ac:dyDescent="0.35">
      <c r="C5958" s="82"/>
    </row>
    <row r="5959" spans="3:3" x14ac:dyDescent="0.35">
      <c r="C5959" s="82"/>
    </row>
    <row r="5960" spans="3:3" x14ac:dyDescent="0.35">
      <c r="C5960" s="82"/>
    </row>
    <row r="5961" spans="3:3" x14ac:dyDescent="0.35">
      <c r="C5961" s="82"/>
    </row>
    <row r="5962" spans="3:3" x14ac:dyDescent="0.35">
      <c r="C5962" s="82"/>
    </row>
    <row r="5963" spans="3:3" x14ac:dyDescent="0.35">
      <c r="C5963" s="82"/>
    </row>
    <row r="5964" spans="3:3" x14ac:dyDescent="0.35">
      <c r="C5964" s="82"/>
    </row>
    <row r="5965" spans="3:3" x14ac:dyDescent="0.35">
      <c r="C5965" s="82"/>
    </row>
    <row r="5966" spans="3:3" x14ac:dyDescent="0.35">
      <c r="C5966" s="82"/>
    </row>
    <row r="5967" spans="3:3" x14ac:dyDescent="0.35">
      <c r="C5967" s="82"/>
    </row>
    <row r="5968" spans="3:3" x14ac:dyDescent="0.35">
      <c r="C5968" s="82"/>
    </row>
    <row r="5969" spans="1:9" x14ac:dyDescent="0.35">
      <c r="C5969" s="82"/>
    </row>
    <row r="5970" spans="1:9" x14ac:dyDescent="0.35">
      <c r="C5970" s="82"/>
    </row>
    <row r="5971" spans="1:9" x14ac:dyDescent="0.35">
      <c r="C5971" s="82"/>
    </row>
    <row r="5972" spans="1:9" x14ac:dyDescent="0.35">
      <c r="C5972" s="82"/>
    </row>
    <row r="5973" spans="1:9" x14ac:dyDescent="0.35">
      <c r="C5973" s="82"/>
    </row>
    <row r="5974" spans="1:9" x14ac:dyDescent="0.35">
      <c r="C5974" s="82"/>
    </row>
    <row r="5975" spans="1:9" x14ac:dyDescent="0.35">
      <c r="C5975" s="82"/>
    </row>
    <row r="5976" spans="1:9" x14ac:dyDescent="0.35">
      <c r="C5976" s="82"/>
    </row>
    <row r="5977" spans="1:9" x14ac:dyDescent="0.35">
      <c r="C5977" s="82"/>
    </row>
    <row r="5978" spans="1:9" x14ac:dyDescent="0.35">
      <c r="C5978" s="82"/>
    </row>
    <row r="5979" spans="1:9" x14ac:dyDescent="0.35">
      <c r="C5979" s="82"/>
    </row>
    <row r="5980" spans="1:9" x14ac:dyDescent="0.35">
      <c r="C5980" s="82"/>
    </row>
    <row r="5981" spans="1:9" x14ac:dyDescent="0.35">
      <c r="C5981" s="82"/>
    </row>
    <row r="5982" spans="1:9" s="83" customFormat="1" x14ac:dyDescent="0.35">
      <c r="A5982" s="77"/>
      <c r="B5982" s="64"/>
      <c r="C5982" s="82"/>
      <c r="D5982" s="64"/>
      <c r="E5982" s="96"/>
      <c r="F5982" s="64"/>
      <c r="G5982" s="70"/>
      <c r="H5982" s="84"/>
      <c r="I5982" s="84"/>
    </row>
    <row r="5983" spans="1:9" s="83" customFormat="1" x14ac:dyDescent="0.35">
      <c r="A5983" s="77"/>
      <c r="B5983" s="64"/>
      <c r="C5983" s="82"/>
      <c r="D5983" s="64"/>
      <c r="E5983" s="96"/>
      <c r="F5983" s="64"/>
      <c r="G5983" s="70"/>
      <c r="H5983" s="84"/>
      <c r="I5983" s="84"/>
    </row>
    <row r="5984" spans="1:9" s="83" customFormat="1" x14ac:dyDescent="0.35">
      <c r="A5984" s="77"/>
      <c r="B5984" s="64"/>
      <c r="C5984" s="82"/>
      <c r="D5984" s="64"/>
      <c r="E5984" s="96"/>
      <c r="F5984" s="64"/>
      <c r="G5984" s="70"/>
      <c r="H5984" s="84"/>
      <c r="I5984" s="84"/>
    </row>
    <row r="5985" spans="1:9" s="83" customFormat="1" x14ac:dyDescent="0.35">
      <c r="A5985" s="77"/>
      <c r="B5985" s="64"/>
      <c r="C5985" s="82"/>
      <c r="D5985" s="64"/>
      <c r="E5985" s="96"/>
      <c r="F5985" s="64"/>
      <c r="G5985" s="70"/>
      <c r="H5985" s="84"/>
      <c r="I5985" s="84"/>
    </row>
    <row r="5986" spans="1:9" s="83" customFormat="1" x14ac:dyDescent="0.35">
      <c r="A5986" s="77"/>
      <c r="B5986" s="64"/>
      <c r="C5986" s="82"/>
      <c r="D5986" s="64"/>
      <c r="E5986" s="96"/>
      <c r="F5986" s="64"/>
      <c r="G5986" s="70"/>
      <c r="H5986" s="84"/>
      <c r="I5986" s="84"/>
    </row>
    <row r="5987" spans="1:9" s="83" customFormat="1" x14ac:dyDescent="0.35">
      <c r="A5987" s="77"/>
      <c r="B5987" s="64"/>
      <c r="C5987" s="82"/>
      <c r="D5987" s="64"/>
      <c r="E5987" s="96"/>
      <c r="F5987" s="64"/>
      <c r="G5987" s="70"/>
      <c r="H5987" s="84"/>
      <c r="I5987" s="84"/>
    </row>
    <row r="5988" spans="1:9" s="83" customFormat="1" x14ac:dyDescent="0.35">
      <c r="A5988" s="77"/>
      <c r="B5988" s="64"/>
      <c r="C5988" s="82"/>
      <c r="D5988" s="64"/>
      <c r="E5988" s="96"/>
      <c r="F5988" s="64"/>
      <c r="G5988" s="70"/>
      <c r="H5988" s="84"/>
      <c r="I5988" s="84"/>
    </row>
    <row r="5989" spans="1:9" s="83" customFormat="1" x14ac:dyDescent="0.35">
      <c r="A5989" s="77"/>
      <c r="B5989" s="64"/>
      <c r="C5989" s="82"/>
      <c r="D5989" s="64"/>
      <c r="E5989" s="96"/>
      <c r="F5989" s="64"/>
      <c r="G5989" s="70"/>
      <c r="H5989" s="84"/>
      <c r="I5989" s="84"/>
    </row>
    <row r="5990" spans="1:9" s="83" customFormat="1" x14ac:dyDescent="0.35">
      <c r="A5990" s="77"/>
      <c r="B5990" s="64"/>
      <c r="C5990" s="82"/>
      <c r="D5990" s="64"/>
      <c r="E5990" s="96"/>
      <c r="F5990" s="64"/>
      <c r="G5990" s="70"/>
      <c r="H5990" s="84"/>
      <c r="I5990" s="84"/>
    </row>
    <row r="5991" spans="1:9" s="83" customFormat="1" x14ac:dyDescent="0.35">
      <c r="A5991" s="77"/>
      <c r="B5991" s="64"/>
      <c r="C5991" s="82"/>
      <c r="D5991" s="64"/>
      <c r="E5991" s="96"/>
      <c r="F5991" s="64"/>
      <c r="G5991" s="70"/>
      <c r="H5991" s="84"/>
      <c r="I5991" s="84"/>
    </row>
    <row r="5992" spans="1:9" s="83" customFormat="1" x14ac:dyDescent="0.35">
      <c r="A5992" s="77"/>
      <c r="B5992" s="64"/>
      <c r="C5992" s="82"/>
      <c r="D5992" s="64"/>
      <c r="E5992" s="96"/>
      <c r="F5992" s="64"/>
      <c r="G5992" s="70"/>
      <c r="H5992" s="84"/>
      <c r="I5992" s="84"/>
    </row>
    <row r="5993" spans="1:9" s="83" customFormat="1" x14ac:dyDescent="0.35">
      <c r="A5993" s="77"/>
      <c r="B5993" s="64"/>
      <c r="C5993" s="82"/>
      <c r="D5993" s="64"/>
      <c r="E5993" s="96"/>
      <c r="F5993" s="64"/>
      <c r="G5993" s="70"/>
      <c r="H5993" s="84"/>
      <c r="I5993" s="84"/>
    </row>
    <row r="5994" spans="1:9" s="83" customFormat="1" x14ac:dyDescent="0.35">
      <c r="A5994" s="77"/>
      <c r="B5994" s="64"/>
      <c r="C5994" s="82"/>
      <c r="D5994" s="86"/>
      <c r="E5994" s="96"/>
      <c r="F5994" s="64"/>
      <c r="G5994" s="70"/>
      <c r="H5994" s="84"/>
      <c r="I5994" s="84"/>
    </row>
    <row r="5995" spans="1:9" s="83" customFormat="1" x14ac:dyDescent="0.35">
      <c r="A5995" s="77"/>
      <c r="B5995" s="64"/>
      <c r="C5995" s="82"/>
      <c r="D5995" s="64"/>
      <c r="E5995" s="96"/>
      <c r="F5995" s="64"/>
      <c r="G5995" s="70"/>
      <c r="H5995" s="84"/>
      <c r="I5995" s="84"/>
    </row>
    <row r="5996" spans="1:9" s="83" customFormat="1" x14ac:dyDescent="0.35">
      <c r="A5996" s="77"/>
      <c r="B5996" s="64"/>
      <c r="C5996" s="82"/>
      <c r="D5996" s="64"/>
      <c r="E5996" s="96"/>
      <c r="F5996" s="64"/>
      <c r="G5996" s="70"/>
      <c r="H5996" s="84"/>
      <c r="I5996" s="84"/>
    </row>
    <row r="5997" spans="1:9" s="83" customFormat="1" x14ac:dyDescent="0.35">
      <c r="A5997" s="77"/>
      <c r="B5997" s="64"/>
      <c r="C5997" s="82"/>
      <c r="D5997" s="64"/>
      <c r="E5997" s="96"/>
      <c r="F5997" s="64"/>
      <c r="G5997" s="70"/>
      <c r="H5997" s="84"/>
      <c r="I5997" s="84"/>
    </row>
    <row r="5998" spans="1:9" x14ac:dyDescent="0.35">
      <c r="C5998" s="82"/>
    </row>
    <row r="5999" spans="1:9" x14ac:dyDescent="0.35">
      <c r="C5999" s="82"/>
    </row>
    <row r="6000" spans="1:9" x14ac:dyDescent="0.35">
      <c r="C6000" s="82"/>
    </row>
    <row r="6001" spans="3:3" x14ac:dyDescent="0.35">
      <c r="C6001" s="82"/>
    </row>
    <row r="6002" spans="3:3" x14ac:dyDescent="0.35">
      <c r="C6002" s="82"/>
    </row>
    <row r="6003" spans="3:3" x14ac:dyDescent="0.35">
      <c r="C6003" s="82"/>
    </row>
    <row r="6004" spans="3:3" x14ac:dyDescent="0.35">
      <c r="C6004" s="82"/>
    </row>
    <row r="6005" spans="3:3" x14ac:dyDescent="0.35">
      <c r="C6005" s="82"/>
    </row>
    <row r="6006" spans="3:3" x14ac:dyDescent="0.35">
      <c r="C6006" s="82"/>
    </row>
    <row r="6007" spans="3:3" x14ac:dyDescent="0.35">
      <c r="C6007" s="82"/>
    </row>
    <row r="6008" spans="3:3" x14ac:dyDescent="0.35">
      <c r="C6008" s="82"/>
    </row>
    <row r="6009" spans="3:3" x14ac:dyDescent="0.35">
      <c r="C6009" s="82"/>
    </row>
    <row r="6010" spans="3:3" x14ac:dyDescent="0.35">
      <c r="C6010" s="82"/>
    </row>
    <row r="6011" spans="3:3" x14ac:dyDescent="0.35">
      <c r="C6011" s="82"/>
    </row>
    <row r="6012" spans="3:3" x14ac:dyDescent="0.35">
      <c r="C6012" s="82"/>
    </row>
    <row r="6013" spans="3:3" x14ac:dyDescent="0.35">
      <c r="C6013" s="82"/>
    </row>
    <row r="6014" spans="3:3" x14ac:dyDescent="0.35">
      <c r="C6014" s="82"/>
    </row>
    <row r="6015" spans="3:3" x14ac:dyDescent="0.35">
      <c r="C6015" s="82"/>
    </row>
    <row r="6016" spans="3:3" x14ac:dyDescent="0.35">
      <c r="C6016" s="82"/>
    </row>
    <row r="6017" spans="1:9" x14ac:dyDescent="0.35">
      <c r="C6017" s="82"/>
    </row>
    <row r="6018" spans="1:9" x14ac:dyDescent="0.35">
      <c r="C6018" s="82"/>
    </row>
    <row r="6019" spans="1:9" x14ac:dyDescent="0.35">
      <c r="C6019" s="82"/>
    </row>
    <row r="6020" spans="1:9" x14ac:dyDescent="0.35">
      <c r="C6020" s="82"/>
    </row>
    <row r="6021" spans="1:9" x14ac:dyDescent="0.35">
      <c r="C6021" s="82"/>
    </row>
    <row r="6022" spans="1:9" x14ac:dyDescent="0.35">
      <c r="C6022" s="82"/>
    </row>
    <row r="6023" spans="1:9" x14ac:dyDescent="0.35">
      <c r="C6023" s="82"/>
    </row>
    <row r="6024" spans="1:9" x14ac:dyDescent="0.35">
      <c r="C6024" s="82"/>
    </row>
    <row r="6025" spans="1:9" x14ac:dyDescent="0.35">
      <c r="C6025" s="82"/>
    </row>
    <row r="6026" spans="1:9" x14ac:dyDescent="0.35">
      <c r="C6026" s="82"/>
    </row>
    <row r="6027" spans="1:9" x14ac:dyDescent="0.35">
      <c r="C6027" s="82"/>
    </row>
    <row r="6028" spans="1:9" x14ac:dyDescent="0.35">
      <c r="C6028" s="82"/>
    </row>
    <row r="6029" spans="1:9" x14ac:dyDescent="0.35">
      <c r="C6029" s="82"/>
    </row>
    <row r="6030" spans="1:9" s="83" customFormat="1" x14ac:dyDescent="0.35">
      <c r="A6030" s="77"/>
      <c r="B6030" s="64"/>
      <c r="C6030" s="82"/>
      <c r="D6030" s="64"/>
      <c r="E6030" s="96"/>
      <c r="F6030" s="64"/>
      <c r="G6030" s="70"/>
      <c r="H6030" s="84"/>
      <c r="I6030" s="84"/>
    </row>
    <row r="6031" spans="1:9" s="83" customFormat="1" x14ac:dyDescent="0.35">
      <c r="A6031" s="77"/>
      <c r="B6031" s="64"/>
      <c r="C6031" s="82"/>
      <c r="D6031" s="64"/>
      <c r="E6031" s="96"/>
      <c r="F6031" s="64"/>
      <c r="G6031" s="70"/>
      <c r="H6031" s="84"/>
      <c r="I6031" s="84"/>
    </row>
    <row r="6032" spans="1:9" s="83" customFormat="1" x14ac:dyDescent="0.35">
      <c r="A6032" s="77"/>
      <c r="B6032" s="64"/>
      <c r="C6032" s="82"/>
      <c r="D6032" s="64"/>
      <c r="E6032" s="96"/>
      <c r="F6032" s="64"/>
      <c r="G6032" s="70"/>
      <c r="H6032" s="84"/>
      <c r="I6032" s="84"/>
    </row>
    <row r="6033" spans="1:9" s="83" customFormat="1" x14ac:dyDescent="0.35">
      <c r="A6033" s="77"/>
      <c r="B6033" s="64"/>
      <c r="C6033" s="82"/>
      <c r="D6033" s="64"/>
      <c r="E6033" s="96"/>
      <c r="F6033" s="64"/>
      <c r="G6033" s="70"/>
      <c r="H6033" s="84"/>
      <c r="I6033" s="84"/>
    </row>
    <row r="6034" spans="1:9" s="83" customFormat="1" x14ac:dyDescent="0.35">
      <c r="A6034" s="77"/>
      <c r="B6034" s="64"/>
      <c r="C6034" s="82"/>
      <c r="D6034" s="64"/>
      <c r="E6034" s="96"/>
      <c r="F6034" s="64"/>
      <c r="G6034" s="70"/>
      <c r="H6034" s="84"/>
      <c r="I6034" s="84"/>
    </row>
    <row r="6035" spans="1:9" s="83" customFormat="1" x14ac:dyDescent="0.35">
      <c r="A6035" s="77"/>
      <c r="B6035" s="64"/>
      <c r="C6035" s="82"/>
      <c r="D6035" s="64"/>
      <c r="E6035" s="96"/>
      <c r="F6035" s="64"/>
      <c r="G6035" s="70"/>
      <c r="H6035" s="84"/>
      <c r="I6035" s="84"/>
    </row>
    <row r="6036" spans="1:9" s="83" customFormat="1" x14ac:dyDescent="0.35">
      <c r="A6036" s="77"/>
      <c r="B6036" s="64"/>
      <c r="C6036" s="82"/>
      <c r="D6036" s="64"/>
      <c r="E6036" s="96"/>
      <c r="F6036" s="64"/>
      <c r="G6036" s="70"/>
      <c r="H6036" s="84"/>
      <c r="I6036" s="84"/>
    </row>
    <row r="6037" spans="1:9" s="83" customFormat="1" x14ac:dyDescent="0.35">
      <c r="A6037" s="77"/>
      <c r="B6037" s="64"/>
      <c r="C6037" s="82"/>
      <c r="D6037" s="64"/>
      <c r="E6037" s="96"/>
      <c r="F6037" s="64"/>
      <c r="G6037" s="70"/>
      <c r="H6037" s="84"/>
      <c r="I6037" s="84"/>
    </row>
    <row r="6038" spans="1:9" s="83" customFormat="1" x14ac:dyDescent="0.35">
      <c r="A6038" s="77"/>
      <c r="B6038" s="64"/>
      <c r="C6038" s="82"/>
      <c r="D6038" s="64"/>
      <c r="E6038" s="96"/>
      <c r="F6038" s="64"/>
      <c r="G6038" s="70"/>
      <c r="H6038" s="84"/>
      <c r="I6038" s="84"/>
    </row>
    <row r="6039" spans="1:9" s="83" customFormat="1" x14ac:dyDescent="0.35">
      <c r="A6039" s="77"/>
      <c r="B6039" s="64"/>
      <c r="C6039" s="82"/>
      <c r="D6039" s="64"/>
      <c r="E6039" s="96"/>
      <c r="F6039" s="64"/>
      <c r="G6039" s="70"/>
      <c r="H6039" s="84"/>
      <c r="I6039" s="84"/>
    </row>
    <row r="6040" spans="1:9" s="83" customFormat="1" x14ac:dyDescent="0.35">
      <c r="A6040" s="77"/>
      <c r="B6040" s="64"/>
      <c r="C6040" s="82"/>
      <c r="D6040" s="64"/>
      <c r="E6040" s="96"/>
      <c r="F6040" s="64"/>
      <c r="G6040" s="70"/>
      <c r="H6040" s="84"/>
      <c r="I6040" s="84"/>
    </row>
    <row r="6041" spans="1:9" s="83" customFormat="1" x14ac:dyDescent="0.35">
      <c r="A6041" s="77"/>
      <c r="B6041" s="64"/>
      <c r="C6041" s="82"/>
      <c r="D6041" s="64"/>
      <c r="E6041" s="96"/>
      <c r="F6041" s="64"/>
      <c r="G6041" s="70"/>
      <c r="H6041" s="84"/>
      <c r="I6041" s="84"/>
    </row>
    <row r="6042" spans="1:9" s="83" customFormat="1" x14ac:dyDescent="0.35">
      <c r="A6042" s="77"/>
      <c r="B6042" s="64"/>
      <c r="C6042" s="82"/>
      <c r="D6042" s="64"/>
      <c r="E6042" s="96"/>
      <c r="F6042" s="64"/>
      <c r="G6042" s="70"/>
      <c r="H6042" s="84"/>
      <c r="I6042" s="84"/>
    </row>
    <row r="6043" spans="1:9" s="83" customFormat="1" x14ac:dyDescent="0.35">
      <c r="A6043" s="77"/>
      <c r="B6043" s="64"/>
      <c r="C6043" s="82"/>
      <c r="D6043" s="86"/>
      <c r="E6043" s="96"/>
      <c r="F6043" s="64"/>
      <c r="G6043" s="70"/>
      <c r="H6043" s="84"/>
      <c r="I6043" s="84"/>
    </row>
    <row r="6044" spans="1:9" s="83" customFormat="1" x14ac:dyDescent="0.35">
      <c r="A6044" s="77"/>
      <c r="B6044" s="64"/>
      <c r="C6044" s="82"/>
      <c r="D6044" s="64"/>
      <c r="E6044" s="96"/>
      <c r="F6044" s="64"/>
      <c r="G6044" s="70"/>
      <c r="H6044" s="84"/>
      <c r="I6044" s="84"/>
    </row>
    <row r="6045" spans="1:9" s="83" customFormat="1" x14ac:dyDescent="0.35">
      <c r="A6045" s="77"/>
      <c r="B6045" s="64"/>
      <c r="C6045" s="82"/>
      <c r="D6045" s="86"/>
      <c r="E6045" s="96"/>
      <c r="F6045" s="64"/>
      <c r="G6045" s="70"/>
      <c r="H6045" s="84"/>
      <c r="I6045" s="84"/>
    </row>
    <row r="6046" spans="1:9" s="83" customFormat="1" x14ac:dyDescent="0.35">
      <c r="A6046" s="77"/>
      <c r="B6046" s="64"/>
      <c r="C6046" s="82"/>
      <c r="D6046" s="64"/>
      <c r="E6046" s="96"/>
      <c r="F6046" s="64"/>
      <c r="G6046" s="70"/>
      <c r="H6046" s="84"/>
      <c r="I6046" s="84"/>
    </row>
    <row r="6047" spans="1:9" s="83" customFormat="1" x14ac:dyDescent="0.35">
      <c r="A6047" s="77"/>
      <c r="B6047" s="64"/>
      <c r="C6047" s="82"/>
      <c r="D6047" s="86"/>
      <c r="E6047" s="96"/>
      <c r="F6047" s="64"/>
      <c r="G6047" s="70"/>
      <c r="H6047" s="84"/>
      <c r="I6047" s="84"/>
    </row>
    <row r="6048" spans="1:9" s="83" customFormat="1" x14ac:dyDescent="0.35">
      <c r="A6048" s="77"/>
      <c r="B6048" s="64"/>
      <c r="C6048" s="82"/>
      <c r="D6048" s="64"/>
      <c r="E6048" s="96"/>
      <c r="F6048" s="64"/>
      <c r="G6048" s="70"/>
      <c r="H6048" s="84"/>
      <c r="I6048" s="84"/>
    </row>
    <row r="6049" spans="1:9" s="83" customFormat="1" x14ac:dyDescent="0.35">
      <c r="A6049" s="77"/>
      <c r="B6049" s="64"/>
      <c r="C6049" s="82"/>
      <c r="D6049" s="86"/>
      <c r="E6049" s="96"/>
      <c r="F6049" s="64"/>
      <c r="G6049" s="70"/>
      <c r="H6049" s="84"/>
      <c r="I6049" s="84"/>
    </row>
    <row r="6050" spans="1:9" s="83" customFormat="1" x14ac:dyDescent="0.35">
      <c r="A6050" s="77"/>
      <c r="B6050" s="64"/>
      <c r="C6050" s="82"/>
      <c r="D6050" s="64"/>
      <c r="E6050" s="96"/>
      <c r="F6050" s="64"/>
      <c r="G6050" s="70"/>
      <c r="H6050" s="84"/>
      <c r="I6050" s="84"/>
    </row>
    <row r="6051" spans="1:9" s="83" customFormat="1" x14ac:dyDescent="0.35">
      <c r="A6051" s="77"/>
      <c r="B6051" s="64"/>
      <c r="C6051" s="82"/>
      <c r="D6051" s="86"/>
      <c r="E6051" s="96"/>
      <c r="F6051" s="64"/>
      <c r="G6051" s="70"/>
      <c r="H6051" s="84"/>
      <c r="I6051" s="84"/>
    </row>
    <row r="6052" spans="1:9" s="83" customFormat="1" x14ac:dyDescent="0.35">
      <c r="A6052" s="77"/>
      <c r="B6052" s="64"/>
      <c r="C6052" s="82"/>
      <c r="D6052" s="64"/>
      <c r="E6052" s="96"/>
      <c r="F6052" s="64"/>
      <c r="G6052" s="70"/>
      <c r="H6052" s="84"/>
      <c r="I6052" s="84"/>
    </row>
    <row r="6053" spans="1:9" s="83" customFormat="1" x14ac:dyDescent="0.35">
      <c r="A6053" s="77"/>
      <c r="B6053" s="64"/>
      <c r="C6053" s="82"/>
      <c r="D6053" s="86"/>
      <c r="E6053" s="96"/>
      <c r="F6053" s="64"/>
      <c r="G6053" s="70"/>
      <c r="H6053" s="84"/>
      <c r="I6053" s="84"/>
    </row>
    <row r="6054" spans="1:9" s="83" customFormat="1" x14ac:dyDescent="0.35">
      <c r="A6054" s="77"/>
      <c r="B6054" s="64"/>
      <c r="C6054" s="82"/>
      <c r="D6054" s="64"/>
      <c r="E6054" s="96"/>
      <c r="F6054" s="64"/>
      <c r="G6054" s="70"/>
      <c r="H6054" s="84"/>
      <c r="I6054" s="84"/>
    </row>
    <row r="6055" spans="1:9" s="83" customFormat="1" x14ac:dyDescent="0.35">
      <c r="A6055" s="77"/>
      <c r="B6055" s="64"/>
      <c r="C6055" s="82"/>
      <c r="D6055" s="86"/>
      <c r="E6055" s="96"/>
      <c r="F6055" s="64"/>
      <c r="G6055" s="70"/>
      <c r="H6055" s="84"/>
      <c r="I6055" s="84"/>
    </row>
    <row r="6056" spans="1:9" s="83" customFormat="1" x14ac:dyDescent="0.35">
      <c r="A6056" s="77"/>
      <c r="B6056" s="64"/>
      <c r="C6056" s="82"/>
      <c r="D6056" s="64"/>
      <c r="E6056" s="96"/>
      <c r="F6056" s="64"/>
      <c r="G6056" s="70"/>
      <c r="H6056" s="84"/>
      <c r="I6056" s="84"/>
    </row>
    <row r="6057" spans="1:9" s="83" customFormat="1" x14ac:dyDescent="0.35">
      <c r="A6057" s="77"/>
      <c r="B6057" s="64"/>
      <c r="C6057" s="82"/>
      <c r="D6057" s="86"/>
      <c r="E6057" s="96"/>
      <c r="F6057" s="64"/>
      <c r="G6057" s="70"/>
      <c r="H6057" s="84"/>
      <c r="I6057" s="84"/>
    </row>
    <row r="6058" spans="1:9" s="83" customFormat="1" x14ac:dyDescent="0.35">
      <c r="A6058" s="77"/>
      <c r="B6058" s="64"/>
      <c r="C6058" s="82"/>
      <c r="D6058" s="64"/>
      <c r="E6058" s="96"/>
      <c r="F6058" s="64"/>
      <c r="G6058" s="70"/>
      <c r="H6058" s="84"/>
      <c r="I6058" s="84"/>
    </row>
    <row r="6059" spans="1:9" s="83" customFormat="1" x14ac:dyDescent="0.35">
      <c r="A6059" s="77"/>
      <c r="B6059" s="64"/>
      <c r="C6059" s="82"/>
      <c r="D6059" s="64"/>
      <c r="E6059" s="96"/>
      <c r="F6059" s="64"/>
      <c r="G6059" s="70"/>
      <c r="H6059" s="84"/>
      <c r="I6059" s="84"/>
    </row>
    <row r="6060" spans="1:9" s="83" customFormat="1" x14ac:dyDescent="0.35">
      <c r="A6060" s="77"/>
      <c r="B6060" s="64"/>
      <c r="C6060" s="82"/>
      <c r="D6060" s="64"/>
      <c r="E6060" s="96"/>
      <c r="F6060" s="64"/>
      <c r="G6060" s="70"/>
      <c r="H6060" s="84"/>
      <c r="I6060" s="84"/>
    </row>
    <row r="6061" spans="1:9" s="83" customFormat="1" x14ac:dyDescent="0.35">
      <c r="A6061" s="77"/>
      <c r="B6061" s="64"/>
      <c r="C6061" s="82"/>
      <c r="D6061" s="64"/>
      <c r="E6061" s="96"/>
      <c r="F6061" s="64"/>
      <c r="G6061" s="70"/>
      <c r="H6061" s="84"/>
      <c r="I6061" s="84"/>
    </row>
    <row r="6062" spans="1:9" x14ac:dyDescent="0.35">
      <c r="C6062" s="82"/>
    </row>
    <row r="6063" spans="1:9" x14ac:dyDescent="0.35">
      <c r="C6063" s="82"/>
    </row>
    <row r="6064" spans="1:9" x14ac:dyDescent="0.35">
      <c r="C6064" s="82"/>
    </row>
    <row r="6065" spans="3:3" x14ac:dyDescent="0.35">
      <c r="C6065" s="82"/>
    </row>
    <row r="6066" spans="3:3" x14ac:dyDescent="0.35">
      <c r="C6066" s="82"/>
    </row>
    <row r="6067" spans="3:3" x14ac:dyDescent="0.35">
      <c r="C6067" s="82"/>
    </row>
    <row r="6068" spans="3:3" x14ac:dyDescent="0.35">
      <c r="C6068" s="82"/>
    </row>
    <row r="6069" spans="3:3" x14ac:dyDescent="0.35">
      <c r="C6069" s="82"/>
    </row>
    <row r="6070" spans="3:3" x14ac:dyDescent="0.35">
      <c r="C6070" s="82"/>
    </row>
    <row r="6071" spans="3:3" x14ac:dyDescent="0.35">
      <c r="C6071" s="82"/>
    </row>
    <row r="6072" spans="3:3" x14ac:dyDescent="0.35">
      <c r="C6072" s="82"/>
    </row>
    <row r="6073" spans="3:3" x14ac:dyDescent="0.35">
      <c r="C6073" s="82"/>
    </row>
    <row r="6074" spans="3:3" x14ac:dyDescent="0.35">
      <c r="C6074" s="82"/>
    </row>
    <row r="6075" spans="3:3" x14ac:dyDescent="0.35">
      <c r="C6075" s="82"/>
    </row>
    <row r="6076" spans="3:3" x14ac:dyDescent="0.35">
      <c r="C6076" s="82"/>
    </row>
    <row r="6077" spans="3:3" x14ac:dyDescent="0.35">
      <c r="C6077" s="82"/>
    </row>
    <row r="6078" spans="3:3" x14ac:dyDescent="0.35">
      <c r="C6078" s="82"/>
    </row>
    <row r="6079" spans="3:3" x14ac:dyDescent="0.35">
      <c r="C6079" s="82"/>
    </row>
    <row r="6080" spans="3:3" x14ac:dyDescent="0.35">
      <c r="C6080" s="82"/>
    </row>
    <row r="6081" spans="1:9" x14ac:dyDescent="0.35">
      <c r="C6081" s="82"/>
    </row>
    <row r="6082" spans="1:9" x14ac:dyDescent="0.35">
      <c r="C6082" s="82"/>
    </row>
    <row r="6083" spans="1:9" x14ac:dyDescent="0.35">
      <c r="C6083" s="82"/>
    </row>
    <row r="6084" spans="1:9" x14ac:dyDescent="0.35">
      <c r="C6084" s="82"/>
    </row>
    <row r="6085" spans="1:9" x14ac:dyDescent="0.35">
      <c r="C6085" s="82"/>
    </row>
    <row r="6086" spans="1:9" x14ac:dyDescent="0.35">
      <c r="C6086" s="82"/>
    </row>
    <row r="6087" spans="1:9" x14ac:dyDescent="0.35">
      <c r="C6087" s="82"/>
    </row>
    <row r="6088" spans="1:9" x14ac:dyDescent="0.35">
      <c r="C6088" s="82"/>
    </row>
    <row r="6089" spans="1:9" x14ac:dyDescent="0.35">
      <c r="C6089" s="82"/>
    </row>
    <row r="6090" spans="1:9" x14ac:dyDescent="0.35">
      <c r="C6090" s="82"/>
    </row>
    <row r="6091" spans="1:9" x14ac:dyDescent="0.35">
      <c r="C6091" s="82"/>
    </row>
    <row r="6092" spans="1:9" x14ac:dyDescent="0.35">
      <c r="C6092" s="82"/>
    </row>
    <row r="6093" spans="1:9" x14ac:dyDescent="0.35">
      <c r="C6093" s="82"/>
    </row>
    <row r="6094" spans="1:9" s="83" customFormat="1" x14ac:dyDescent="0.35">
      <c r="A6094" s="77"/>
      <c r="B6094" s="64"/>
      <c r="C6094" s="82"/>
      <c r="D6094" s="64"/>
      <c r="E6094" s="96"/>
      <c r="F6094" s="64"/>
      <c r="G6094" s="70"/>
      <c r="H6094" s="84"/>
      <c r="I6094" s="84"/>
    </row>
    <row r="6095" spans="1:9" s="83" customFormat="1" x14ac:dyDescent="0.35">
      <c r="A6095" s="77"/>
      <c r="B6095" s="64"/>
      <c r="C6095" s="82"/>
      <c r="D6095" s="64"/>
      <c r="E6095" s="96"/>
      <c r="F6095" s="64"/>
      <c r="G6095" s="70"/>
      <c r="H6095" s="84"/>
      <c r="I6095" s="84"/>
    </row>
    <row r="6096" spans="1:9" s="83" customFormat="1" x14ac:dyDescent="0.35">
      <c r="A6096" s="77"/>
      <c r="B6096" s="64"/>
      <c r="C6096" s="82"/>
      <c r="D6096" s="86"/>
      <c r="E6096" s="96"/>
      <c r="F6096" s="64"/>
      <c r="G6096" s="70"/>
      <c r="H6096" s="84"/>
      <c r="I6096" s="84"/>
    </row>
    <row r="6097" spans="1:9" s="83" customFormat="1" x14ac:dyDescent="0.35">
      <c r="A6097" s="77"/>
      <c r="B6097" s="64"/>
      <c r="C6097" s="82"/>
      <c r="D6097" s="64"/>
      <c r="E6097" s="96"/>
      <c r="F6097" s="64"/>
      <c r="G6097" s="70"/>
      <c r="H6097" s="84"/>
      <c r="I6097" s="84"/>
    </row>
    <row r="6098" spans="1:9" s="83" customFormat="1" x14ac:dyDescent="0.35">
      <c r="A6098" s="77"/>
      <c r="B6098" s="64"/>
      <c r="C6098" s="82"/>
      <c r="D6098" s="64"/>
      <c r="E6098" s="96"/>
      <c r="F6098" s="64"/>
      <c r="G6098" s="70"/>
      <c r="H6098" s="84"/>
      <c r="I6098" s="84"/>
    </row>
    <row r="6099" spans="1:9" s="83" customFormat="1" x14ac:dyDescent="0.35">
      <c r="A6099" s="77"/>
      <c r="B6099" s="64"/>
      <c r="C6099" s="82"/>
      <c r="D6099" s="64"/>
      <c r="E6099" s="96"/>
      <c r="F6099" s="64"/>
      <c r="G6099" s="70"/>
      <c r="H6099" s="84"/>
      <c r="I6099" s="84"/>
    </row>
    <row r="6100" spans="1:9" s="83" customFormat="1" x14ac:dyDescent="0.35">
      <c r="A6100" s="77"/>
      <c r="B6100" s="64"/>
      <c r="C6100" s="82"/>
      <c r="D6100" s="64"/>
      <c r="E6100" s="96"/>
      <c r="F6100" s="64"/>
      <c r="G6100" s="70"/>
      <c r="H6100" s="84"/>
      <c r="I6100" s="84"/>
    </row>
    <row r="6101" spans="1:9" s="83" customFormat="1" x14ac:dyDescent="0.35">
      <c r="A6101" s="77"/>
      <c r="B6101" s="64"/>
      <c r="C6101" s="82"/>
      <c r="D6101" s="64"/>
      <c r="E6101" s="96"/>
      <c r="F6101" s="64"/>
      <c r="G6101" s="70"/>
      <c r="H6101" s="84"/>
      <c r="I6101" s="84"/>
    </row>
    <row r="6102" spans="1:9" s="83" customFormat="1" x14ac:dyDescent="0.35">
      <c r="A6102" s="77"/>
      <c r="B6102" s="64"/>
      <c r="C6102" s="82"/>
      <c r="D6102" s="64"/>
      <c r="E6102" s="96"/>
      <c r="F6102" s="64"/>
      <c r="G6102" s="70"/>
      <c r="H6102" s="84"/>
      <c r="I6102" s="84"/>
    </row>
    <row r="6103" spans="1:9" s="83" customFormat="1" x14ac:dyDescent="0.35">
      <c r="A6103" s="77"/>
      <c r="B6103" s="64"/>
      <c r="C6103" s="82"/>
      <c r="D6103" s="64"/>
      <c r="E6103" s="96"/>
      <c r="F6103" s="64"/>
      <c r="G6103" s="70"/>
      <c r="H6103" s="84"/>
      <c r="I6103" s="84"/>
    </row>
    <row r="6104" spans="1:9" s="83" customFormat="1" x14ac:dyDescent="0.35">
      <c r="A6104" s="77"/>
      <c r="B6104" s="64"/>
      <c r="C6104" s="82"/>
      <c r="D6104" s="64"/>
      <c r="E6104" s="96"/>
      <c r="F6104" s="64"/>
      <c r="G6104" s="70"/>
      <c r="H6104" s="84"/>
      <c r="I6104" s="84"/>
    </row>
    <row r="6105" spans="1:9" s="83" customFormat="1" x14ac:dyDescent="0.35">
      <c r="A6105" s="77"/>
      <c r="B6105" s="64"/>
      <c r="C6105" s="82"/>
      <c r="D6105" s="64"/>
      <c r="E6105" s="96"/>
      <c r="F6105" s="64"/>
      <c r="G6105" s="70"/>
      <c r="H6105" s="84"/>
      <c r="I6105" s="84"/>
    </row>
    <row r="6106" spans="1:9" s="83" customFormat="1" x14ac:dyDescent="0.35">
      <c r="A6106" s="77"/>
      <c r="B6106" s="64"/>
      <c r="C6106" s="82"/>
      <c r="D6106" s="64"/>
      <c r="E6106" s="96"/>
      <c r="F6106" s="64"/>
      <c r="G6106" s="70"/>
      <c r="H6106" s="84"/>
      <c r="I6106" s="84"/>
    </row>
    <row r="6107" spans="1:9" s="83" customFormat="1" x14ac:dyDescent="0.35">
      <c r="A6107" s="77"/>
      <c r="B6107" s="64"/>
      <c r="C6107" s="82"/>
      <c r="D6107" s="64"/>
      <c r="E6107" s="96"/>
      <c r="F6107" s="64"/>
      <c r="G6107" s="70"/>
      <c r="H6107" s="84"/>
      <c r="I6107" s="84"/>
    </row>
    <row r="6108" spans="1:9" s="83" customFormat="1" x14ac:dyDescent="0.35">
      <c r="A6108" s="77"/>
      <c r="B6108" s="64"/>
      <c r="C6108" s="82"/>
      <c r="D6108" s="64"/>
      <c r="E6108" s="96"/>
      <c r="F6108" s="64"/>
      <c r="G6108" s="70"/>
      <c r="H6108" s="84"/>
      <c r="I6108" s="84"/>
    </row>
    <row r="6109" spans="1:9" s="83" customFormat="1" x14ac:dyDescent="0.35">
      <c r="A6109" s="77"/>
      <c r="B6109" s="64"/>
      <c r="C6109" s="82"/>
      <c r="D6109" s="64"/>
      <c r="E6109" s="96"/>
      <c r="F6109" s="64"/>
      <c r="G6109" s="70"/>
      <c r="H6109" s="84"/>
      <c r="I6109" s="84"/>
    </row>
    <row r="6110" spans="1:9" x14ac:dyDescent="0.35">
      <c r="C6110" s="82"/>
    </row>
    <row r="6111" spans="1:9" x14ac:dyDescent="0.35">
      <c r="C6111" s="82"/>
    </row>
    <row r="6112" spans="1:9" x14ac:dyDescent="0.35">
      <c r="C6112" s="82"/>
    </row>
    <row r="6113" spans="3:3" x14ac:dyDescent="0.35">
      <c r="C6113" s="82"/>
    </row>
    <row r="6114" spans="3:3" x14ac:dyDescent="0.35">
      <c r="C6114" s="82"/>
    </row>
    <row r="6115" spans="3:3" x14ac:dyDescent="0.35">
      <c r="C6115" s="82"/>
    </row>
    <row r="6116" spans="3:3" x14ac:dyDescent="0.35">
      <c r="C6116" s="82"/>
    </row>
    <row r="6117" spans="3:3" x14ac:dyDescent="0.35">
      <c r="C6117" s="82"/>
    </row>
    <row r="6118" spans="3:3" x14ac:dyDescent="0.35">
      <c r="C6118" s="82"/>
    </row>
    <row r="6119" spans="3:3" x14ac:dyDescent="0.35">
      <c r="C6119" s="82"/>
    </row>
    <row r="6120" spans="3:3" x14ac:dyDescent="0.35">
      <c r="C6120" s="82"/>
    </row>
    <row r="6121" spans="3:3" x14ac:dyDescent="0.35">
      <c r="C6121" s="82"/>
    </row>
    <row r="6122" spans="3:3" x14ac:dyDescent="0.35">
      <c r="C6122" s="82"/>
    </row>
    <row r="6123" spans="3:3" x14ac:dyDescent="0.35">
      <c r="C6123" s="82"/>
    </row>
    <row r="6124" spans="3:3" x14ac:dyDescent="0.35">
      <c r="C6124" s="82"/>
    </row>
    <row r="6125" spans="3:3" x14ac:dyDescent="0.35">
      <c r="C6125" s="82"/>
    </row>
    <row r="6126" spans="3:3" x14ac:dyDescent="0.35">
      <c r="C6126" s="82"/>
    </row>
    <row r="6127" spans="3:3" x14ac:dyDescent="0.35">
      <c r="C6127" s="82"/>
    </row>
    <row r="6128" spans="3:3" x14ac:dyDescent="0.35">
      <c r="C6128" s="82"/>
    </row>
    <row r="6129" spans="3:3" x14ac:dyDescent="0.35">
      <c r="C6129" s="82"/>
    </row>
    <row r="6130" spans="3:3" x14ac:dyDescent="0.35">
      <c r="C6130" s="82"/>
    </row>
    <row r="6131" spans="3:3" x14ac:dyDescent="0.35">
      <c r="C6131" s="82"/>
    </row>
    <row r="6132" spans="3:3" x14ac:dyDescent="0.35">
      <c r="C6132" s="82"/>
    </row>
    <row r="6133" spans="3:3" x14ac:dyDescent="0.35">
      <c r="C6133" s="82"/>
    </row>
    <row r="6134" spans="3:3" x14ac:dyDescent="0.35">
      <c r="C6134" s="82"/>
    </row>
    <row r="6135" spans="3:3" x14ac:dyDescent="0.35">
      <c r="C6135" s="82"/>
    </row>
    <row r="6136" spans="3:3" x14ac:dyDescent="0.35">
      <c r="C6136" s="82"/>
    </row>
    <row r="6137" spans="3:3" x14ac:dyDescent="0.35">
      <c r="C6137" s="82"/>
    </row>
    <row r="6138" spans="3:3" x14ac:dyDescent="0.35">
      <c r="C6138" s="82"/>
    </row>
    <row r="6139" spans="3:3" x14ac:dyDescent="0.35">
      <c r="C6139" s="82"/>
    </row>
    <row r="6140" spans="3:3" x14ac:dyDescent="0.35">
      <c r="C6140" s="82"/>
    </row>
    <row r="6141" spans="3:3" x14ac:dyDescent="0.35">
      <c r="C6141" s="82"/>
    </row>
    <row r="6142" spans="3:3" x14ac:dyDescent="0.35">
      <c r="C6142" s="82"/>
    </row>
    <row r="6143" spans="3:3" x14ac:dyDescent="0.35">
      <c r="C6143" s="82"/>
    </row>
    <row r="6144" spans="3:3" x14ac:dyDescent="0.35">
      <c r="C6144" s="82"/>
    </row>
    <row r="6145" spans="3:3" x14ac:dyDescent="0.35">
      <c r="C6145" s="82"/>
    </row>
    <row r="6146" spans="3:3" x14ac:dyDescent="0.35">
      <c r="C6146" s="82"/>
    </row>
    <row r="6147" spans="3:3" x14ac:dyDescent="0.35">
      <c r="C6147" s="82"/>
    </row>
    <row r="6148" spans="3:3" x14ac:dyDescent="0.35">
      <c r="C6148" s="82"/>
    </row>
    <row r="6149" spans="3:3" x14ac:dyDescent="0.35">
      <c r="C6149" s="82"/>
    </row>
    <row r="6150" spans="3:3" x14ac:dyDescent="0.35">
      <c r="C6150" s="82"/>
    </row>
    <row r="6151" spans="3:3" x14ac:dyDescent="0.35">
      <c r="C6151" s="82"/>
    </row>
    <row r="6152" spans="3:3" x14ac:dyDescent="0.35">
      <c r="C6152" s="82"/>
    </row>
    <row r="6153" spans="3:3" x14ac:dyDescent="0.35">
      <c r="C6153" s="82"/>
    </row>
    <row r="6154" spans="3:3" x14ac:dyDescent="0.35">
      <c r="C6154" s="82"/>
    </row>
    <row r="6155" spans="3:3" x14ac:dyDescent="0.35">
      <c r="C6155" s="82"/>
    </row>
    <row r="6156" spans="3:3" x14ac:dyDescent="0.35">
      <c r="C6156" s="82"/>
    </row>
    <row r="6157" spans="3:3" x14ac:dyDescent="0.35">
      <c r="C6157" s="82"/>
    </row>
    <row r="6158" spans="3:3" x14ac:dyDescent="0.35">
      <c r="C6158" s="82"/>
    </row>
    <row r="6159" spans="3:3" x14ac:dyDescent="0.35">
      <c r="C6159" s="82"/>
    </row>
    <row r="6160" spans="3:3" x14ac:dyDescent="0.35">
      <c r="C6160" s="82"/>
    </row>
    <row r="6161" spans="1:9" x14ac:dyDescent="0.35">
      <c r="C6161" s="82"/>
    </row>
    <row r="6162" spans="1:9" x14ac:dyDescent="0.35">
      <c r="C6162" s="82"/>
    </row>
    <row r="6163" spans="1:9" x14ac:dyDescent="0.35">
      <c r="C6163" s="82"/>
    </row>
    <row r="6164" spans="1:9" x14ac:dyDescent="0.35">
      <c r="C6164" s="82"/>
    </row>
    <row r="6165" spans="1:9" x14ac:dyDescent="0.35">
      <c r="C6165" s="82"/>
    </row>
    <row r="6166" spans="1:9" x14ac:dyDescent="0.35">
      <c r="C6166" s="82"/>
    </row>
    <row r="6167" spans="1:9" x14ac:dyDescent="0.35">
      <c r="C6167" s="82"/>
    </row>
    <row r="6168" spans="1:9" x14ac:dyDescent="0.35">
      <c r="C6168" s="82"/>
    </row>
    <row r="6169" spans="1:9" x14ac:dyDescent="0.35">
      <c r="C6169" s="82"/>
    </row>
    <row r="6170" spans="1:9" x14ac:dyDescent="0.35">
      <c r="C6170" s="82"/>
    </row>
    <row r="6171" spans="1:9" x14ac:dyDescent="0.35">
      <c r="C6171" s="82"/>
    </row>
    <row r="6172" spans="1:9" x14ac:dyDescent="0.35">
      <c r="C6172" s="82"/>
    </row>
    <row r="6173" spans="1:9" x14ac:dyDescent="0.35">
      <c r="C6173" s="82"/>
    </row>
    <row r="6174" spans="1:9" s="83" customFormat="1" x14ac:dyDescent="0.35">
      <c r="A6174" s="77"/>
      <c r="B6174" s="64"/>
      <c r="C6174" s="82"/>
      <c r="D6174" s="64"/>
      <c r="E6174" s="96"/>
      <c r="F6174" s="64"/>
      <c r="G6174" s="70"/>
      <c r="H6174" s="84"/>
      <c r="I6174" s="84"/>
    </row>
    <row r="6175" spans="1:9" s="83" customFormat="1" x14ac:dyDescent="0.35">
      <c r="A6175" s="77"/>
      <c r="B6175" s="64"/>
      <c r="C6175" s="82"/>
      <c r="D6175" s="64"/>
      <c r="E6175" s="96"/>
      <c r="F6175" s="64"/>
      <c r="G6175" s="70"/>
      <c r="H6175" s="84"/>
      <c r="I6175" s="84"/>
    </row>
    <row r="6176" spans="1:9" s="83" customFormat="1" x14ac:dyDescent="0.35">
      <c r="A6176" s="77"/>
      <c r="B6176" s="64"/>
      <c r="C6176" s="82"/>
      <c r="D6176" s="64"/>
      <c r="E6176" s="96"/>
      <c r="F6176" s="64"/>
      <c r="G6176" s="70"/>
      <c r="H6176" s="84"/>
      <c r="I6176" s="84"/>
    </row>
    <row r="6177" spans="1:9" s="83" customFormat="1" x14ac:dyDescent="0.35">
      <c r="A6177" s="77"/>
      <c r="B6177" s="64"/>
      <c r="C6177" s="82"/>
      <c r="D6177" s="64"/>
      <c r="E6177" s="96"/>
      <c r="F6177" s="64"/>
      <c r="G6177" s="70"/>
      <c r="H6177" s="84"/>
      <c r="I6177" s="84"/>
    </row>
    <row r="6178" spans="1:9" s="83" customFormat="1" x14ac:dyDescent="0.35">
      <c r="A6178" s="77"/>
      <c r="B6178" s="64"/>
      <c r="C6178" s="82"/>
      <c r="D6178" s="64"/>
      <c r="E6178" s="96"/>
      <c r="F6178" s="64"/>
      <c r="G6178" s="70"/>
      <c r="H6178" s="84"/>
      <c r="I6178" s="84"/>
    </row>
    <row r="6179" spans="1:9" s="83" customFormat="1" x14ac:dyDescent="0.35">
      <c r="A6179" s="77"/>
      <c r="B6179" s="64"/>
      <c r="C6179" s="82"/>
      <c r="D6179" s="64"/>
      <c r="E6179" s="96"/>
      <c r="F6179" s="64"/>
      <c r="G6179" s="70"/>
      <c r="H6179" s="84"/>
      <c r="I6179" s="84"/>
    </row>
    <row r="6180" spans="1:9" s="83" customFormat="1" x14ac:dyDescent="0.35">
      <c r="A6180" s="77"/>
      <c r="B6180" s="64"/>
      <c r="C6180" s="82"/>
      <c r="D6180" s="64"/>
      <c r="E6180" s="96"/>
      <c r="F6180" s="64"/>
      <c r="G6180" s="70"/>
      <c r="H6180" s="84"/>
      <c r="I6180" s="84"/>
    </row>
    <row r="6181" spans="1:9" s="83" customFormat="1" x14ac:dyDescent="0.35">
      <c r="A6181" s="77"/>
      <c r="B6181" s="64"/>
      <c r="C6181" s="82"/>
      <c r="D6181" s="64"/>
      <c r="E6181" s="96"/>
      <c r="F6181" s="64"/>
      <c r="G6181" s="70"/>
      <c r="H6181" s="84"/>
      <c r="I6181" s="84"/>
    </row>
    <row r="6182" spans="1:9" s="83" customFormat="1" x14ac:dyDescent="0.35">
      <c r="A6182" s="77"/>
      <c r="B6182" s="64"/>
      <c r="C6182" s="82"/>
      <c r="D6182" s="64"/>
      <c r="E6182" s="96"/>
      <c r="F6182" s="64"/>
      <c r="G6182" s="70"/>
      <c r="H6182" s="84"/>
      <c r="I6182" s="84"/>
    </row>
    <row r="6183" spans="1:9" s="83" customFormat="1" x14ac:dyDescent="0.35">
      <c r="A6183" s="77"/>
      <c r="B6183" s="64"/>
      <c r="C6183" s="82"/>
      <c r="D6183" s="64"/>
      <c r="E6183" s="96"/>
      <c r="F6183" s="64"/>
      <c r="G6183" s="70"/>
      <c r="H6183" s="84"/>
      <c r="I6183" s="84"/>
    </row>
    <row r="6184" spans="1:9" s="83" customFormat="1" x14ac:dyDescent="0.35">
      <c r="A6184" s="77"/>
      <c r="B6184" s="64"/>
      <c r="C6184" s="82"/>
      <c r="D6184" s="64"/>
      <c r="E6184" s="96"/>
      <c r="F6184" s="64"/>
      <c r="G6184" s="70"/>
      <c r="H6184" s="84"/>
      <c r="I6184" s="84"/>
    </row>
    <row r="6185" spans="1:9" s="83" customFormat="1" x14ac:dyDescent="0.35">
      <c r="A6185" s="77"/>
      <c r="B6185" s="64"/>
      <c r="C6185" s="82"/>
      <c r="D6185" s="64"/>
      <c r="E6185" s="96"/>
      <c r="F6185" s="64"/>
      <c r="G6185" s="70"/>
      <c r="H6185" s="84"/>
      <c r="I6185" s="84"/>
    </row>
    <row r="6186" spans="1:9" s="83" customFormat="1" x14ac:dyDescent="0.35">
      <c r="A6186" s="77"/>
      <c r="B6186" s="64"/>
      <c r="C6186" s="82"/>
      <c r="D6186" s="64"/>
      <c r="E6186" s="96"/>
      <c r="F6186" s="64"/>
      <c r="G6186" s="70"/>
      <c r="H6186" s="84"/>
      <c r="I6186" s="84"/>
    </row>
    <row r="6187" spans="1:9" s="83" customFormat="1" x14ac:dyDescent="0.35">
      <c r="A6187" s="77"/>
      <c r="B6187" s="64"/>
      <c r="C6187" s="82"/>
      <c r="D6187" s="64"/>
      <c r="E6187" s="96"/>
      <c r="F6187" s="64"/>
      <c r="G6187" s="70"/>
      <c r="H6187" s="84"/>
      <c r="I6187" s="84"/>
    </row>
    <row r="6188" spans="1:9" s="83" customFormat="1" x14ac:dyDescent="0.35">
      <c r="A6188" s="77"/>
      <c r="B6188" s="64"/>
      <c r="C6188" s="82"/>
      <c r="D6188" s="64"/>
      <c r="E6188" s="96"/>
      <c r="F6188" s="64"/>
      <c r="G6188" s="70"/>
      <c r="H6188" s="84"/>
      <c r="I6188" s="84"/>
    </row>
    <row r="6189" spans="1:9" s="83" customFormat="1" x14ac:dyDescent="0.35">
      <c r="A6189" s="77"/>
      <c r="B6189" s="64"/>
      <c r="C6189" s="82"/>
      <c r="D6189" s="86"/>
      <c r="E6189" s="96"/>
      <c r="F6189" s="64"/>
      <c r="G6189" s="70"/>
      <c r="H6189" s="84"/>
      <c r="I6189" s="84"/>
    </row>
    <row r="6190" spans="1:9" x14ac:dyDescent="0.35">
      <c r="C6190" s="82"/>
    </row>
    <row r="6191" spans="1:9" x14ac:dyDescent="0.35">
      <c r="C6191" s="82"/>
    </row>
    <row r="6192" spans="1:9" x14ac:dyDescent="0.35">
      <c r="C6192" s="82"/>
    </row>
    <row r="6193" spans="3:3" x14ac:dyDescent="0.35">
      <c r="C6193" s="82"/>
    </row>
    <row r="6194" spans="3:3" x14ac:dyDescent="0.35">
      <c r="C6194" s="82"/>
    </row>
    <row r="6195" spans="3:3" x14ac:dyDescent="0.35">
      <c r="C6195" s="82"/>
    </row>
    <row r="6196" spans="3:3" x14ac:dyDescent="0.35">
      <c r="C6196" s="82"/>
    </row>
    <row r="6197" spans="3:3" x14ac:dyDescent="0.35">
      <c r="C6197" s="82"/>
    </row>
    <row r="6198" spans="3:3" x14ac:dyDescent="0.35">
      <c r="C6198" s="82"/>
    </row>
    <row r="6199" spans="3:3" x14ac:dyDescent="0.35">
      <c r="C6199" s="82"/>
    </row>
    <row r="6200" spans="3:3" x14ac:dyDescent="0.35">
      <c r="C6200" s="82"/>
    </row>
    <row r="6201" spans="3:3" x14ac:dyDescent="0.35">
      <c r="C6201" s="82"/>
    </row>
    <row r="6202" spans="3:3" x14ac:dyDescent="0.35">
      <c r="C6202" s="82"/>
    </row>
    <row r="6203" spans="3:3" x14ac:dyDescent="0.35">
      <c r="C6203" s="82"/>
    </row>
    <row r="6204" spans="3:3" x14ac:dyDescent="0.35">
      <c r="C6204" s="82"/>
    </row>
    <row r="6205" spans="3:3" x14ac:dyDescent="0.35">
      <c r="C6205" s="82"/>
    </row>
    <row r="6206" spans="3:3" x14ac:dyDescent="0.35">
      <c r="C6206" s="82"/>
    </row>
    <row r="6207" spans="3:3" x14ac:dyDescent="0.35">
      <c r="C6207" s="82"/>
    </row>
    <row r="6208" spans="3:3" x14ac:dyDescent="0.35">
      <c r="C6208" s="82"/>
    </row>
    <row r="6209" spans="3:3" x14ac:dyDescent="0.35">
      <c r="C6209" s="82"/>
    </row>
    <row r="6210" spans="3:3" x14ac:dyDescent="0.35">
      <c r="C6210" s="82"/>
    </row>
    <row r="6211" spans="3:3" x14ac:dyDescent="0.35">
      <c r="C6211" s="82"/>
    </row>
    <row r="6212" spans="3:3" x14ac:dyDescent="0.35">
      <c r="C6212" s="82"/>
    </row>
    <row r="6213" spans="3:3" x14ac:dyDescent="0.35">
      <c r="C6213" s="82"/>
    </row>
    <row r="6214" spans="3:3" x14ac:dyDescent="0.35">
      <c r="C6214" s="82"/>
    </row>
    <row r="6215" spans="3:3" x14ac:dyDescent="0.35">
      <c r="C6215" s="82"/>
    </row>
    <row r="6216" spans="3:3" x14ac:dyDescent="0.35">
      <c r="C6216" s="82"/>
    </row>
    <row r="6217" spans="3:3" x14ac:dyDescent="0.35">
      <c r="C6217" s="82"/>
    </row>
    <row r="6218" spans="3:3" x14ac:dyDescent="0.35">
      <c r="C6218" s="82"/>
    </row>
    <row r="6219" spans="3:3" x14ac:dyDescent="0.35">
      <c r="C6219" s="82"/>
    </row>
    <row r="6220" spans="3:3" x14ac:dyDescent="0.35">
      <c r="C6220" s="82"/>
    </row>
    <row r="6221" spans="3:3" x14ac:dyDescent="0.35">
      <c r="C6221" s="82"/>
    </row>
    <row r="6222" spans="3:3" x14ac:dyDescent="0.35">
      <c r="C6222" s="82"/>
    </row>
    <row r="6223" spans="3:3" x14ac:dyDescent="0.35">
      <c r="C6223" s="82"/>
    </row>
    <row r="6224" spans="3:3" x14ac:dyDescent="0.35">
      <c r="C6224" s="82"/>
    </row>
    <row r="6225" spans="3:3" x14ac:dyDescent="0.35">
      <c r="C6225" s="82"/>
    </row>
    <row r="6226" spans="3:3" x14ac:dyDescent="0.35">
      <c r="C6226" s="82"/>
    </row>
    <row r="6227" spans="3:3" x14ac:dyDescent="0.35">
      <c r="C6227" s="82"/>
    </row>
    <row r="6228" spans="3:3" x14ac:dyDescent="0.35">
      <c r="C6228" s="82"/>
    </row>
    <row r="6229" spans="3:3" x14ac:dyDescent="0.35">
      <c r="C6229" s="82"/>
    </row>
    <row r="6230" spans="3:3" x14ac:dyDescent="0.35">
      <c r="C6230" s="82"/>
    </row>
    <row r="6231" spans="3:3" x14ac:dyDescent="0.35">
      <c r="C6231" s="82"/>
    </row>
    <row r="6232" spans="3:3" x14ac:dyDescent="0.35">
      <c r="C6232" s="82"/>
    </row>
    <row r="6233" spans="3:3" x14ac:dyDescent="0.35">
      <c r="C6233" s="82"/>
    </row>
    <row r="6234" spans="3:3" x14ac:dyDescent="0.35">
      <c r="C6234" s="82"/>
    </row>
    <row r="6235" spans="3:3" x14ac:dyDescent="0.35">
      <c r="C6235" s="82"/>
    </row>
    <row r="6236" spans="3:3" x14ac:dyDescent="0.35">
      <c r="C6236" s="82"/>
    </row>
    <row r="6237" spans="3:3" x14ac:dyDescent="0.35">
      <c r="C6237" s="82"/>
    </row>
    <row r="6238" spans="3:3" x14ac:dyDescent="0.35">
      <c r="C6238" s="82"/>
    </row>
    <row r="6239" spans="3:3" x14ac:dyDescent="0.35">
      <c r="C6239" s="82"/>
    </row>
    <row r="6240" spans="3:3" x14ac:dyDescent="0.35">
      <c r="C6240" s="82"/>
    </row>
    <row r="6241" spans="3:3" x14ac:dyDescent="0.35">
      <c r="C6241" s="82"/>
    </row>
    <row r="6242" spans="3:3" x14ac:dyDescent="0.35">
      <c r="C6242" s="82"/>
    </row>
    <row r="6243" spans="3:3" x14ac:dyDescent="0.35">
      <c r="C6243" s="82"/>
    </row>
    <row r="6244" spans="3:3" x14ac:dyDescent="0.35">
      <c r="C6244" s="82"/>
    </row>
    <row r="6245" spans="3:3" x14ac:dyDescent="0.35">
      <c r="C6245" s="82"/>
    </row>
    <row r="6246" spans="3:3" x14ac:dyDescent="0.35">
      <c r="C6246" s="82"/>
    </row>
    <row r="6247" spans="3:3" x14ac:dyDescent="0.35">
      <c r="C6247" s="82"/>
    </row>
    <row r="6248" spans="3:3" x14ac:dyDescent="0.35">
      <c r="C6248" s="82"/>
    </row>
    <row r="6249" spans="3:3" x14ac:dyDescent="0.35">
      <c r="C6249" s="82"/>
    </row>
    <row r="6250" spans="3:3" x14ac:dyDescent="0.35">
      <c r="C6250" s="82"/>
    </row>
    <row r="6251" spans="3:3" x14ac:dyDescent="0.35">
      <c r="C6251" s="82"/>
    </row>
    <row r="6252" spans="3:3" x14ac:dyDescent="0.35">
      <c r="C6252" s="82"/>
    </row>
    <row r="6253" spans="3:3" x14ac:dyDescent="0.35">
      <c r="C6253" s="82"/>
    </row>
    <row r="6254" spans="3:3" x14ac:dyDescent="0.35">
      <c r="C6254" s="82"/>
    </row>
    <row r="6255" spans="3:3" x14ac:dyDescent="0.35">
      <c r="C6255" s="82"/>
    </row>
    <row r="6256" spans="3:3" x14ac:dyDescent="0.35">
      <c r="C6256" s="82"/>
    </row>
    <row r="6257" spans="3:3" x14ac:dyDescent="0.35">
      <c r="C6257" s="82"/>
    </row>
    <row r="6258" spans="3:3" x14ac:dyDescent="0.35">
      <c r="C6258" s="82"/>
    </row>
    <row r="6259" spans="3:3" x14ac:dyDescent="0.35">
      <c r="C6259" s="82"/>
    </row>
    <row r="6260" spans="3:3" x14ac:dyDescent="0.35">
      <c r="C6260" s="82"/>
    </row>
    <row r="6261" spans="3:3" x14ac:dyDescent="0.35">
      <c r="C6261" s="82"/>
    </row>
    <row r="6262" spans="3:3" x14ac:dyDescent="0.35">
      <c r="C6262" s="82"/>
    </row>
    <row r="6263" spans="3:3" x14ac:dyDescent="0.35">
      <c r="C6263" s="82"/>
    </row>
    <row r="6264" spans="3:3" x14ac:dyDescent="0.35">
      <c r="C6264" s="82"/>
    </row>
    <row r="6265" spans="3:3" x14ac:dyDescent="0.35">
      <c r="C6265" s="82"/>
    </row>
    <row r="6266" spans="3:3" x14ac:dyDescent="0.35">
      <c r="C6266" s="82"/>
    </row>
    <row r="6267" spans="3:3" x14ac:dyDescent="0.35">
      <c r="C6267" s="82"/>
    </row>
    <row r="6268" spans="3:3" x14ac:dyDescent="0.35">
      <c r="C6268" s="82"/>
    </row>
    <row r="6269" spans="3:3" x14ac:dyDescent="0.35">
      <c r="C6269" s="82"/>
    </row>
    <row r="6270" spans="3:3" x14ac:dyDescent="0.35">
      <c r="C6270" s="82"/>
    </row>
    <row r="6271" spans="3:3" x14ac:dyDescent="0.35">
      <c r="C6271" s="82"/>
    </row>
    <row r="6272" spans="3:3" x14ac:dyDescent="0.35">
      <c r="C6272" s="82"/>
    </row>
    <row r="6273" spans="3:3" x14ac:dyDescent="0.35">
      <c r="C6273" s="82"/>
    </row>
    <row r="6274" spans="3:3" x14ac:dyDescent="0.35">
      <c r="C6274" s="82"/>
    </row>
    <row r="6275" spans="3:3" x14ac:dyDescent="0.35">
      <c r="C6275" s="82"/>
    </row>
    <row r="6276" spans="3:3" x14ac:dyDescent="0.35">
      <c r="C6276" s="82"/>
    </row>
    <row r="6277" spans="3:3" x14ac:dyDescent="0.35">
      <c r="C6277" s="82"/>
    </row>
    <row r="6278" spans="3:3" x14ac:dyDescent="0.35">
      <c r="C6278" s="82"/>
    </row>
    <row r="6279" spans="3:3" x14ac:dyDescent="0.35">
      <c r="C6279" s="82"/>
    </row>
    <row r="6280" spans="3:3" x14ac:dyDescent="0.35">
      <c r="C6280" s="82"/>
    </row>
    <row r="6281" spans="3:3" x14ac:dyDescent="0.35">
      <c r="C6281" s="82"/>
    </row>
    <row r="6282" spans="3:3" x14ac:dyDescent="0.35">
      <c r="C6282" s="82"/>
    </row>
    <row r="6283" spans="3:3" x14ac:dyDescent="0.35">
      <c r="C6283" s="82"/>
    </row>
    <row r="6284" spans="3:3" x14ac:dyDescent="0.35">
      <c r="C6284" s="82"/>
    </row>
    <row r="6285" spans="3:3" x14ac:dyDescent="0.35">
      <c r="C6285" s="82"/>
    </row>
    <row r="6286" spans="3:3" x14ac:dyDescent="0.35">
      <c r="C6286" s="82"/>
    </row>
    <row r="6287" spans="3:3" x14ac:dyDescent="0.35">
      <c r="C6287" s="82"/>
    </row>
    <row r="6288" spans="3:3" x14ac:dyDescent="0.35">
      <c r="C6288" s="82"/>
    </row>
    <row r="6289" spans="2:9" x14ac:dyDescent="0.35">
      <c r="C6289" s="82"/>
    </row>
    <row r="6290" spans="2:9" x14ac:dyDescent="0.35">
      <c r="C6290" s="82"/>
    </row>
    <row r="6291" spans="2:9" x14ac:dyDescent="0.35">
      <c r="C6291" s="82"/>
    </row>
    <row r="6292" spans="2:9" x14ac:dyDescent="0.35">
      <c r="C6292" s="82"/>
    </row>
    <row r="6293" spans="2:9" x14ac:dyDescent="0.35">
      <c r="C6293" s="82"/>
    </row>
    <row r="6294" spans="2:9" x14ac:dyDescent="0.35">
      <c r="C6294" s="82"/>
    </row>
    <row r="6295" spans="2:9" x14ac:dyDescent="0.35">
      <c r="C6295" s="82"/>
    </row>
    <row r="6296" spans="2:9" x14ac:dyDescent="0.35">
      <c r="C6296" s="82"/>
    </row>
    <row r="6297" spans="2:9" x14ac:dyDescent="0.35">
      <c r="B6297" s="86"/>
      <c r="C6297" s="88"/>
      <c r="D6297" s="86"/>
      <c r="E6297" s="97"/>
      <c r="F6297" s="86"/>
      <c r="G6297" s="85"/>
      <c r="H6297" s="89"/>
      <c r="I6297" s="89"/>
    </row>
    <row r="6298" spans="2:9" x14ac:dyDescent="0.35">
      <c r="C6298" s="88"/>
    </row>
    <row r="6299" spans="2:9" x14ac:dyDescent="0.35">
      <c r="C6299" s="82"/>
    </row>
    <row r="6300" spans="2:9" x14ac:dyDescent="0.35">
      <c r="C6300" s="82"/>
    </row>
    <row r="6301" spans="2:9" x14ac:dyDescent="0.35">
      <c r="C6301" s="82"/>
    </row>
    <row r="6302" spans="2:9" x14ac:dyDescent="0.35">
      <c r="C6302" s="82"/>
    </row>
    <row r="6303" spans="2:9" x14ac:dyDescent="0.35">
      <c r="C6303" s="82"/>
    </row>
    <row r="6304" spans="2:9" x14ac:dyDescent="0.35">
      <c r="C6304" s="82"/>
    </row>
    <row r="6305" spans="3:3" x14ac:dyDescent="0.35">
      <c r="C6305" s="82"/>
    </row>
    <row r="6306" spans="3:3" x14ac:dyDescent="0.35">
      <c r="C6306" s="82"/>
    </row>
    <row r="6307" spans="3:3" x14ac:dyDescent="0.35">
      <c r="C6307" s="82"/>
    </row>
    <row r="6308" spans="3:3" x14ac:dyDescent="0.35">
      <c r="C6308" s="82"/>
    </row>
    <row r="6309" spans="3:3" x14ac:dyDescent="0.35">
      <c r="C6309" s="82"/>
    </row>
    <row r="6310" spans="3:3" x14ac:dyDescent="0.35">
      <c r="C6310" s="82"/>
    </row>
    <row r="6311" spans="3:3" x14ac:dyDescent="0.35">
      <c r="C6311" s="82"/>
    </row>
    <row r="6312" spans="3:3" x14ac:dyDescent="0.35">
      <c r="C6312" s="82"/>
    </row>
    <row r="6313" spans="3:3" x14ac:dyDescent="0.35">
      <c r="C6313" s="82"/>
    </row>
    <row r="6314" spans="3:3" x14ac:dyDescent="0.35">
      <c r="C6314" s="82"/>
    </row>
    <row r="6315" spans="3:3" x14ac:dyDescent="0.35">
      <c r="C6315" s="82"/>
    </row>
    <row r="6316" spans="3:3" x14ac:dyDescent="0.35">
      <c r="C6316" s="82"/>
    </row>
    <row r="6317" spans="3:3" x14ac:dyDescent="0.35">
      <c r="C6317" s="82"/>
    </row>
    <row r="6318" spans="3:3" x14ac:dyDescent="0.35">
      <c r="C6318" s="82"/>
    </row>
    <row r="6319" spans="3:3" x14ac:dyDescent="0.35">
      <c r="C6319" s="82"/>
    </row>
    <row r="6320" spans="3:3" x14ac:dyDescent="0.35">
      <c r="C6320" s="82"/>
    </row>
    <row r="6321" spans="3:3" x14ac:dyDescent="0.35">
      <c r="C6321" s="82"/>
    </row>
    <row r="6322" spans="3:3" x14ac:dyDescent="0.35">
      <c r="C6322" s="82"/>
    </row>
    <row r="6323" spans="3:3" x14ac:dyDescent="0.35">
      <c r="C6323" s="82"/>
    </row>
    <row r="6324" spans="3:3" x14ac:dyDescent="0.35">
      <c r="C6324" s="82"/>
    </row>
    <row r="6325" spans="3:3" x14ac:dyDescent="0.35">
      <c r="C6325" s="82"/>
    </row>
    <row r="6326" spans="3:3" x14ac:dyDescent="0.35">
      <c r="C6326" s="82"/>
    </row>
    <row r="6327" spans="3:3" x14ac:dyDescent="0.35">
      <c r="C6327" s="82"/>
    </row>
    <row r="6328" spans="3:3" x14ac:dyDescent="0.35">
      <c r="C6328" s="82"/>
    </row>
    <row r="6329" spans="3:3" x14ac:dyDescent="0.35">
      <c r="C6329" s="82"/>
    </row>
    <row r="6330" spans="3:3" x14ac:dyDescent="0.35">
      <c r="C6330" s="82"/>
    </row>
    <row r="6331" spans="3:3" x14ac:dyDescent="0.35">
      <c r="C6331" s="82"/>
    </row>
    <row r="6332" spans="3:3" x14ac:dyDescent="0.35">
      <c r="C6332" s="82"/>
    </row>
    <row r="6333" spans="3:3" x14ac:dyDescent="0.35">
      <c r="C6333" s="82"/>
    </row>
    <row r="6334" spans="3:3" x14ac:dyDescent="0.35">
      <c r="C6334" s="82"/>
    </row>
    <row r="6335" spans="3:3" x14ac:dyDescent="0.35">
      <c r="C6335" s="82"/>
    </row>
    <row r="6336" spans="3:3" x14ac:dyDescent="0.35">
      <c r="C6336" s="82"/>
    </row>
    <row r="6337" spans="3:3" x14ac:dyDescent="0.35">
      <c r="C6337" s="82"/>
    </row>
    <row r="6338" spans="3:3" x14ac:dyDescent="0.35">
      <c r="C6338" s="82"/>
    </row>
    <row r="6339" spans="3:3" x14ac:dyDescent="0.35">
      <c r="C6339" s="82"/>
    </row>
    <row r="6340" spans="3:3" x14ac:dyDescent="0.35">
      <c r="C6340" s="82"/>
    </row>
    <row r="6341" spans="3:3" x14ac:dyDescent="0.35">
      <c r="C6341" s="82"/>
    </row>
    <row r="6342" spans="3:3" x14ac:dyDescent="0.35">
      <c r="C6342" s="82"/>
    </row>
    <row r="6343" spans="3:3" x14ac:dyDescent="0.35">
      <c r="C6343" s="82"/>
    </row>
    <row r="6344" spans="3:3" x14ac:dyDescent="0.35">
      <c r="C6344" s="82"/>
    </row>
    <row r="6345" spans="3:3" x14ac:dyDescent="0.35">
      <c r="C6345" s="82"/>
    </row>
    <row r="6346" spans="3:3" x14ac:dyDescent="0.35">
      <c r="C6346" s="82"/>
    </row>
    <row r="6347" spans="3:3" x14ac:dyDescent="0.35">
      <c r="C6347" s="82"/>
    </row>
    <row r="6348" spans="3:3" x14ac:dyDescent="0.35">
      <c r="C6348" s="82"/>
    </row>
    <row r="6349" spans="3:3" x14ac:dyDescent="0.35">
      <c r="C6349" s="82"/>
    </row>
    <row r="6350" spans="3:3" x14ac:dyDescent="0.35">
      <c r="C6350" s="82"/>
    </row>
    <row r="6351" spans="3:3" x14ac:dyDescent="0.35">
      <c r="C6351" s="82"/>
    </row>
    <row r="6352" spans="3:3" x14ac:dyDescent="0.35">
      <c r="C6352" s="82"/>
    </row>
    <row r="6353" spans="3:3" x14ac:dyDescent="0.35">
      <c r="C6353" s="82"/>
    </row>
    <row r="6354" spans="3:3" x14ac:dyDescent="0.35">
      <c r="C6354" s="82"/>
    </row>
    <row r="6355" spans="3:3" x14ac:dyDescent="0.35">
      <c r="C6355" s="82"/>
    </row>
    <row r="6356" spans="3:3" x14ac:dyDescent="0.35">
      <c r="C6356" s="82"/>
    </row>
    <row r="6357" spans="3:3" x14ac:dyDescent="0.35">
      <c r="C6357" s="82"/>
    </row>
    <row r="6358" spans="3:3" x14ac:dyDescent="0.35">
      <c r="C6358" s="82"/>
    </row>
    <row r="6359" spans="3:3" x14ac:dyDescent="0.35">
      <c r="C6359" s="82"/>
    </row>
    <row r="6360" spans="3:3" x14ac:dyDescent="0.35">
      <c r="C6360" s="82"/>
    </row>
    <row r="6361" spans="3:3" x14ac:dyDescent="0.35">
      <c r="C6361" s="82"/>
    </row>
    <row r="6362" spans="3:3" x14ac:dyDescent="0.35">
      <c r="C6362" s="82"/>
    </row>
    <row r="6363" spans="3:3" x14ac:dyDescent="0.35">
      <c r="C6363" s="82"/>
    </row>
    <row r="6364" spans="3:3" x14ac:dyDescent="0.35">
      <c r="C6364" s="82"/>
    </row>
    <row r="6365" spans="3:3" x14ac:dyDescent="0.35">
      <c r="C6365" s="82"/>
    </row>
    <row r="6366" spans="3:3" x14ac:dyDescent="0.35">
      <c r="C6366" s="82"/>
    </row>
    <row r="6367" spans="3:3" x14ac:dyDescent="0.35">
      <c r="C6367" s="82"/>
    </row>
    <row r="6368" spans="3:3" x14ac:dyDescent="0.35">
      <c r="C6368" s="82"/>
    </row>
    <row r="6369" spans="3:3" x14ac:dyDescent="0.35">
      <c r="C6369" s="82"/>
    </row>
    <row r="6370" spans="3:3" x14ac:dyDescent="0.35">
      <c r="C6370" s="82"/>
    </row>
    <row r="6371" spans="3:3" x14ac:dyDescent="0.35">
      <c r="C6371" s="82"/>
    </row>
    <row r="6372" spans="3:3" x14ac:dyDescent="0.35">
      <c r="C6372" s="82"/>
    </row>
    <row r="6373" spans="3:3" x14ac:dyDescent="0.35">
      <c r="C6373" s="82"/>
    </row>
    <row r="6374" spans="3:3" x14ac:dyDescent="0.35">
      <c r="C6374" s="82"/>
    </row>
    <row r="6375" spans="3:3" x14ac:dyDescent="0.35">
      <c r="C6375" s="82"/>
    </row>
    <row r="6376" spans="3:3" x14ac:dyDescent="0.35">
      <c r="C6376" s="82"/>
    </row>
    <row r="6377" spans="3:3" x14ac:dyDescent="0.35">
      <c r="C6377" s="82"/>
    </row>
    <row r="6378" spans="3:3" x14ac:dyDescent="0.35">
      <c r="C6378" s="82"/>
    </row>
    <row r="6379" spans="3:3" x14ac:dyDescent="0.35">
      <c r="C6379" s="82"/>
    </row>
    <row r="6380" spans="3:3" x14ac:dyDescent="0.35">
      <c r="C6380" s="82"/>
    </row>
    <row r="6381" spans="3:3" x14ac:dyDescent="0.35">
      <c r="C6381" s="82"/>
    </row>
    <row r="6382" spans="3:3" x14ac:dyDescent="0.35">
      <c r="C6382" s="82"/>
    </row>
    <row r="6383" spans="3:3" x14ac:dyDescent="0.35">
      <c r="C6383" s="82"/>
    </row>
    <row r="6384" spans="3:3" x14ac:dyDescent="0.35">
      <c r="C6384" s="82"/>
    </row>
    <row r="6385" spans="3:3" x14ac:dyDescent="0.35">
      <c r="C6385" s="82"/>
    </row>
    <row r="6386" spans="3:3" x14ac:dyDescent="0.35">
      <c r="C6386" s="82"/>
    </row>
    <row r="6387" spans="3:3" x14ac:dyDescent="0.35">
      <c r="C6387" s="82"/>
    </row>
    <row r="6388" spans="3:3" x14ac:dyDescent="0.35">
      <c r="C6388" s="82"/>
    </row>
    <row r="6389" spans="3:3" x14ac:dyDescent="0.35">
      <c r="C6389" s="82"/>
    </row>
    <row r="6390" spans="3:3" x14ac:dyDescent="0.35">
      <c r="C6390" s="82"/>
    </row>
    <row r="6391" spans="3:3" x14ac:dyDescent="0.35">
      <c r="C6391" s="82"/>
    </row>
    <row r="6392" spans="3:3" x14ac:dyDescent="0.35">
      <c r="C6392" s="82"/>
    </row>
    <row r="6393" spans="3:3" x14ac:dyDescent="0.35">
      <c r="C6393" s="82"/>
    </row>
    <row r="6394" spans="3:3" x14ac:dyDescent="0.35">
      <c r="C6394" s="82"/>
    </row>
    <row r="6395" spans="3:3" x14ac:dyDescent="0.35">
      <c r="C6395" s="82"/>
    </row>
    <row r="6396" spans="3:3" x14ac:dyDescent="0.35">
      <c r="C6396" s="82"/>
    </row>
    <row r="6397" spans="3:3" x14ac:dyDescent="0.35">
      <c r="C6397" s="82"/>
    </row>
    <row r="6398" spans="3:3" x14ac:dyDescent="0.35">
      <c r="C6398" s="82"/>
    </row>
    <row r="6399" spans="3:3" x14ac:dyDescent="0.35">
      <c r="C6399" s="82"/>
    </row>
    <row r="6400" spans="3:3" x14ac:dyDescent="0.35">
      <c r="C6400" s="82"/>
    </row>
    <row r="6401" spans="3:3" x14ac:dyDescent="0.35">
      <c r="C6401" s="82"/>
    </row>
    <row r="6402" spans="3:3" x14ac:dyDescent="0.35">
      <c r="C6402" s="82"/>
    </row>
    <row r="6403" spans="3:3" x14ac:dyDescent="0.35">
      <c r="C6403" s="82"/>
    </row>
    <row r="6404" spans="3:3" x14ac:dyDescent="0.35">
      <c r="C6404" s="82"/>
    </row>
    <row r="6405" spans="3:3" x14ac:dyDescent="0.35">
      <c r="C6405" s="82"/>
    </row>
    <row r="6406" spans="3:3" x14ac:dyDescent="0.35">
      <c r="C6406" s="82"/>
    </row>
    <row r="6407" spans="3:3" x14ac:dyDescent="0.35">
      <c r="C6407" s="82"/>
    </row>
    <row r="6408" spans="3:3" x14ac:dyDescent="0.35">
      <c r="C6408" s="82"/>
    </row>
    <row r="6409" spans="3:3" x14ac:dyDescent="0.35">
      <c r="C6409" s="82"/>
    </row>
    <row r="6410" spans="3:3" x14ac:dyDescent="0.35">
      <c r="C6410" s="82"/>
    </row>
    <row r="6411" spans="3:3" x14ac:dyDescent="0.35">
      <c r="C6411" s="82"/>
    </row>
    <row r="6412" spans="3:3" x14ac:dyDescent="0.35">
      <c r="C6412" s="82"/>
    </row>
    <row r="6413" spans="3:3" x14ac:dyDescent="0.35">
      <c r="C6413" s="82"/>
    </row>
    <row r="6414" spans="3:3" x14ac:dyDescent="0.35">
      <c r="C6414" s="82"/>
    </row>
    <row r="6415" spans="3:3" x14ac:dyDescent="0.35">
      <c r="C6415" s="82"/>
    </row>
    <row r="6416" spans="3:3" x14ac:dyDescent="0.35">
      <c r="C6416" s="82"/>
    </row>
    <row r="6417" spans="3:3" x14ac:dyDescent="0.35">
      <c r="C6417" s="82"/>
    </row>
    <row r="6418" spans="3:3" x14ac:dyDescent="0.35">
      <c r="C6418" s="82"/>
    </row>
    <row r="6419" spans="3:3" x14ac:dyDescent="0.35">
      <c r="C6419" s="82"/>
    </row>
    <row r="6420" spans="3:3" x14ac:dyDescent="0.35">
      <c r="C6420" s="82"/>
    </row>
    <row r="6421" spans="3:3" x14ac:dyDescent="0.35">
      <c r="C6421" s="82"/>
    </row>
    <row r="6422" spans="3:3" x14ac:dyDescent="0.35">
      <c r="C6422" s="82"/>
    </row>
    <row r="6423" spans="3:3" x14ac:dyDescent="0.35">
      <c r="C6423" s="82"/>
    </row>
    <row r="6424" spans="3:3" x14ac:dyDescent="0.35">
      <c r="C6424" s="82"/>
    </row>
    <row r="6425" spans="3:3" x14ac:dyDescent="0.35">
      <c r="C6425" s="82"/>
    </row>
    <row r="6426" spans="3:3" x14ac:dyDescent="0.35">
      <c r="C6426" s="82"/>
    </row>
    <row r="6427" spans="3:3" x14ac:dyDescent="0.35">
      <c r="C6427" s="82"/>
    </row>
    <row r="6428" spans="3:3" x14ac:dyDescent="0.35">
      <c r="C6428" s="82"/>
    </row>
    <row r="6429" spans="3:3" x14ac:dyDescent="0.35">
      <c r="C6429" s="82"/>
    </row>
    <row r="6430" spans="3:3" x14ac:dyDescent="0.35">
      <c r="C6430" s="82"/>
    </row>
    <row r="6431" spans="3:3" x14ac:dyDescent="0.35">
      <c r="C6431" s="82"/>
    </row>
    <row r="6432" spans="3:3" x14ac:dyDescent="0.35">
      <c r="C6432" s="82"/>
    </row>
    <row r="6433" spans="3:3" x14ac:dyDescent="0.35">
      <c r="C6433" s="82"/>
    </row>
    <row r="6434" spans="3:3" x14ac:dyDescent="0.35">
      <c r="C6434" s="82"/>
    </row>
    <row r="6435" spans="3:3" x14ac:dyDescent="0.35">
      <c r="C6435" s="82"/>
    </row>
    <row r="6436" spans="3:3" x14ac:dyDescent="0.35">
      <c r="C6436" s="82"/>
    </row>
    <row r="6437" spans="3:3" x14ac:dyDescent="0.35">
      <c r="C6437" s="82"/>
    </row>
    <row r="6438" spans="3:3" x14ac:dyDescent="0.35">
      <c r="C6438" s="82"/>
    </row>
    <row r="6439" spans="3:3" x14ac:dyDescent="0.35">
      <c r="C6439" s="82"/>
    </row>
    <row r="6440" spans="3:3" x14ac:dyDescent="0.35">
      <c r="C6440" s="82"/>
    </row>
    <row r="6441" spans="3:3" x14ac:dyDescent="0.35">
      <c r="C6441" s="82"/>
    </row>
    <row r="6442" spans="3:3" x14ac:dyDescent="0.35">
      <c r="C6442" s="82"/>
    </row>
    <row r="6443" spans="3:3" x14ac:dyDescent="0.35">
      <c r="C6443" s="82"/>
    </row>
    <row r="6444" spans="3:3" x14ac:dyDescent="0.35">
      <c r="C6444" s="82"/>
    </row>
    <row r="6445" spans="3:3" x14ac:dyDescent="0.35">
      <c r="C6445" s="82"/>
    </row>
    <row r="6446" spans="3:3" x14ac:dyDescent="0.35">
      <c r="C6446" s="82"/>
    </row>
    <row r="6447" spans="3:3" x14ac:dyDescent="0.35">
      <c r="C6447" s="82"/>
    </row>
    <row r="6448" spans="3:3" x14ac:dyDescent="0.35">
      <c r="C6448" s="82"/>
    </row>
    <row r="6449" spans="3:3" x14ac:dyDescent="0.35">
      <c r="C6449" s="82"/>
    </row>
    <row r="6450" spans="3:3" x14ac:dyDescent="0.35">
      <c r="C6450" s="82"/>
    </row>
    <row r="6451" spans="3:3" x14ac:dyDescent="0.35">
      <c r="C6451" s="82"/>
    </row>
    <row r="6452" spans="3:3" x14ac:dyDescent="0.35">
      <c r="C6452" s="82"/>
    </row>
    <row r="6453" spans="3:3" x14ac:dyDescent="0.35">
      <c r="C6453" s="82"/>
    </row>
    <row r="6454" spans="3:3" x14ac:dyDescent="0.35">
      <c r="C6454" s="82"/>
    </row>
    <row r="6455" spans="3:3" x14ac:dyDescent="0.35">
      <c r="C6455" s="82"/>
    </row>
    <row r="6456" spans="3:3" x14ac:dyDescent="0.35">
      <c r="C6456" s="82"/>
    </row>
    <row r="6457" spans="3:3" x14ac:dyDescent="0.35">
      <c r="C6457" s="82"/>
    </row>
    <row r="6458" spans="3:3" x14ac:dyDescent="0.35">
      <c r="C6458" s="82"/>
    </row>
    <row r="6459" spans="3:3" x14ac:dyDescent="0.35">
      <c r="C6459" s="82"/>
    </row>
    <row r="6460" spans="3:3" x14ac:dyDescent="0.35">
      <c r="C6460" s="82"/>
    </row>
    <row r="6461" spans="3:3" x14ac:dyDescent="0.35">
      <c r="C6461" s="82"/>
    </row>
    <row r="6462" spans="3:3" x14ac:dyDescent="0.35">
      <c r="C6462" s="82"/>
    </row>
    <row r="6463" spans="3:3" x14ac:dyDescent="0.35">
      <c r="C6463" s="82"/>
    </row>
    <row r="6464" spans="3:3" x14ac:dyDescent="0.35">
      <c r="C6464" s="82"/>
    </row>
    <row r="6465" spans="3:3" x14ac:dyDescent="0.35">
      <c r="C6465" s="82"/>
    </row>
    <row r="6466" spans="3:3" x14ac:dyDescent="0.35">
      <c r="C6466" s="82"/>
    </row>
    <row r="6467" spans="3:3" x14ac:dyDescent="0.35">
      <c r="C6467" s="82"/>
    </row>
    <row r="6468" spans="3:3" x14ac:dyDescent="0.35">
      <c r="C6468" s="82"/>
    </row>
    <row r="6469" spans="3:3" x14ac:dyDescent="0.35">
      <c r="C6469" s="82"/>
    </row>
    <row r="6470" spans="3:3" x14ac:dyDescent="0.35">
      <c r="C6470" s="82"/>
    </row>
    <row r="6471" spans="3:3" x14ac:dyDescent="0.35">
      <c r="C6471" s="82"/>
    </row>
    <row r="6472" spans="3:3" x14ac:dyDescent="0.35">
      <c r="C6472" s="82"/>
    </row>
    <row r="6473" spans="3:3" x14ac:dyDescent="0.35">
      <c r="C6473" s="82"/>
    </row>
    <row r="6474" spans="3:3" x14ac:dyDescent="0.35">
      <c r="C6474" s="82"/>
    </row>
    <row r="6475" spans="3:3" x14ac:dyDescent="0.35">
      <c r="C6475" s="82"/>
    </row>
    <row r="6476" spans="3:3" x14ac:dyDescent="0.35">
      <c r="C6476" s="82"/>
    </row>
    <row r="6477" spans="3:3" x14ac:dyDescent="0.35">
      <c r="C6477" s="82"/>
    </row>
    <row r="6478" spans="3:3" x14ac:dyDescent="0.35">
      <c r="C6478" s="82"/>
    </row>
    <row r="6479" spans="3:3" x14ac:dyDescent="0.35">
      <c r="C6479" s="82"/>
    </row>
    <row r="6480" spans="3:3" x14ac:dyDescent="0.35">
      <c r="C6480" s="82"/>
    </row>
    <row r="6481" spans="3:3" x14ac:dyDescent="0.35">
      <c r="C6481" s="82"/>
    </row>
    <row r="6482" spans="3:3" x14ac:dyDescent="0.35">
      <c r="C6482" s="82"/>
    </row>
    <row r="6483" spans="3:3" x14ac:dyDescent="0.35">
      <c r="C6483" s="82"/>
    </row>
    <row r="6484" spans="3:3" x14ac:dyDescent="0.35">
      <c r="C6484" s="82"/>
    </row>
    <row r="6485" spans="3:3" x14ac:dyDescent="0.35">
      <c r="C6485" s="82"/>
    </row>
    <row r="6486" spans="3:3" x14ac:dyDescent="0.35">
      <c r="C6486" s="82"/>
    </row>
    <row r="6487" spans="3:3" x14ac:dyDescent="0.35">
      <c r="C6487" s="82"/>
    </row>
    <row r="6488" spans="3:3" x14ac:dyDescent="0.35">
      <c r="C6488" s="82"/>
    </row>
    <row r="6489" spans="3:3" x14ac:dyDescent="0.35">
      <c r="C6489" s="82"/>
    </row>
    <row r="6490" spans="3:3" x14ac:dyDescent="0.35">
      <c r="C6490" s="82"/>
    </row>
    <row r="6491" spans="3:3" x14ac:dyDescent="0.35">
      <c r="C6491" s="82"/>
    </row>
    <row r="6492" spans="3:3" x14ac:dyDescent="0.35">
      <c r="C6492" s="82"/>
    </row>
    <row r="6493" spans="3:3" x14ac:dyDescent="0.35">
      <c r="C6493" s="82"/>
    </row>
    <row r="6494" spans="3:3" x14ac:dyDescent="0.35">
      <c r="C6494" s="82"/>
    </row>
    <row r="6495" spans="3:3" x14ac:dyDescent="0.35">
      <c r="C6495" s="82"/>
    </row>
    <row r="6496" spans="3:3" x14ac:dyDescent="0.35">
      <c r="C6496" s="82"/>
    </row>
    <row r="6497" spans="3:3" x14ac:dyDescent="0.35">
      <c r="C6497" s="82"/>
    </row>
    <row r="6498" spans="3:3" x14ac:dyDescent="0.35">
      <c r="C6498" s="82"/>
    </row>
    <row r="6499" spans="3:3" x14ac:dyDescent="0.35">
      <c r="C6499" s="82"/>
    </row>
    <row r="6500" spans="3:3" x14ac:dyDescent="0.35">
      <c r="C6500" s="82"/>
    </row>
    <row r="6501" spans="3:3" x14ac:dyDescent="0.35">
      <c r="C6501" s="82"/>
    </row>
    <row r="6502" spans="3:3" x14ac:dyDescent="0.35">
      <c r="C6502" s="82"/>
    </row>
    <row r="6503" spans="3:3" x14ac:dyDescent="0.35">
      <c r="C6503" s="82"/>
    </row>
    <row r="6504" spans="3:3" x14ac:dyDescent="0.35">
      <c r="C6504" s="82"/>
    </row>
    <row r="6505" spans="3:3" x14ac:dyDescent="0.35">
      <c r="C6505" s="82"/>
    </row>
    <row r="6506" spans="3:3" x14ac:dyDescent="0.35">
      <c r="C6506" s="82"/>
    </row>
    <row r="6507" spans="3:3" x14ac:dyDescent="0.35">
      <c r="C6507" s="82"/>
    </row>
    <row r="6508" spans="3:3" x14ac:dyDescent="0.35">
      <c r="C6508" s="82"/>
    </row>
    <row r="6509" spans="3:3" x14ac:dyDescent="0.35">
      <c r="C6509" s="82"/>
    </row>
    <row r="6510" spans="3:3" x14ac:dyDescent="0.35">
      <c r="C6510" s="82"/>
    </row>
    <row r="6511" spans="3:3" x14ac:dyDescent="0.35">
      <c r="C6511" s="82"/>
    </row>
    <row r="6512" spans="3:3" x14ac:dyDescent="0.35">
      <c r="C6512" s="82"/>
    </row>
    <row r="6513" spans="3:3" x14ac:dyDescent="0.35">
      <c r="C6513" s="82"/>
    </row>
    <row r="6514" spans="3:3" x14ac:dyDescent="0.35">
      <c r="C6514" s="82"/>
    </row>
    <row r="6515" spans="3:3" x14ac:dyDescent="0.35">
      <c r="C6515" s="82"/>
    </row>
    <row r="6516" spans="3:3" x14ac:dyDescent="0.35">
      <c r="C6516" s="82"/>
    </row>
    <row r="6517" spans="3:3" x14ac:dyDescent="0.35">
      <c r="C6517" s="82"/>
    </row>
    <row r="6518" spans="3:3" x14ac:dyDescent="0.35">
      <c r="C6518" s="82"/>
    </row>
    <row r="6519" spans="3:3" x14ac:dyDescent="0.35">
      <c r="C6519" s="82"/>
    </row>
    <row r="6520" spans="3:3" x14ac:dyDescent="0.35">
      <c r="C6520" s="82"/>
    </row>
    <row r="6521" spans="3:3" x14ac:dyDescent="0.35">
      <c r="C6521" s="82"/>
    </row>
    <row r="6522" spans="3:3" x14ac:dyDescent="0.35">
      <c r="C6522" s="82"/>
    </row>
    <row r="6523" spans="3:3" x14ac:dyDescent="0.35">
      <c r="C6523" s="82"/>
    </row>
    <row r="6524" spans="3:3" x14ac:dyDescent="0.35">
      <c r="C6524" s="82"/>
    </row>
    <row r="6525" spans="3:3" x14ac:dyDescent="0.35">
      <c r="C6525" s="82"/>
    </row>
    <row r="6526" spans="3:3" x14ac:dyDescent="0.35">
      <c r="C6526" s="82"/>
    </row>
    <row r="6527" spans="3:3" x14ac:dyDescent="0.35">
      <c r="C6527" s="82"/>
    </row>
    <row r="6528" spans="3:3" x14ac:dyDescent="0.35">
      <c r="C6528" s="82"/>
    </row>
    <row r="6529" spans="3:3" x14ac:dyDescent="0.35">
      <c r="C6529" s="82"/>
    </row>
    <row r="6530" spans="3:3" x14ac:dyDescent="0.35">
      <c r="C6530" s="82"/>
    </row>
    <row r="6531" spans="3:3" x14ac:dyDescent="0.35">
      <c r="C6531" s="82"/>
    </row>
    <row r="6532" spans="3:3" x14ac:dyDescent="0.35">
      <c r="C6532" s="82"/>
    </row>
    <row r="6533" spans="3:3" x14ac:dyDescent="0.35">
      <c r="C6533" s="82"/>
    </row>
    <row r="6534" spans="3:3" x14ac:dyDescent="0.35">
      <c r="C6534" s="82"/>
    </row>
    <row r="6535" spans="3:3" x14ac:dyDescent="0.35">
      <c r="C6535" s="82"/>
    </row>
    <row r="6536" spans="3:3" x14ac:dyDescent="0.35">
      <c r="C6536" s="82"/>
    </row>
    <row r="6537" spans="3:3" x14ac:dyDescent="0.35">
      <c r="C6537" s="82"/>
    </row>
    <row r="6538" spans="3:3" x14ac:dyDescent="0.35">
      <c r="C6538" s="82"/>
    </row>
    <row r="6539" spans="3:3" x14ac:dyDescent="0.35">
      <c r="C6539" s="82"/>
    </row>
    <row r="6540" spans="3:3" x14ac:dyDescent="0.35">
      <c r="C6540" s="82"/>
    </row>
    <row r="6541" spans="3:3" x14ac:dyDescent="0.35">
      <c r="C6541" s="82"/>
    </row>
    <row r="6542" spans="3:3" x14ac:dyDescent="0.35">
      <c r="C6542" s="82"/>
    </row>
    <row r="6543" spans="3:3" x14ac:dyDescent="0.35">
      <c r="C6543" s="82"/>
    </row>
    <row r="6544" spans="3:3" x14ac:dyDescent="0.35">
      <c r="C6544" s="82"/>
    </row>
    <row r="6545" spans="3:3" x14ac:dyDescent="0.35">
      <c r="C6545" s="82"/>
    </row>
    <row r="6546" spans="3:3" x14ac:dyDescent="0.35">
      <c r="C6546" s="82"/>
    </row>
    <row r="6547" spans="3:3" x14ac:dyDescent="0.35">
      <c r="C6547" s="82"/>
    </row>
    <row r="6548" spans="3:3" x14ac:dyDescent="0.35">
      <c r="C6548" s="82"/>
    </row>
    <row r="6549" spans="3:3" x14ac:dyDescent="0.35">
      <c r="C6549" s="82"/>
    </row>
    <row r="6550" spans="3:3" x14ac:dyDescent="0.35">
      <c r="C6550" s="82"/>
    </row>
    <row r="6551" spans="3:3" x14ac:dyDescent="0.35">
      <c r="C6551" s="82"/>
    </row>
    <row r="6552" spans="3:3" x14ac:dyDescent="0.35">
      <c r="C6552" s="82"/>
    </row>
    <row r="6553" spans="3:3" x14ac:dyDescent="0.35">
      <c r="C6553" s="82"/>
    </row>
    <row r="6554" spans="3:3" x14ac:dyDescent="0.35">
      <c r="C6554" s="82"/>
    </row>
    <row r="6555" spans="3:3" x14ac:dyDescent="0.35">
      <c r="C6555" s="82"/>
    </row>
    <row r="6556" spans="3:3" x14ac:dyDescent="0.35">
      <c r="C6556" s="82"/>
    </row>
    <row r="6557" spans="3:3" x14ac:dyDescent="0.35">
      <c r="C6557" s="82"/>
    </row>
    <row r="6558" spans="3:3" x14ac:dyDescent="0.35">
      <c r="C6558" s="82"/>
    </row>
    <row r="6559" spans="3:3" x14ac:dyDescent="0.35">
      <c r="C6559" s="82"/>
    </row>
    <row r="6560" spans="3:3" x14ac:dyDescent="0.35">
      <c r="C6560" s="82"/>
    </row>
    <row r="6561" spans="3:3" x14ac:dyDescent="0.35">
      <c r="C6561" s="82"/>
    </row>
    <row r="6562" spans="3:3" x14ac:dyDescent="0.35">
      <c r="C6562" s="82"/>
    </row>
    <row r="6563" spans="3:3" x14ac:dyDescent="0.35">
      <c r="C6563" s="82"/>
    </row>
    <row r="6564" spans="3:3" x14ac:dyDescent="0.35">
      <c r="C6564" s="82"/>
    </row>
    <row r="6565" spans="3:3" x14ac:dyDescent="0.35">
      <c r="C6565" s="82"/>
    </row>
    <row r="6566" spans="3:3" x14ac:dyDescent="0.35">
      <c r="C6566" s="82"/>
    </row>
    <row r="6567" spans="3:3" x14ac:dyDescent="0.35">
      <c r="C6567" s="82"/>
    </row>
    <row r="6568" spans="3:3" x14ac:dyDescent="0.35">
      <c r="C6568" s="82"/>
    </row>
    <row r="6569" spans="3:3" x14ac:dyDescent="0.35">
      <c r="C6569" s="82"/>
    </row>
    <row r="6570" spans="3:3" x14ac:dyDescent="0.35">
      <c r="C6570" s="82"/>
    </row>
    <row r="6571" spans="3:3" x14ac:dyDescent="0.35">
      <c r="C6571" s="82"/>
    </row>
    <row r="6572" spans="3:3" x14ac:dyDescent="0.35">
      <c r="C6572" s="82"/>
    </row>
    <row r="6573" spans="3:3" x14ac:dyDescent="0.35">
      <c r="C6573" s="82"/>
    </row>
    <row r="6574" spans="3:3" x14ac:dyDescent="0.35">
      <c r="C6574" s="82"/>
    </row>
    <row r="6575" spans="3:3" x14ac:dyDescent="0.35">
      <c r="C6575" s="82"/>
    </row>
    <row r="6576" spans="3:3" x14ac:dyDescent="0.35">
      <c r="C6576" s="82"/>
    </row>
    <row r="6577" spans="3:3" x14ac:dyDescent="0.35">
      <c r="C6577" s="82"/>
    </row>
    <row r="6578" spans="3:3" x14ac:dyDescent="0.35">
      <c r="C6578" s="82"/>
    </row>
    <row r="6579" spans="3:3" x14ac:dyDescent="0.35">
      <c r="C6579" s="82"/>
    </row>
    <row r="6580" spans="3:3" x14ac:dyDescent="0.35">
      <c r="C6580" s="82"/>
    </row>
    <row r="6581" spans="3:3" x14ac:dyDescent="0.35">
      <c r="C6581" s="82"/>
    </row>
    <row r="6582" spans="3:3" x14ac:dyDescent="0.35">
      <c r="C6582" s="82"/>
    </row>
    <row r="6583" spans="3:3" x14ac:dyDescent="0.35">
      <c r="C6583" s="82"/>
    </row>
    <row r="6584" spans="3:3" x14ac:dyDescent="0.35">
      <c r="C6584" s="82"/>
    </row>
    <row r="6585" spans="3:3" x14ac:dyDescent="0.35">
      <c r="C6585" s="82"/>
    </row>
    <row r="6586" spans="3:3" x14ac:dyDescent="0.35">
      <c r="C6586" s="82"/>
    </row>
    <row r="6587" spans="3:3" x14ac:dyDescent="0.35">
      <c r="C6587" s="82"/>
    </row>
    <row r="6588" spans="3:3" x14ac:dyDescent="0.35">
      <c r="C6588" s="82"/>
    </row>
    <row r="6589" spans="3:3" x14ac:dyDescent="0.35">
      <c r="C6589" s="82"/>
    </row>
    <row r="6590" spans="3:3" x14ac:dyDescent="0.35">
      <c r="C6590" s="82"/>
    </row>
    <row r="6591" spans="3:3" x14ac:dyDescent="0.35">
      <c r="C6591" s="82"/>
    </row>
    <row r="6592" spans="3:3" x14ac:dyDescent="0.35">
      <c r="C6592" s="82"/>
    </row>
    <row r="6593" spans="3:3" x14ac:dyDescent="0.35">
      <c r="C6593" s="82"/>
    </row>
    <row r="6594" spans="3:3" x14ac:dyDescent="0.35">
      <c r="C6594" s="82"/>
    </row>
    <row r="6595" spans="3:3" x14ac:dyDescent="0.35">
      <c r="C6595" s="82"/>
    </row>
    <row r="6596" spans="3:3" x14ac:dyDescent="0.35">
      <c r="C6596" s="82"/>
    </row>
    <row r="6597" spans="3:3" x14ac:dyDescent="0.35">
      <c r="C6597" s="82"/>
    </row>
    <row r="6598" spans="3:3" x14ac:dyDescent="0.35">
      <c r="C6598" s="82"/>
    </row>
    <row r="6599" spans="3:3" x14ac:dyDescent="0.35">
      <c r="C6599" s="82"/>
    </row>
    <row r="6600" spans="3:3" x14ac:dyDescent="0.35">
      <c r="C6600" s="82"/>
    </row>
    <row r="6601" spans="3:3" x14ac:dyDescent="0.35">
      <c r="C6601" s="82"/>
    </row>
    <row r="6602" spans="3:3" x14ac:dyDescent="0.35">
      <c r="C6602" s="82"/>
    </row>
    <row r="6603" spans="3:3" x14ac:dyDescent="0.35">
      <c r="C6603" s="82"/>
    </row>
    <row r="6604" spans="3:3" x14ac:dyDescent="0.35">
      <c r="C6604" s="82"/>
    </row>
    <row r="6605" spans="3:3" x14ac:dyDescent="0.35">
      <c r="C6605" s="82"/>
    </row>
    <row r="6606" spans="3:3" x14ac:dyDescent="0.35">
      <c r="C6606" s="82"/>
    </row>
    <row r="6607" spans="3:3" x14ac:dyDescent="0.35">
      <c r="C6607" s="82"/>
    </row>
    <row r="6608" spans="3:3" x14ac:dyDescent="0.35">
      <c r="C6608" s="82"/>
    </row>
    <row r="6609" spans="3:3" x14ac:dyDescent="0.35">
      <c r="C6609" s="82"/>
    </row>
    <row r="6610" spans="3:3" x14ac:dyDescent="0.35">
      <c r="C6610" s="82"/>
    </row>
    <row r="6611" spans="3:3" x14ac:dyDescent="0.35">
      <c r="C6611" s="82"/>
    </row>
    <row r="6612" spans="3:3" x14ac:dyDescent="0.35">
      <c r="C6612" s="82"/>
    </row>
    <row r="6613" spans="3:3" x14ac:dyDescent="0.35">
      <c r="C6613" s="82"/>
    </row>
    <row r="6614" spans="3:3" x14ac:dyDescent="0.35">
      <c r="C6614" s="82"/>
    </row>
    <row r="6615" spans="3:3" x14ac:dyDescent="0.35">
      <c r="C6615" s="82"/>
    </row>
    <row r="6616" spans="3:3" x14ac:dyDescent="0.35">
      <c r="C6616" s="82"/>
    </row>
    <row r="6617" spans="3:3" x14ac:dyDescent="0.35">
      <c r="C6617" s="82"/>
    </row>
    <row r="6618" spans="3:3" x14ac:dyDescent="0.35">
      <c r="C6618" s="82"/>
    </row>
    <row r="6619" spans="3:3" x14ac:dyDescent="0.35">
      <c r="C6619" s="82"/>
    </row>
    <row r="6620" spans="3:3" x14ac:dyDescent="0.35">
      <c r="C6620" s="82"/>
    </row>
    <row r="6621" spans="3:3" x14ac:dyDescent="0.35">
      <c r="C6621" s="82"/>
    </row>
    <row r="6622" spans="3:3" x14ac:dyDescent="0.35">
      <c r="C6622" s="82"/>
    </row>
    <row r="6623" spans="3:3" x14ac:dyDescent="0.35">
      <c r="C6623" s="82"/>
    </row>
    <row r="6624" spans="3:3" x14ac:dyDescent="0.35">
      <c r="C6624" s="82"/>
    </row>
    <row r="6625" spans="3:3" x14ac:dyDescent="0.35">
      <c r="C6625" s="82"/>
    </row>
    <row r="6626" spans="3:3" x14ac:dyDescent="0.35">
      <c r="C6626" s="82"/>
    </row>
    <row r="6627" spans="3:3" x14ac:dyDescent="0.35">
      <c r="C6627" s="82"/>
    </row>
    <row r="6628" spans="3:3" x14ac:dyDescent="0.35">
      <c r="C6628" s="82"/>
    </row>
    <row r="6629" spans="3:3" x14ac:dyDescent="0.35">
      <c r="C6629" s="82"/>
    </row>
    <row r="6630" spans="3:3" x14ac:dyDescent="0.35">
      <c r="C6630" s="82"/>
    </row>
    <row r="6631" spans="3:3" x14ac:dyDescent="0.35">
      <c r="C6631" s="82"/>
    </row>
    <row r="6632" spans="3:3" x14ac:dyDescent="0.35">
      <c r="C6632" s="82"/>
    </row>
    <row r="6633" spans="3:3" x14ac:dyDescent="0.35">
      <c r="C6633" s="82"/>
    </row>
    <row r="6634" spans="3:3" x14ac:dyDescent="0.35">
      <c r="C6634" s="82"/>
    </row>
    <row r="6635" spans="3:3" x14ac:dyDescent="0.35">
      <c r="C6635" s="82"/>
    </row>
    <row r="6636" spans="3:3" x14ac:dyDescent="0.35">
      <c r="C6636" s="82"/>
    </row>
    <row r="6637" spans="3:3" x14ac:dyDescent="0.35">
      <c r="C6637" s="82"/>
    </row>
    <row r="6638" spans="3:3" x14ac:dyDescent="0.35">
      <c r="C6638" s="82"/>
    </row>
    <row r="6639" spans="3:3" x14ac:dyDescent="0.35">
      <c r="C6639" s="82"/>
    </row>
    <row r="6640" spans="3:3" x14ac:dyDescent="0.35">
      <c r="C6640" s="82"/>
    </row>
    <row r="6641" spans="3:3" x14ac:dyDescent="0.35">
      <c r="C6641" s="82"/>
    </row>
    <row r="6642" spans="3:3" x14ac:dyDescent="0.35">
      <c r="C6642" s="82"/>
    </row>
    <row r="6643" spans="3:3" x14ac:dyDescent="0.35">
      <c r="C6643" s="82"/>
    </row>
    <row r="6644" spans="3:3" x14ac:dyDescent="0.35">
      <c r="C6644" s="82"/>
    </row>
    <row r="6645" spans="3:3" x14ac:dyDescent="0.35">
      <c r="C6645" s="82"/>
    </row>
    <row r="6646" spans="3:3" x14ac:dyDescent="0.35">
      <c r="C6646" s="82"/>
    </row>
    <row r="6647" spans="3:3" x14ac:dyDescent="0.35">
      <c r="C6647" s="82"/>
    </row>
    <row r="6648" spans="3:3" x14ac:dyDescent="0.35">
      <c r="C6648" s="82"/>
    </row>
    <row r="6649" spans="3:3" x14ac:dyDescent="0.35">
      <c r="C6649" s="82"/>
    </row>
    <row r="6650" spans="3:3" x14ac:dyDescent="0.35">
      <c r="C6650" s="82"/>
    </row>
    <row r="6651" spans="3:3" x14ac:dyDescent="0.35">
      <c r="C6651" s="82"/>
    </row>
    <row r="6652" spans="3:3" x14ac:dyDescent="0.35">
      <c r="C6652" s="82"/>
    </row>
    <row r="6653" spans="3:3" x14ac:dyDescent="0.35">
      <c r="C6653" s="82"/>
    </row>
    <row r="6654" spans="3:3" x14ac:dyDescent="0.35">
      <c r="C6654" s="82"/>
    </row>
    <row r="6655" spans="3:3" x14ac:dyDescent="0.35">
      <c r="C6655" s="82"/>
    </row>
    <row r="6656" spans="3:3" x14ac:dyDescent="0.35">
      <c r="C6656" s="82"/>
    </row>
    <row r="6657" spans="3:3" x14ac:dyDescent="0.35">
      <c r="C6657" s="82"/>
    </row>
    <row r="6658" spans="3:3" x14ac:dyDescent="0.35">
      <c r="C6658" s="82"/>
    </row>
    <row r="6659" spans="3:3" x14ac:dyDescent="0.35">
      <c r="C6659" s="82"/>
    </row>
    <row r="6660" spans="3:3" x14ac:dyDescent="0.35">
      <c r="C6660" s="82"/>
    </row>
    <row r="6661" spans="3:3" x14ac:dyDescent="0.35">
      <c r="C6661" s="82"/>
    </row>
    <row r="6662" spans="3:3" x14ac:dyDescent="0.35">
      <c r="C6662" s="82"/>
    </row>
    <row r="6663" spans="3:3" x14ac:dyDescent="0.35">
      <c r="C6663" s="82"/>
    </row>
    <row r="6664" spans="3:3" x14ac:dyDescent="0.35">
      <c r="C6664" s="82"/>
    </row>
    <row r="6665" spans="3:3" x14ac:dyDescent="0.35">
      <c r="C6665" s="82"/>
    </row>
    <row r="6666" spans="3:3" x14ac:dyDescent="0.35">
      <c r="C6666" s="82"/>
    </row>
    <row r="6667" spans="3:3" x14ac:dyDescent="0.35">
      <c r="C6667" s="82"/>
    </row>
    <row r="6668" spans="3:3" x14ac:dyDescent="0.35">
      <c r="C6668" s="82"/>
    </row>
    <row r="6669" spans="3:3" x14ac:dyDescent="0.35">
      <c r="C6669" s="82"/>
    </row>
    <row r="6670" spans="3:3" x14ac:dyDescent="0.35">
      <c r="C6670" s="82"/>
    </row>
    <row r="6671" spans="3:3" x14ac:dyDescent="0.35">
      <c r="C6671" s="82"/>
    </row>
    <row r="6672" spans="3:3" x14ac:dyDescent="0.35">
      <c r="C6672" s="82"/>
    </row>
    <row r="6673" spans="3:3" x14ac:dyDescent="0.35">
      <c r="C6673" s="82"/>
    </row>
    <row r="6674" spans="3:3" x14ac:dyDescent="0.35">
      <c r="C6674" s="82"/>
    </row>
    <row r="6675" spans="3:3" x14ac:dyDescent="0.35">
      <c r="C6675" s="82"/>
    </row>
    <row r="6676" spans="3:3" x14ac:dyDescent="0.35">
      <c r="C6676" s="82"/>
    </row>
    <row r="6677" spans="3:3" x14ac:dyDescent="0.35">
      <c r="C6677" s="82"/>
    </row>
    <row r="6678" spans="3:3" x14ac:dyDescent="0.35">
      <c r="C6678" s="82"/>
    </row>
    <row r="6679" spans="3:3" x14ac:dyDescent="0.35">
      <c r="C6679" s="82"/>
    </row>
    <row r="6680" spans="3:3" x14ac:dyDescent="0.35">
      <c r="C6680" s="82"/>
    </row>
    <row r="6681" spans="3:3" x14ac:dyDescent="0.35">
      <c r="C6681" s="82"/>
    </row>
    <row r="6682" spans="3:3" x14ac:dyDescent="0.35">
      <c r="C6682" s="82"/>
    </row>
    <row r="6683" spans="3:3" x14ac:dyDescent="0.35">
      <c r="C6683" s="82"/>
    </row>
    <row r="6684" spans="3:3" x14ac:dyDescent="0.35">
      <c r="C6684" s="82"/>
    </row>
    <row r="6685" spans="3:3" x14ac:dyDescent="0.35">
      <c r="C6685" s="82"/>
    </row>
    <row r="6686" spans="3:3" x14ac:dyDescent="0.35">
      <c r="C6686" s="82"/>
    </row>
    <row r="6687" spans="3:3" x14ac:dyDescent="0.35">
      <c r="C6687" s="82"/>
    </row>
    <row r="6688" spans="3:3" x14ac:dyDescent="0.35">
      <c r="C6688" s="82"/>
    </row>
    <row r="6689" spans="3:3" x14ac:dyDescent="0.35">
      <c r="C6689" s="82"/>
    </row>
    <row r="6690" spans="3:3" x14ac:dyDescent="0.35">
      <c r="C6690" s="82"/>
    </row>
    <row r="6691" spans="3:3" x14ac:dyDescent="0.35">
      <c r="C6691" s="82"/>
    </row>
    <row r="6692" spans="3:3" x14ac:dyDescent="0.35">
      <c r="C6692" s="82"/>
    </row>
    <row r="6693" spans="3:3" x14ac:dyDescent="0.35">
      <c r="C6693" s="82"/>
    </row>
    <row r="6694" spans="3:3" x14ac:dyDescent="0.35">
      <c r="C6694" s="82"/>
    </row>
    <row r="6695" spans="3:3" x14ac:dyDescent="0.35">
      <c r="C6695" s="82"/>
    </row>
    <row r="6696" spans="3:3" x14ac:dyDescent="0.35">
      <c r="C6696" s="82"/>
    </row>
    <row r="6697" spans="3:3" x14ac:dyDescent="0.35">
      <c r="C6697" s="82"/>
    </row>
    <row r="6698" spans="3:3" x14ac:dyDescent="0.35">
      <c r="C6698" s="82"/>
    </row>
    <row r="6699" spans="3:3" x14ac:dyDescent="0.35">
      <c r="C6699" s="82"/>
    </row>
    <row r="6700" spans="3:3" x14ac:dyDescent="0.35">
      <c r="C6700" s="82"/>
    </row>
    <row r="6701" spans="3:3" x14ac:dyDescent="0.35">
      <c r="C6701" s="82"/>
    </row>
    <row r="6702" spans="3:3" x14ac:dyDescent="0.35">
      <c r="C6702" s="82"/>
    </row>
    <row r="6703" spans="3:3" x14ac:dyDescent="0.35">
      <c r="C6703" s="82"/>
    </row>
    <row r="6704" spans="3:3" x14ac:dyDescent="0.35">
      <c r="C6704" s="82"/>
    </row>
    <row r="6705" spans="3:3" x14ac:dyDescent="0.35">
      <c r="C6705" s="82"/>
    </row>
    <row r="6706" spans="3:3" x14ac:dyDescent="0.35">
      <c r="C6706" s="82"/>
    </row>
    <row r="6707" spans="3:3" x14ac:dyDescent="0.35">
      <c r="C6707" s="82"/>
    </row>
    <row r="6708" spans="3:3" x14ac:dyDescent="0.35">
      <c r="C6708" s="82"/>
    </row>
    <row r="6709" spans="3:3" x14ac:dyDescent="0.35">
      <c r="C6709" s="82"/>
    </row>
    <row r="6710" spans="3:3" x14ac:dyDescent="0.35">
      <c r="C6710" s="82"/>
    </row>
    <row r="6711" spans="3:3" x14ac:dyDescent="0.35">
      <c r="C6711" s="82"/>
    </row>
    <row r="6712" spans="3:3" x14ac:dyDescent="0.35">
      <c r="C6712" s="82"/>
    </row>
    <row r="6713" spans="3:3" x14ac:dyDescent="0.35">
      <c r="C6713" s="82"/>
    </row>
    <row r="6714" spans="3:3" x14ac:dyDescent="0.35">
      <c r="C6714" s="82"/>
    </row>
    <row r="6715" spans="3:3" x14ac:dyDescent="0.35">
      <c r="C6715" s="82"/>
    </row>
    <row r="6716" spans="3:3" x14ac:dyDescent="0.35">
      <c r="C6716" s="82"/>
    </row>
    <row r="6717" spans="3:3" x14ac:dyDescent="0.35">
      <c r="C6717" s="82"/>
    </row>
    <row r="6718" spans="3:3" x14ac:dyDescent="0.35">
      <c r="C6718" s="82"/>
    </row>
    <row r="6719" spans="3:3" x14ac:dyDescent="0.35">
      <c r="C6719" s="82"/>
    </row>
    <row r="6720" spans="3:3" x14ac:dyDescent="0.35">
      <c r="C6720" s="82"/>
    </row>
    <row r="6721" spans="3:3" x14ac:dyDescent="0.35">
      <c r="C6721" s="82"/>
    </row>
    <row r="6722" spans="3:3" x14ac:dyDescent="0.35">
      <c r="C6722" s="82"/>
    </row>
    <row r="6723" spans="3:3" x14ac:dyDescent="0.35">
      <c r="C6723" s="82"/>
    </row>
    <row r="6724" spans="3:3" x14ac:dyDescent="0.35">
      <c r="C6724" s="82"/>
    </row>
    <row r="6725" spans="3:3" x14ac:dyDescent="0.35">
      <c r="C6725" s="82"/>
    </row>
    <row r="6726" spans="3:3" x14ac:dyDescent="0.35">
      <c r="C6726" s="82"/>
    </row>
    <row r="6727" spans="3:3" x14ac:dyDescent="0.35">
      <c r="C6727" s="82"/>
    </row>
    <row r="6728" spans="3:3" x14ac:dyDescent="0.35">
      <c r="C6728" s="82"/>
    </row>
    <row r="6729" spans="3:3" x14ac:dyDescent="0.35">
      <c r="C6729" s="82"/>
    </row>
    <row r="6730" spans="3:3" x14ac:dyDescent="0.35">
      <c r="C6730" s="82"/>
    </row>
    <row r="6731" spans="3:3" x14ac:dyDescent="0.35">
      <c r="C6731" s="82"/>
    </row>
    <row r="6732" spans="3:3" x14ac:dyDescent="0.35">
      <c r="C6732" s="82"/>
    </row>
    <row r="6733" spans="3:3" x14ac:dyDescent="0.35">
      <c r="C6733" s="82"/>
    </row>
    <row r="6734" spans="3:3" x14ac:dyDescent="0.35">
      <c r="C6734" s="82"/>
    </row>
    <row r="6735" spans="3:3" x14ac:dyDescent="0.35">
      <c r="C6735" s="82"/>
    </row>
    <row r="6736" spans="3:3" x14ac:dyDescent="0.35">
      <c r="C6736" s="82"/>
    </row>
    <row r="6737" spans="3:3" x14ac:dyDescent="0.35">
      <c r="C6737" s="82"/>
    </row>
    <row r="6738" spans="3:3" x14ac:dyDescent="0.35">
      <c r="C6738" s="82"/>
    </row>
    <row r="6739" spans="3:3" x14ac:dyDescent="0.35">
      <c r="C6739" s="82"/>
    </row>
    <row r="6740" spans="3:3" x14ac:dyDescent="0.35">
      <c r="C6740" s="82"/>
    </row>
    <row r="6741" spans="3:3" x14ac:dyDescent="0.35">
      <c r="C6741" s="82"/>
    </row>
    <row r="6742" spans="3:3" x14ac:dyDescent="0.35">
      <c r="C6742" s="82"/>
    </row>
    <row r="6743" spans="3:3" x14ac:dyDescent="0.35">
      <c r="C6743" s="82"/>
    </row>
    <row r="6744" spans="3:3" x14ac:dyDescent="0.35">
      <c r="C6744" s="82"/>
    </row>
    <row r="6745" spans="3:3" x14ac:dyDescent="0.35">
      <c r="C6745" s="82"/>
    </row>
    <row r="6746" spans="3:3" x14ac:dyDescent="0.35">
      <c r="C6746" s="82"/>
    </row>
    <row r="6747" spans="3:3" x14ac:dyDescent="0.35">
      <c r="C6747" s="82"/>
    </row>
    <row r="6748" spans="3:3" x14ac:dyDescent="0.35">
      <c r="C6748" s="82"/>
    </row>
    <row r="6749" spans="3:3" x14ac:dyDescent="0.35">
      <c r="C6749" s="82"/>
    </row>
    <row r="6750" spans="3:3" x14ac:dyDescent="0.35">
      <c r="C6750" s="82"/>
    </row>
    <row r="6751" spans="3:3" x14ac:dyDescent="0.35">
      <c r="C6751" s="82"/>
    </row>
    <row r="6752" spans="3:3" x14ac:dyDescent="0.35">
      <c r="C6752" s="82"/>
    </row>
    <row r="6753" spans="1:9" x14ac:dyDescent="0.35">
      <c r="C6753" s="82"/>
    </row>
    <row r="6754" spans="1:9" x14ac:dyDescent="0.35">
      <c r="C6754" s="82"/>
    </row>
    <row r="6755" spans="1:9" x14ac:dyDescent="0.35">
      <c r="C6755" s="82"/>
    </row>
    <row r="6756" spans="1:9" x14ac:dyDescent="0.35">
      <c r="C6756" s="82"/>
    </row>
    <row r="6757" spans="1:9" x14ac:dyDescent="0.35">
      <c r="C6757" s="82"/>
    </row>
    <row r="6758" spans="1:9" x14ac:dyDescent="0.35">
      <c r="C6758" s="82"/>
    </row>
    <row r="6759" spans="1:9" x14ac:dyDescent="0.35">
      <c r="C6759" s="82"/>
    </row>
    <row r="6760" spans="1:9" x14ac:dyDescent="0.35">
      <c r="C6760" s="82"/>
    </row>
    <row r="6761" spans="1:9" x14ac:dyDescent="0.35">
      <c r="C6761" s="82"/>
    </row>
    <row r="6762" spans="1:9" x14ac:dyDescent="0.35">
      <c r="C6762" s="82"/>
    </row>
    <row r="6763" spans="1:9" x14ac:dyDescent="0.35">
      <c r="C6763" s="82"/>
    </row>
    <row r="6764" spans="1:9" x14ac:dyDescent="0.35">
      <c r="C6764" s="82"/>
    </row>
    <row r="6765" spans="1:9" x14ac:dyDescent="0.35">
      <c r="C6765" s="82"/>
    </row>
    <row r="6766" spans="1:9" s="83" customFormat="1" x14ac:dyDescent="0.35">
      <c r="A6766" s="77"/>
      <c r="B6766" s="64"/>
      <c r="C6766" s="82"/>
      <c r="D6766" s="64"/>
      <c r="E6766" s="96"/>
      <c r="F6766" s="64"/>
      <c r="G6766" s="70"/>
      <c r="H6766" s="84"/>
      <c r="I6766" s="84"/>
    </row>
    <row r="6767" spans="1:9" s="83" customFormat="1" x14ac:dyDescent="0.35">
      <c r="A6767" s="77"/>
      <c r="B6767" s="64"/>
      <c r="C6767" s="82"/>
      <c r="D6767" s="64"/>
      <c r="E6767" s="96"/>
      <c r="F6767" s="64"/>
      <c r="G6767" s="70"/>
      <c r="H6767" s="84"/>
      <c r="I6767" s="84"/>
    </row>
    <row r="6768" spans="1:9" s="83" customFormat="1" x14ac:dyDescent="0.35">
      <c r="A6768" s="77"/>
      <c r="B6768" s="64"/>
      <c r="C6768" s="82"/>
      <c r="D6768" s="64"/>
      <c r="E6768" s="96"/>
      <c r="F6768" s="64"/>
      <c r="G6768" s="70"/>
      <c r="H6768" s="84"/>
      <c r="I6768" s="84"/>
    </row>
    <row r="6769" spans="1:9" s="83" customFormat="1" x14ac:dyDescent="0.35">
      <c r="A6769" s="77"/>
      <c r="B6769" s="64"/>
      <c r="C6769" s="82"/>
      <c r="D6769" s="64"/>
      <c r="E6769" s="96"/>
      <c r="F6769" s="64"/>
      <c r="G6769" s="70"/>
      <c r="H6769" s="84"/>
      <c r="I6769" s="84"/>
    </row>
    <row r="6770" spans="1:9" s="83" customFormat="1" x14ac:dyDescent="0.35">
      <c r="A6770" s="77"/>
      <c r="B6770" s="64"/>
      <c r="C6770" s="82"/>
      <c r="D6770" s="64"/>
      <c r="E6770" s="96"/>
      <c r="F6770" s="64"/>
      <c r="G6770" s="70"/>
      <c r="H6770" s="84"/>
      <c r="I6770" s="84"/>
    </row>
    <row r="6771" spans="1:9" s="83" customFormat="1" x14ac:dyDescent="0.35">
      <c r="A6771" s="77"/>
      <c r="B6771" s="64"/>
      <c r="C6771" s="82"/>
      <c r="D6771" s="64"/>
      <c r="E6771" s="96"/>
      <c r="F6771" s="64"/>
      <c r="G6771" s="70"/>
      <c r="H6771" s="84"/>
      <c r="I6771" s="84"/>
    </row>
    <row r="6772" spans="1:9" s="83" customFormat="1" x14ac:dyDescent="0.35">
      <c r="A6772" s="77"/>
      <c r="B6772" s="64"/>
      <c r="C6772" s="82"/>
      <c r="D6772" s="64"/>
      <c r="E6772" s="96"/>
      <c r="F6772" s="64"/>
      <c r="G6772" s="70"/>
      <c r="H6772" s="84"/>
      <c r="I6772" s="84"/>
    </row>
    <row r="6773" spans="1:9" s="83" customFormat="1" x14ac:dyDescent="0.35">
      <c r="A6773" s="77"/>
      <c r="B6773" s="64"/>
      <c r="C6773" s="82"/>
      <c r="D6773" s="64"/>
      <c r="E6773" s="96"/>
      <c r="F6773" s="64"/>
      <c r="G6773" s="70"/>
      <c r="H6773" s="84"/>
      <c r="I6773" s="84"/>
    </row>
    <row r="6774" spans="1:9" s="83" customFormat="1" x14ac:dyDescent="0.35">
      <c r="A6774" s="77"/>
      <c r="B6774" s="64"/>
      <c r="C6774" s="82"/>
      <c r="D6774" s="86"/>
      <c r="E6774" s="96"/>
      <c r="F6774" s="64"/>
      <c r="G6774" s="70"/>
      <c r="H6774" s="84"/>
      <c r="I6774" s="84"/>
    </row>
    <row r="6775" spans="1:9" s="83" customFormat="1" x14ac:dyDescent="0.35">
      <c r="A6775" s="77"/>
      <c r="B6775" s="64"/>
      <c r="C6775" s="82"/>
      <c r="D6775" s="64"/>
      <c r="E6775" s="96"/>
      <c r="F6775" s="64"/>
      <c r="G6775" s="70"/>
      <c r="H6775" s="84"/>
      <c r="I6775" s="84"/>
    </row>
    <row r="6776" spans="1:9" s="83" customFormat="1" x14ac:dyDescent="0.35">
      <c r="A6776" s="77"/>
      <c r="B6776" s="64"/>
      <c r="C6776" s="82"/>
      <c r="D6776" s="64"/>
      <c r="E6776" s="96"/>
      <c r="F6776" s="64"/>
      <c r="G6776" s="70"/>
      <c r="H6776" s="84"/>
      <c r="I6776" s="84"/>
    </row>
    <row r="6777" spans="1:9" s="83" customFormat="1" x14ac:dyDescent="0.35">
      <c r="A6777" s="77"/>
      <c r="B6777" s="64"/>
      <c r="C6777" s="82"/>
      <c r="D6777" s="64"/>
      <c r="E6777" s="96"/>
      <c r="F6777" s="64"/>
      <c r="G6777" s="70"/>
      <c r="H6777" s="84"/>
      <c r="I6777" s="84"/>
    </row>
    <row r="6778" spans="1:9" s="83" customFormat="1" x14ac:dyDescent="0.35">
      <c r="A6778" s="77"/>
      <c r="B6778" s="64"/>
      <c r="C6778" s="82"/>
      <c r="D6778" s="64"/>
      <c r="E6778" s="96"/>
      <c r="F6778" s="64"/>
      <c r="G6778" s="70"/>
      <c r="H6778" s="84"/>
      <c r="I6778" s="84"/>
    </row>
    <row r="6779" spans="1:9" s="83" customFormat="1" x14ac:dyDescent="0.35">
      <c r="A6779" s="77"/>
      <c r="B6779" s="64"/>
      <c r="C6779" s="82"/>
      <c r="D6779" s="64"/>
      <c r="E6779" s="96"/>
      <c r="F6779" s="64"/>
      <c r="G6779" s="70"/>
      <c r="H6779" s="84"/>
      <c r="I6779" s="84"/>
    </row>
    <row r="6780" spans="1:9" s="83" customFormat="1" x14ac:dyDescent="0.35">
      <c r="A6780" s="77"/>
      <c r="B6780" s="64"/>
      <c r="C6780" s="82"/>
      <c r="D6780" s="64"/>
      <c r="E6780" s="96"/>
      <c r="F6780" s="64"/>
      <c r="G6780" s="70"/>
      <c r="H6780" s="84"/>
      <c r="I6780" s="84"/>
    </row>
    <row r="6781" spans="1:9" s="83" customFormat="1" x14ac:dyDescent="0.35">
      <c r="A6781" s="77"/>
      <c r="B6781" s="64"/>
      <c r="C6781" s="82"/>
      <c r="D6781" s="64"/>
      <c r="E6781" s="96"/>
      <c r="F6781" s="64"/>
      <c r="G6781" s="70"/>
      <c r="H6781" s="84"/>
      <c r="I6781" s="84"/>
    </row>
    <row r="6782" spans="1:9" x14ac:dyDescent="0.35">
      <c r="C6782" s="82"/>
    </row>
    <row r="6783" spans="1:9" x14ac:dyDescent="0.35">
      <c r="C6783" s="82"/>
    </row>
    <row r="6784" spans="1:9" x14ac:dyDescent="0.35">
      <c r="C6784" s="82"/>
    </row>
    <row r="6785" spans="3:3" x14ac:dyDescent="0.35">
      <c r="C6785" s="82"/>
    </row>
    <row r="6786" spans="3:3" x14ac:dyDescent="0.35">
      <c r="C6786" s="82"/>
    </row>
    <row r="6787" spans="3:3" x14ac:dyDescent="0.35">
      <c r="C6787" s="82"/>
    </row>
    <row r="6788" spans="3:3" x14ac:dyDescent="0.35">
      <c r="C6788" s="82"/>
    </row>
    <row r="6789" spans="3:3" x14ac:dyDescent="0.35">
      <c r="C6789" s="82"/>
    </row>
    <row r="6790" spans="3:3" x14ac:dyDescent="0.35">
      <c r="C6790" s="82"/>
    </row>
    <row r="6791" spans="3:3" x14ac:dyDescent="0.35">
      <c r="C6791" s="82"/>
    </row>
    <row r="6792" spans="3:3" x14ac:dyDescent="0.35">
      <c r="C6792" s="82"/>
    </row>
    <row r="6793" spans="3:3" x14ac:dyDescent="0.35">
      <c r="C6793" s="82"/>
    </row>
    <row r="6794" spans="3:3" x14ac:dyDescent="0.35">
      <c r="C6794" s="82"/>
    </row>
    <row r="6795" spans="3:3" x14ac:dyDescent="0.35">
      <c r="C6795" s="82"/>
    </row>
    <row r="6796" spans="3:3" x14ac:dyDescent="0.35">
      <c r="C6796" s="82"/>
    </row>
    <row r="6797" spans="3:3" x14ac:dyDescent="0.35">
      <c r="C6797" s="82"/>
    </row>
    <row r="6798" spans="3:3" x14ac:dyDescent="0.35">
      <c r="C6798" s="82"/>
    </row>
    <row r="6799" spans="3:3" x14ac:dyDescent="0.35">
      <c r="C6799" s="82"/>
    </row>
    <row r="6800" spans="3:3" x14ac:dyDescent="0.35">
      <c r="C6800" s="82"/>
    </row>
    <row r="6801" spans="3:3" x14ac:dyDescent="0.35">
      <c r="C6801" s="82"/>
    </row>
    <row r="6802" spans="3:3" x14ac:dyDescent="0.35">
      <c r="C6802" s="82"/>
    </row>
    <row r="6803" spans="3:3" x14ac:dyDescent="0.35">
      <c r="C6803" s="82"/>
    </row>
    <row r="6804" spans="3:3" x14ac:dyDescent="0.35">
      <c r="C6804" s="82"/>
    </row>
    <row r="6805" spans="3:3" x14ac:dyDescent="0.35">
      <c r="C6805" s="82"/>
    </row>
    <row r="6806" spans="3:3" x14ac:dyDescent="0.35">
      <c r="C6806" s="82"/>
    </row>
    <row r="6807" spans="3:3" x14ac:dyDescent="0.35">
      <c r="C6807" s="82"/>
    </row>
    <row r="6808" spans="3:3" x14ac:dyDescent="0.35">
      <c r="C6808" s="82"/>
    </row>
    <row r="6809" spans="3:3" x14ac:dyDescent="0.35">
      <c r="C6809" s="82"/>
    </row>
    <row r="6810" spans="3:3" x14ac:dyDescent="0.35">
      <c r="C6810" s="82"/>
    </row>
    <row r="6811" spans="3:3" x14ac:dyDescent="0.35">
      <c r="C6811" s="82"/>
    </row>
    <row r="6812" spans="3:3" x14ac:dyDescent="0.35">
      <c r="C6812" s="82"/>
    </row>
    <row r="6813" spans="3:3" x14ac:dyDescent="0.35">
      <c r="C6813" s="82"/>
    </row>
    <row r="6814" spans="3:3" x14ac:dyDescent="0.35">
      <c r="C6814" s="82"/>
    </row>
    <row r="6815" spans="3:3" x14ac:dyDescent="0.35">
      <c r="C6815" s="82"/>
    </row>
    <row r="6816" spans="3:3" x14ac:dyDescent="0.35">
      <c r="C6816" s="82"/>
    </row>
    <row r="6817" spans="3:3" x14ac:dyDescent="0.35">
      <c r="C6817" s="82"/>
    </row>
    <row r="6818" spans="3:3" x14ac:dyDescent="0.35">
      <c r="C6818" s="82"/>
    </row>
    <row r="6819" spans="3:3" x14ac:dyDescent="0.35">
      <c r="C6819" s="82"/>
    </row>
    <row r="6820" spans="3:3" x14ac:dyDescent="0.35">
      <c r="C6820" s="82"/>
    </row>
    <row r="6821" spans="3:3" x14ac:dyDescent="0.35">
      <c r="C6821" s="82"/>
    </row>
    <row r="6822" spans="3:3" x14ac:dyDescent="0.35">
      <c r="C6822" s="82"/>
    </row>
    <row r="6823" spans="3:3" x14ac:dyDescent="0.35">
      <c r="C6823" s="82"/>
    </row>
    <row r="6824" spans="3:3" x14ac:dyDescent="0.35">
      <c r="C6824" s="82"/>
    </row>
    <row r="6825" spans="3:3" x14ac:dyDescent="0.35">
      <c r="C6825" s="82"/>
    </row>
    <row r="6826" spans="3:3" x14ac:dyDescent="0.35">
      <c r="C6826" s="82"/>
    </row>
    <row r="6827" spans="3:3" x14ac:dyDescent="0.35">
      <c r="C6827" s="82"/>
    </row>
    <row r="6828" spans="3:3" x14ac:dyDescent="0.35">
      <c r="C6828" s="82"/>
    </row>
    <row r="6829" spans="3:3" x14ac:dyDescent="0.35">
      <c r="C6829" s="82"/>
    </row>
    <row r="6830" spans="3:3" x14ac:dyDescent="0.35">
      <c r="C6830" s="82"/>
    </row>
    <row r="6831" spans="3:3" x14ac:dyDescent="0.35">
      <c r="C6831" s="82"/>
    </row>
    <row r="6832" spans="3:3" x14ac:dyDescent="0.35">
      <c r="C6832" s="82"/>
    </row>
    <row r="6833" spans="3:3" x14ac:dyDescent="0.35">
      <c r="C6833" s="82"/>
    </row>
    <row r="6834" spans="3:3" x14ac:dyDescent="0.35">
      <c r="C6834" s="82"/>
    </row>
    <row r="6835" spans="3:3" x14ac:dyDescent="0.35">
      <c r="C6835" s="82"/>
    </row>
    <row r="6836" spans="3:3" x14ac:dyDescent="0.35">
      <c r="C6836" s="82"/>
    </row>
    <row r="6837" spans="3:3" x14ac:dyDescent="0.35">
      <c r="C6837" s="82"/>
    </row>
    <row r="6838" spans="3:3" x14ac:dyDescent="0.35">
      <c r="C6838" s="82"/>
    </row>
    <row r="6839" spans="3:3" x14ac:dyDescent="0.35">
      <c r="C6839" s="82"/>
    </row>
    <row r="6840" spans="3:3" x14ac:dyDescent="0.35">
      <c r="C6840" s="82"/>
    </row>
    <row r="6841" spans="3:3" x14ac:dyDescent="0.35">
      <c r="C6841" s="82"/>
    </row>
    <row r="6842" spans="3:3" x14ac:dyDescent="0.35">
      <c r="C6842" s="82"/>
    </row>
    <row r="6843" spans="3:3" x14ac:dyDescent="0.35">
      <c r="C6843" s="82"/>
    </row>
    <row r="6844" spans="3:3" x14ac:dyDescent="0.35">
      <c r="C6844" s="82"/>
    </row>
    <row r="6845" spans="3:3" x14ac:dyDescent="0.35">
      <c r="C6845" s="82"/>
    </row>
    <row r="6846" spans="3:3" x14ac:dyDescent="0.35">
      <c r="C6846" s="82"/>
    </row>
    <row r="6847" spans="3:3" x14ac:dyDescent="0.35">
      <c r="C6847" s="82"/>
    </row>
    <row r="6848" spans="3:3" x14ac:dyDescent="0.35">
      <c r="C6848" s="82"/>
    </row>
    <row r="6849" spans="3:3" x14ac:dyDescent="0.35">
      <c r="C6849" s="82"/>
    </row>
    <row r="6850" spans="3:3" x14ac:dyDescent="0.35">
      <c r="C6850" s="82"/>
    </row>
    <row r="6851" spans="3:3" x14ac:dyDescent="0.35">
      <c r="C6851" s="82"/>
    </row>
    <row r="6852" spans="3:3" x14ac:dyDescent="0.35">
      <c r="C6852" s="82"/>
    </row>
    <row r="6853" spans="3:3" x14ac:dyDescent="0.35">
      <c r="C6853" s="82"/>
    </row>
    <row r="6854" spans="3:3" x14ac:dyDescent="0.35">
      <c r="C6854" s="82"/>
    </row>
    <row r="6855" spans="3:3" x14ac:dyDescent="0.35">
      <c r="C6855" s="82"/>
    </row>
    <row r="6856" spans="3:3" x14ac:dyDescent="0.35">
      <c r="C6856" s="82"/>
    </row>
    <row r="6857" spans="3:3" x14ac:dyDescent="0.35">
      <c r="C6857" s="82"/>
    </row>
    <row r="6858" spans="3:3" x14ac:dyDescent="0.35">
      <c r="C6858" s="82"/>
    </row>
    <row r="6859" spans="3:3" x14ac:dyDescent="0.35">
      <c r="C6859" s="82"/>
    </row>
    <row r="6860" spans="3:3" x14ac:dyDescent="0.35">
      <c r="C6860" s="82"/>
    </row>
    <row r="6861" spans="3:3" x14ac:dyDescent="0.35">
      <c r="C6861" s="82"/>
    </row>
    <row r="6862" spans="3:3" x14ac:dyDescent="0.35">
      <c r="C6862" s="82"/>
    </row>
    <row r="6863" spans="3:3" x14ac:dyDescent="0.35">
      <c r="C6863" s="82"/>
    </row>
    <row r="6864" spans="3:3" x14ac:dyDescent="0.35">
      <c r="C6864" s="82"/>
    </row>
    <row r="6865" spans="3:3" x14ac:dyDescent="0.35">
      <c r="C6865" s="82"/>
    </row>
    <row r="6866" spans="3:3" x14ac:dyDescent="0.35">
      <c r="C6866" s="82"/>
    </row>
    <row r="6867" spans="3:3" x14ac:dyDescent="0.35">
      <c r="C6867" s="82"/>
    </row>
    <row r="6868" spans="3:3" x14ac:dyDescent="0.35">
      <c r="C6868" s="82"/>
    </row>
    <row r="6869" spans="3:3" x14ac:dyDescent="0.35">
      <c r="C6869" s="82"/>
    </row>
    <row r="6870" spans="3:3" x14ac:dyDescent="0.35">
      <c r="C6870" s="82"/>
    </row>
    <row r="6871" spans="3:3" x14ac:dyDescent="0.35">
      <c r="C6871" s="82"/>
    </row>
    <row r="6872" spans="3:3" x14ac:dyDescent="0.35">
      <c r="C6872" s="82"/>
    </row>
    <row r="6873" spans="3:3" x14ac:dyDescent="0.35">
      <c r="C6873" s="82"/>
    </row>
    <row r="6874" spans="3:3" x14ac:dyDescent="0.35">
      <c r="C6874" s="82"/>
    </row>
    <row r="6875" spans="3:3" x14ac:dyDescent="0.35">
      <c r="C6875" s="82"/>
    </row>
    <row r="6876" spans="3:3" x14ac:dyDescent="0.35">
      <c r="C6876" s="82"/>
    </row>
    <row r="6877" spans="3:3" x14ac:dyDescent="0.35">
      <c r="C6877" s="82"/>
    </row>
    <row r="6878" spans="3:3" x14ac:dyDescent="0.35">
      <c r="C6878" s="82"/>
    </row>
    <row r="6879" spans="3:3" x14ac:dyDescent="0.35">
      <c r="C6879" s="82"/>
    </row>
    <row r="6880" spans="3:3" x14ac:dyDescent="0.35">
      <c r="C6880" s="82"/>
    </row>
    <row r="6881" spans="3:3" x14ac:dyDescent="0.35">
      <c r="C6881" s="82"/>
    </row>
    <row r="6882" spans="3:3" x14ac:dyDescent="0.35">
      <c r="C6882" s="82"/>
    </row>
    <row r="6883" spans="3:3" x14ac:dyDescent="0.35">
      <c r="C6883" s="82"/>
    </row>
    <row r="6884" spans="3:3" x14ac:dyDescent="0.35">
      <c r="C6884" s="82"/>
    </row>
    <row r="6885" spans="3:3" x14ac:dyDescent="0.35">
      <c r="C6885" s="82"/>
    </row>
    <row r="6886" spans="3:3" x14ac:dyDescent="0.35">
      <c r="C6886" s="82"/>
    </row>
    <row r="6887" spans="3:3" x14ac:dyDescent="0.35">
      <c r="C6887" s="82"/>
    </row>
    <row r="6888" spans="3:3" x14ac:dyDescent="0.35">
      <c r="C6888" s="82"/>
    </row>
    <row r="6889" spans="3:3" x14ac:dyDescent="0.35">
      <c r="C6889" s="82"/>
    </row>
    <row r="6890" spans="3:3" x14ac:dyDescent="0.35">
      <c r="C6890" s="82"/>
    </row>
    <row r="6891" spans="3:3" x14ac:dyDescent="0.35">
      <c r="C6891" s="82"/>
    </row>
    <row r="6892" spans="3:3" x14ac:dyDescent="0.35">
      <c r="C6892" s="82"/>
    </row>
    <row r="6893" spans="3:3" x14ac:dyDescent="0.35">
      <c r="C6893" s="82"/>
    </row>
    <row r="6894" spans="3:3" x14ac:dyDescent="0.35">
      <c r="C6894" s="82"/>
    </row>
    <row r="6895" spans="3:3" x14ac:dyDescent="0.35">
      <c r="C6895" s="82"/>
    </row>
    <row r="6896" spans="3:3" x14ac:dyDescent="0.35">
      <c r="C6896" s="82"/>
    </row>
    <row r="6897" spans="3:3" x14ac:dyDescent="0.35">
      <c r="C6897" s="82"/>
    </row>
    <row r="6898" spans="3:3" x14ac:dyDescent="0.35">
      <c r="C6898" s="82"/>
    </row>
    <row r="6899" spans="3:3" x14ac:dyDescent="0.35">
      <c r="C6899" s="82"/>
    </row>
    <row r="6900" spans="3:3" x14ac:dyDescent="0.35">
      <c r="C6900" s="82"/>
    </row>
    <row r="6901" spans="3:3" x14ac:dyDescent="0.35">
      <c r="C6901" s="82"/>
    </row>
    <row r="6902" spans="3:3" x14ac:dyDescent="0.35">
      <c r="C6902" s="82"/>
    </row>
    <row r="6903" spans="3:3" x14ac:dyDescent="0.35">
      <c r="C6903" s="82"/>
    </row>
    <row r="6904" spans="3:3" x14ac:dyDescent="0.35">
      <c r="C6904" s="82"/>
    </row>
    <row r="6905" spans="3:3" x14ac:dyDescent="0.35">
      <c r="C6905" s="82"/>
    </row>
    <row r="6906" spans="3:3" x14ac:dyDescent="0.35">
      <c r="C6906" s="82"/>
    </row>
    <row r="6907" spans="3:3" x14ac:dyDescent="0.35">
      <c r="C6907" s="82"/>
    </row>
    <row r="6908" spans="3:3" x14ac:dyDescent="0.35">
      <c r="C6908" s="82"/>
    </row>
    <row r="6909" spans="3:3" x14ac:dyDescent="0.35">
      <c r="C6909" s="82"/>
    </row>
    <row r="6910" spans="3:3" x14ac:dyDescent="0.35">
      <c r="C6910" s="82"/>
    </row>
    <row r="6911" spans="3:3" x14ac:dyDescent="0.35">
      <c r="C6911" s="82"/>
    </row>
    <row r="6912" spans="3:3" x14ac:dyDescent="0.35">
      <c r="C6912" s="82"/>
    </row>
    <row r="6913" spans="3:3" x14ac:dyDescent="0.35">
      <c r="C6913" s="82"/>
    </row>
    <row r="6914" spans="3:3" x14ac:dyDescent="0.35">
      <c r="C6914" s="82"/>
    </row>
    <row r="6915" spans="3:3" x14ac:dyDescent="0.35">
      <c r="C6915" s="82"/>
    </row>
    <row r="6916" spans="3:3" x14ac:dyDescent="0.35">
      <c r="C6916" s="82"/>
    </row>
    <row r="6917" spans="3:3" x14ac:dyDescent="0.35">
      <c r="C6917" s="82"/>
    </row>
    <row r="6918" spans="3:3" x14ac:dyDescent="0.35">
      <c r="C6918" s="82"/>
    </row>
    <row r="6919" spans="3:3" x14ac:dyDescent="0.35">
      <c r="C6919" s="82"/>
    </row>
    <row r="6920" spans="3:3" x14ac:dyDescent="0.35">
      <c r="C6920" s="82"/>
    </row>
    <row r="6921" spans="3:3" x14ac:dyDescent="0.35">
      <c r="C6921" s="82"/>
    </row>
    <row r="6922" spans="3:3" x14ac:dyDescent="0.35">
      <c r="C6922" s="82"/>
    </row>
    <row r="6923" spans="3:3" x14ac:dyDescent="0.35">
      <c r="C6923" s="82"/>
    </row>
    <row r="6924" spans="3:3" x14ac:dyDescent="0.35">
      <c r="C6924" s="82"/>
    </row>
    <row r="6925" spans="3:3" x14ac:dyDescent="0.35">
      <c r="C6925" s="82"/>
    </row>
    <row r="6926" spans="3:3" x14ac:dyDescent="0.35">
      <c r="C6926" s="82"/>
    </row>
    <row r="6927" spans="3:3" x14ac:dyDescent="0.35">
      <c r="C6927" s="82"/>
    </row>
    <row r="6928" spans="3:3" x14ac:dyDescent="0.35">
      <c r="C6928" s="82"/>
    </row>
    <row r="6929" spans="3:3" x14ac:dyDescent="0.35">
      <c r="C6929" s="82"/>
    </row>
    <row r="6930" spans="3:3" x14ac:dyDescent="0.35">
      <c r="C6930" s="82"/>
    </row>
    <row r="6931" spans="3:3" x14ac:dyDescent="0.35">
      <c r="C6931" s="82"/>
    </row>
    <row r="6932" spans="3:3" x14ac:dyDescent="0.35">
      <c r="C6932" s="82"/>
    </row>
    <row r="6933" spans="3:3" x14ac:dyDescent="0.35">
      <c r="C6933" s="82"/>
    </row>
    <row r="6934" spans="3:3" x14ac:dyDescent="0.35">
      <c r="C6934" s="82"/>
    </row>
    <row r="6936" spans="3:3" x14ac:dyDescent="0.35">
      <c r="C6936" s="82"/>
    </row>
    <row r="6937" spans="3:3" x14ac:dyDescent="0.35">
      <c r="C6937" s="82"/>
    </row>
    <row r="6938" spans="3:3" x14ac:dyDescent="0.35">
      <c r="C6938" s="82"/>
    </row>
    <row r="6939" spans="3:3" x14ac:dyDescent="0.35">
      <c r="C6939" s="82"/>
    </row>
    <row r="6940" spans="3:3" x14ac:dyDescent="0.35">
      <c r="C6940" s="82"/>
    </row>
    <row r="6941" spans="3:3" x14ac:dyDescent="0.35">
      <c r="C6941" s="82"/>
    </row>
    <row r="6942" spans="3:3" x14ac:dyDescent="0.35">
      <c r="C6942" s="82"/>
    </row>
    <row r="6943" spans="3:3" x14ac:dyDescent="0.35">
      <c r="C6943" s="82"/>
    </row>
    <row r="6944" spans="3:3" x14ac:dyDescent="0.35">
      <c r="C6944" s="82"/>
    </row>
    <row r="6945" spans="3:3" x14ac:dyDescent="0.35">
      <c r="C6945" s="82"/>
    </row>
    <row r="6946" spans="3:3" x14ac:dyDescent="0.35">
      <c r="C6946" s="82"/>
    </row>
    <row r="6947" spans="3:3" x14ac:dyDescent="0.35">
      <c r="C6947" s="82"/>
    </row>
    <row r="6948" spans="3:3" x14ac:dyDescent="0.35">
      <c r="C6948" s="82"/>
    </row>
    <row r="6949" spans="3:3" x14ac:dyDescent="0.35">
      <c r="C6949" s="82"/>
    </row>
    <row r="6950" spans="3:3" x14ac:dyDescent="0.35">
      <c r="C6950" s="82"/>
    </row>
    <row r="6951" spans="3:3" x14ac:dyDescent="0.35">
      <c r="C6951" s="82"/>
    </row>
    <row r="6952" spans="3:3" x14ac:dyDescent="0.35">
      <c r="C6952" s="82"/>
    </row>
    <row r="6953" spans="3:3" x14ac:dyDescent="0.35">
      <c r="C6953" s="82"/>
    </row>
    <row r="6954" spans="3:3" x14ac:dyDescent="0.35">
      <c r="C6954" s="82"/>
    </row>
    <row r="6955" spans="3:3" x14ac:dyDescent="0.35">
      <c r="C6955" s="82"/>
    </row>
    <row r="6956" spans="3:3" x14ac:dyDescent="0.35">
      <c r="C6956" s="82"/>
    </row>
    <row r="6957" spans="3:3" x14ac:dyDescent="0.35">
      <c r="C6957" s="82"/>
    </row>
    <row r="6958" spans="3:3" x14ac:dyDescent="0.35">
      <c r="C6958" s="82"/>
    </row>
    <row r="6959" spans="3:3" x14ac:dyDescent="0.35">
      <c r="C6959" s="82"/>
    </row>
    <row r="6960" spans="3:3" x14ac:dyDescent="0.35">
      <c r="C6960" s="82"/>
    </row>
    <row r="6961" spans="3:3" x14ac:dyDescent="0.35">
      <c r="C6961" s="82"/>
    </row>
    <row r="6962" spans="3:3" x14ac:dyDescent="0.35">
      <c r="C6962" s="82"/>
    </row>
    <row r="6963" spans="3:3" x14ac:dyDescent="0.35">
      <c r="C6963" s="82"/>
    </row>
    <row r="6964" spans="3:3" x14ac:dyDescent="0.35">
      <c r="C6964" s="82"/>
    </row>
    <row r="6965" spans="3:3" x14ac:dyDescent="0.35">
      <c r="C6965" s="82"/>
    </row>
    <row r="6966" spans="3:3" x14ac:dyDescent="0.35">
      <c r="C6966" s="82"/>
    </row>
    <row r="6967" spans="3:3" x14ac:dyDescent="0.35">
      <c r="C6967" s="82"/>
    </row>
    <row r="6968" spans="3:3" x14ac:dyDescent="0.35">
      <c r="C6968" s="82"/>
    </row>
    <row r="6969" spans="3:3" x14ac:dyDescent="0.35">
      <c r="C6969" s="82"/>
    </row>
    <row r="6970" spans="3:3" x14ac:dyDescent="0.35">
      <c r="C6970" s="82"/>
    </row>
    <row r="6971" spans="3:3" x14ac:dyDescent="0.35">
      <c r="C6971" s="82"/>
    </row>
    <row r="6972" spans="3:3" x14ac:dyDescent="0.35">
      <c r="C6972" s="82"/>
    </row>
    <row r="6973" spans="3:3" x14ac:dyDescent="0.35">
      <c r="C6973" s="82"/>
    </row>
    <row r="6974" spans="3:3" x14ac:dyDescent="0.35">
      <c r="C6974" s="82"/>
    </row>
    <row r="6975" spans="3:3" x14ac:dyDescent="0.35">
      <c r="C6975" s="82"/>
    </row>
    <row r="6976" spans="3:3" x14ac:dyDescent="0.35">
      <c r="C6976" s="82"/>
    </row>
    <row r="6977" spans="3:3" x14ac:dyDescent="0.35">
      <c r="C6977" s="82"/>
    </row>
    <row r="6978" spans="3:3" x14ac:dyDescent="0.35">
      <c r="C6978" s="82"/>
    </row>
    <row r="6979" spans="3:3" x14ac:dyDescent="0.35">
      <c r="C6979" s="82"/>
    </row>
    <row r="6980" spans="3:3" x14ac:dyDescent="0.35">
      <c r="C6980" s="82"/>
    </row>
    <row r="6981" spans="3:3" x14ac:dyDescent="0.35">
      <c r="C6981" s="82"/>
    </row>
    <row r="6982" spans="3:3" x14ac:dyDescent="0.35">
      <c r="C6982" s="82"/>
    </row>
    <row r="6983" spans="3:3" x14ac:dyDescent="0.35">
      <c r="C6983" s="82"/>
    </row>
    <row r="6984" spans="3:3" x14ac:dyDescent="0.35">
      <c r="C6984" s="82"/>
    </row>
    <row r="6985" spans="3:3" x14ac:dyDescent="0.35">
      <c r="C6985" s="82"/>
    </row>
    <row r="6986" spans="3:3" x14ac:dyDescent="0.35">
      <c r="C6986" s="82"/>
    </row>
    <row r="6987" spans="3:3" x14ac:dyDescent="0.35">
      <c r="C6987" s="82"/>
    </row>
    <row r="6988" spans="3:3" x14ac:dyDescent="0.35">
      <c r="C6988" s="82"/>
    </row>
    <row r="6989" spans="3:3" x14ac:dyDescent="0.35">
      <c r="C6989" s="82"/>
    </row>
    <row r="6990" spans="3:3" x14ac:dyDescent="0.35">
      <c r="C6990" s="82"/>
    </row>
    <row r="6991" spans="3:3" x14ac:dyDescent="0.35">
      <c r="C6991" s="82"/>
    </row>
    <row r="6992" spans="3:3" x14ac:dyDescent="0.35">
      <c r="C6992" s="82"/>
    </row>
    <row r="6993" spans="3:3" x14ac:dyDescent="0.35">
      <c r="C6993" s="82"/>
    </row>
    <row r="6994" spans="3:3" x14ac:dyDescent="0.35">
      <c r="C6994" s="82"/>
    </row>
    <row r="6995" spans="3:3" x14ac:dyDescent="0.35">
      <c r="C6995" s="82"/>
    </row>
    <row r="6996" spans="3:3" x14ac:dyDescent="0.35">
      <c r="C6996" s="82"/>
    </row>
    <row r="6997" spans="3:3" x14ac:dyDescent="0.35">
      <c r="C6997" s="82"/>
    </row>
    <row r="6998" spans="3:3" x14ac:dyDescent="0.35">
      <c r="C6998" s="82"/>
    </row>
    <row r="6999" spans="3:3" x14ac:dyDescent="0.35">
      <c r="C6999" s="82"/>
    </row>
    <row r="7000" spans="3:3" x14ac:dyDescent="0.35">
      <c r="C7000" s="82"/>
    </row>
    <row r="7001" spans="3:3" x14ac:dyDescent="0.35">
      <c r="C7001" s="82"/>
    </row>
    <row r="7002" spans="3:3" x14ac:dyDescent="0.35">
      <c r="C7002" s="82"/>
    </row>
    <row r="7003" spans="3:3" x14ac:dyDescent="0.35">
      <c r="C7003" s="82"/>
    </row>
    <row r="7004" spans="3:3" x14ac:dyDescent="0.35">
      <c r="C7004" s="82"/>
    </row>
    <row r="7005" spans="3:3" x14ac:dyDescent="0.35">
      <c r="C7005" s="82"/>
    </row>
    <row r="7006" spans="3:3" x14ac:dyDescent="0.35">
      <c r="C7006" s="82"/>
    </row>
    <row r="7007" spans="3:3" x14ac:dyDescent="0.35">
      <c r="C7007" s="82"/>
    </row>
    <row r="7008" spans="3:3" x14ac:dyDescent="0.35">
      <c r="C7008" s="82"/>
    </row>
    <row r="7009" spans="3:3" x14ac:dyDescent="0.35">
      <c r="C7009" s="82"/>
    </row>
    <row r="7010" spans="3:3" x14ac:dyDescent="0.35">
      <c r="C7010" s="82"/>
    </row>
    <row r="7011" spans="3:3" x14ac:dyDescent="0.35">
      <c r="C7011" s="82"/>
    </row>
    <row r="7012" spans="3:3" x14ac:dyDescent="0.35">
      <c r="C7012" s="82"/>
    </row>
    <row r="7013" spans="3:3" x14ac:dyDescent="0.35">
      <c r="C7013" s="82"/>
    </row>
    <row r="7014" spans="3:3" x14ac:dyDescent="0.35">
      <c r="C7014" s="82"/>
    </row>
    <row r="7015" spans="3:3" x14ac:dyDescent="0.35">
      <c r="C7015" s="82"/>
    </row>
    <row r="7016" spans="3:3" x14ac:dyDescent="0.35">
      <c r="C7016" s="82"/>
    </row>
    <row r="7017" spans="3:3" x14ac:dyDescent="0.35">
      <c r="C7017" s="82"/>
    </row>
    <row r="7018" spans="3:3" x14ac:dyDescent="0.35">
      <c r="C7018" s="82"/>
    </row>
    <row r="7019" spans="3:3" x14ac:dyDescent="0.35">
      <c r="C7019" s="82"/>
    </row>
    <row r="7020" spans="3:3" x14ac:dyDescent="0.35">
      <c r="C7020" s="82"/>
    </row>
    <row r="7021" spans="3:3" x14ac:dyDescent="0.35">
      <c r="C7021" s="82"/>
    </row>
    <row r="7022" spans="3:3" x14ac:dyDescent="0.35">
      <c r="C7022" s="82"/>
    </row>
    <row r="7023" spans="3:3" x14ac:dyDescent="0.35">
      <c r="C7023" s="82"/>
    </row>
    <row r="7024" spans="3:3" x14ac:dyDescent="0.35">
      <c r="C7024" s="82"/>
    </row>
    <row r="7025" spans="3:3" x14ac:dyDescent="0.35">
      <c r="C7025" s="82"/>
    </row>
    <row r="7026" spans="3:3" x14ac:dyDescent="0.35">
      <c r="C7026" s="82"/>
    </row>
    <row r="7027" spans="3:3" x14ac:dyDescent="0.35">
      <c r="C7027" s="82"/>
    </row>
    <row r="7028" spans="3:3" x14ac:dyDescent="0.35">
      <c r="C7028" s="82"/>
    </row>
    <row r="7029" spans="3:3" x14ac:dyDescent="0.35">
      <c r="C7029" s="82"/>
    </row>
    <row r="7030" spans="3:3" x14ac:dyDescent="0.35">
      <c r="C7030" s="82"/>
    </row>
    <row r="7031" spans="3:3" x14ac:dyDescent="0.35">
      <c r="C7031" s="82"/>
    </row>
    <row r="7032" spans="3:3" x14ac:dyDescent="0.35">
      <c r="C7032" s="82"/>
    </row>
    <row r="7033" spans="3:3" x14ac:dyDescent="0.35">
      <c r="C7033" s="82"/>
    </row>
    <row r="7034" spans="3:3" x14ac:dyDescent="0.35">
      <c r="C7034" s="82"/>
    </row>
    <row r="7035" spans="3:3" x14ac:dyDescent="0.35">
      <c r="C7035" s="82"/>
    </row>
    <row r="7036" spans="3:3" x14ac:dyDescent="0.35">
      <c r="C7036" s="82"/>
    </row>
    <row r="7037" spans="3:3" x14ac:dyDescent="0.35">
      <c r="C7037" s="82"/>
    </row>
    <row r="7038" spans="3:3" x14ac:dyDescent="0.35">
      <c r="C7038" s="82"/>
    </row>
    <row r="7039" spans="3:3" x14ac:dyDescent="0.35">
      <c r="C7039" s="82"/>
    </row>
    <row r="7040" spans="3:3" x14ac:dyDescent="0.35">
      <c r="C7040" s="82"/>
    </row>
    <row r="7041" spans="1:9" x14ac:dyDescent="0.35">
      <c r="C7041" s="82"/>
    </row>
    <row r="7042" spans="1:9" x14ac:dyDescent="0.35">
      <c r="C7042" s="82"/>
    </row>
    <row r="7043" spans="1:9" x14ac:dyDescent="0.35">
      <c r="C7043" s="82"/>
    </row>
    <row r="7044" spans="1:9" x14ac:dyDescent="0.35">
      <c r="C7044" s="82"/>
    </row>
    <row r="7045" spans="1:9" x14ac:dyDescent="0.35">
      <c r="C7045" s="82"/>
    </row>
    <row r="7046" spans="1:9" x14ac:dyDescent="0.35">
      <c r="C7046" s="82"/>
    </row>
    <row r="7047" spans="1:9" x14ac:dyDescent="0.35">
      <c r="C7047" s="82"/>
    </row>
    <row r="7048" spans="1:9" x14ac:dyDescent="0.35">
      <c r="C7048" s="82"/>
    </row>
    <row r="7049" spans="1:9" x14ac:dyDescent="0.35">
      <c r="C7049" s="82"/>
    </row>
    <row r="7050" spans="1:9" x14ac:dyDescent="0.35">
      <c r="C7050" s="82"/>
    </row>
    <row r="7051" spans="1:9" x14ac:dyDescent="0.35">
      <c r="C7051" s="82"/>
    </row>
    <row r="7052" spans="1:9" x14ac:dyDescent="0.35">
      <c r="C7052" s="82"/>
    </row>
    <row r="7053" spans="1:9" x14ac:dyDescent="0.35">
      <c r="C7053" s="82"/>
    </row>
    <row r="7054" spans="1:9" s="83" customFormat="1" x14ac:dyDescent="0.35">
      <c r="A7054" s="77"/>
      <c r="B7054" s="64"/>
      <c r="C7054" s="82"/>
      <c r="D7054" s="64"/>
      <c r="E7054" s="96"/>
      <c r="F7054" s="64"/>
      <c r="G7054" s="70"/>
      <c r="H7054" s="84"/>
      <c r="I7054" s="84"/>
    </row>
    <row r="7055" spans="1:9" s="83" customFormat="1" x14ac:dyDescent="0.35">
      <c r="A7055" s="77"/>
      <c r="B7055" s="64"/>
      <c r="C7055" s="82"/>
      <c r="D7055" s="64"/>
      <c r="E7055" s="96"/>
      <c r="F7055" s="64"/>
      <c r="G7055" s="70"/>
      <c r="H7055" s="84"/>
      <c r="I7055" s="84"/>
    </row>
    <row r="7056" spans="1:9" s="83" customFormat="1" x14ac:dyDescent="0.35">
      <c r="A7056" s="77"/>
      <c r="B7056" s="64"/>
      <c r="C7056" s="82"/>
      <c r="D7056" s="86"/>
      <c r="E7056" s="96"/>
      <c r="F7056" s="64"/>
      <c r="G7056" s="70"/>
      <c r="H7056" s="84"/>
      <c r="I7056" s="84"/>
    </row>
    <row r="7057" spans="1:9" s="83" customFormat="1" x14ac:dyDescent="0.35">
      <c r="A7057" s="77"/>
      <c r="B7057" s="64"/>
      <c r="C7057" s="82"/>
      <c r="D7057" s="64"/>
      <c r="E7057" s="96"/>
      <c r="F7057" s="64"/>
      <c r="G7057" s="70"/>
      <c r="H7057" s="84"/>
      <c r="I7057" s="84"/>
    </row>
    <row r="7058" spans="1:9" s="83" customFormat="1" x14ac:dyDescent="0.35">
      <c r="A7058" s="77"/>
      <c r="B7058" s="64"/>
      <c r="C7058" s="82"/>
      <c r="D7058" s="86"/>
      <c r="E7058" s="96"/>
      <c r="F7058" s="64"/>
      <c r="G7058" s="70"/>
      <c r="H7058" s="84"/>
      <c r="I7058" s="84"/>
    </row>
    <row r="7059" spans="1:9" s="83" customFormat="1" x14ac:dyDescent="0.35">
      <c r="A7059" s="77"/>
      <c r="B7059" s="64"/>
      <c r="C7059" s="82"/>
      <c r="D7059" s="64"/>
      <c r="E7059" s="96"/>
      <c r="F7059" s="64"/>
      <c r="G7059" s="70"/>
      <c r="H7059" s="84"/>
      <c r="I7059" s="84"/>
    </row>
    <row r="7060" spans="1:9" s="83" customFormat="1" x14ac:dyDescent="0.35">
      <c r="A7060" s="77"/>
      <c r="B7060" s="64"/>
      <c r="C7060" s="82"/>
      <c r="D7060" s="86"/>
      <c r="E7060" s="96"/>
      <c r="F7060" s="64"/>
      <c r="G7060" s="70"/>
      <c r="H7060" s="84"/>
      <c r="I7060" s="84"/>
    </row>
    <row r="7061" spans="1:9" s="83" customFormat="1" x14ac:dyDescent="0.35">
      <c r="A7061" s="77"/>
      <c r="B7061" s="64"/>
      <c r="C7061" s="82"/>
      <c r="D7061" s="64"/>
      <c r="E7061" s="96"/>
      <c r="F7061" s="64"/>
      <c r="G7061" s="70"/>
      <c r="H7061" s="84"/>
      <c r="I7061" s="84"/>
    </row>
    <row r="7062" spans="1:9" s="83" customFormat="1" x14ac:dyDescent="0.35">
      <c r="A7062" s="77"/>
      <c r="B7062" s="64"/>
      <c r="C7062" s="82"/>
      <c r="D7062" s="64"/>
      <c r="E7062" s="96"/>
      <c r="F7062" s="64"/>
      <c r="G7062" s="70"/>
      <c r="H7062" s="84"/>
      <c r="I7062" s="84"/>
    </row>
    <row r="7063" spans="1:9" s="83" customFormat="1" x14ac:dyDescent="0.35">
      <c r="A7063" s="77"/>
      <c r="B7063" s="64"/>
      <c r="C7063" s="82"/>
      <c r="D7063" s="64"/>
      <c r="E7063" s="96"/>
      <c r="F7063" s="64"/>
      <c r="G7063" s="70"/>
      <c r="H7063" s="84"/>
      <c r="I7063" s="84"/>
    </row>
    <row r="7064" spans="1:9" s="83" customFormat="1" x14ac:dyDescent="0.35">
      <c r="A7064" s="77"/>
      <c r="B7064" s="64"/>
      <c r="C7064" s="82"/>
      <c r="D7064" s="64"/>
      <c r="E7064" s="96"/>
      <c r="F7064" s="64"/>
      <c r="G7064" s="70"/>
      <c r="H7064" s="84"/>
      <c r="I7064" s="84"/>
    </row>
    <row r="7065" spans="1:9" s="83" customFormat="1" x14ac:dyDescent="0.35">
      <c r="A7065" s="77"/>
      <c r="B7065" s="64"/>
      <c r="C7065" s="82"/>
      <c r="D7065" s="64"/>
      <c r="E7065" s="96"/>
      <c r="F7065" s="64"/>
      <c r="G7065" s="70"/>
      <c r="H7065" s="84"/>
      <c r="I7065" s="84"/>
    </row>
    <row r="7066" spans="1:9" s="83" customFormat="1" x14ac:dyDescent="0.35">
      <c r="A7066" s="77"/>
      <c r="B7066" s="64"/>
      <c r="C7066" s="82"/>
      <c r="D7066" s="64"/>
      <c r="E7066" s="96"/>
      <c r="F7066" s="64"/>
      <c r="G7066" s="70"/>
      <c r="H7066" s="84"/>
      <c r="I7066" s="84"/>
    </row>
    <row r="7067" spans="1:9" s="83" customFormat="1" x14ac:dyDescent="0.35">
      <c r="A7067" s="77"/>
      <c r="B7067" s="64"/>
      <c r="C7067" s="82"/>
      <c r="D7067" s="64"/>
      <c r="E7067" s="96"/>
      <c r="F7067" s="64"/>
      <c r="G7067" s="70"/>
      <c r="H7067" s="84"/>
      <c r="I7067" s="84"/>
    </row>
    <row r="7068" spans="1:9" s="83" customFormat="1" x14ac:dyDescent="0.35">
      <c r="A7068" s="77"/>
      <c r="B7068" s="64"/>
      <c r="C7068" s="82"/>
      <c r="D7068" s="64"/>
      <c r="E7068" s="96"/>
      <c r="F7068" s="64"/>
      <c r="G7068" s="70"/>
      <c r="H7068" s="84"/>
      <c r="I7068" s="84"/>
    </row>
    <row r="7069" spans="1:9" s="83" customFormat="1" x14ac:dyDescent="0.35">
      <c r="A7069" s="77"/>
      <c r="B7069" s="64"/>
      <c r="C7069" s="82"/>
      <c r="D7069" s="64"/>
      <c r="E7069" s="96"/>
      <c r="F7069" s="64"/>
      <c r="G7069" s="70"/>
      <c r="H7069" s="84"/>
      <c r="I7069" s="84"/>
    </row>
    <row r="7070" spans="1:9" x14ac:dyDescent="0.35">
      <c r="C7070" s="82"/>
    </row>
    <row r="7071" spans="1:9" x14ac:dyDescent="0.35">
      <c r="C7071" s="82"/>
    </row>
    <row r="7072" spans="1:9" x14ac:dyDescent="0.35">
      <c r="C7072" s="82"/>
    </row>
    <row r="7073" spans="3:3" x14ac:dyDescent="0.35">
      <c r="C7073" s="82"/>
    </row>
    <row r="7074" spans="3:3" x14ac:dyDescent="0.35">
      <c r="C7074" s="82"/>
    </row>
    <row r="7075" spans="3:3" x14ac:dyDescent="0.35">
      <c r="C7075" s="82"/>
    </row>
    <row r="7076" spans="3:3" x14ac:dyDescent="0.35">
      <c r="C7076" s="82"/>
    </row>
    <row r="7077" spans="3:3" x14ac:dyDescent="0.35">
      <c r="C7077" s="82"/>
    </row>
    <row r="7078" spans="3:3" x14ac:dyDescent="0.35">
      <c r="C7078" s="82"/>
    </row>
    <row r="7079" spans="3:3" x14ac:dyDescent="0.35">
      <c r="C7079" s="82"/>
    </row>
    <row r="7080" spans="3:3" x14ac:dyDescent="0.35">
      <c r="C7080" s="82"/>
    </row>
    <row r="7081" spans="3:3" x14ac:dyDescent="0.35">
      <c r="C7081" s="82"/>
    </row>
    <row r="7082" spans="3:3" x14ac:dyDescent="0.35">
      <c r="C7082" s="82"/>
    </row>
    <row r="7083" spans="3:3" x14ac:dyDescent="0.35">
      <c r="C7083" s="82"/>
    </row>
    <row r="7084" spans="3:3" x14ac:dyDescent="0.35">
      <c r="C7084" s="82"/>
    </row>
    <row r="7085" spans="3:3" x14ac:dyDescent="0.35">
      <c r="C7085" s="82"/>
    </row>
    <row r="7086" spans="3:3" x14ac:dyDescent="0.35">
      <c r="C7086" s="82"/>
    </row>
    <row r="7087" spans="3:3" x14ac:dyDescent="0.35">
      <c r="C7087" s="82"/>
    </row>
    <row r="7088" spans="3:3" x14ac:dyDescent="0.35">
      <c r="C7088" s="82"/>
    </row>
    <row r="7089" spans="3:3" x14ac:dyDescent="0.35">
      <c r="C7089" s="82"/>
    </row>
    <row r="7090" spans="3:3" x14ac:dyDescent="0.35">
      <c r="C7090" s="82"/>
    </row>
    <row r="7091" spans="3:3" x14ac:dyDescent="0.35">
      <c r="C7091" s="82"/>
    </row>
    <row r="7092" spans="3:3" x14ac:dyDescent="0.35">
      <c r="C7092" s="82"/>
    </row>
    <row r="7093" spans="3:3" x14ac:dyDescent="0.35">
      <c r="C7093" s="82"/>
    </row>
    <row r="7094" spans="3:3" x14ac:dyDescent="0.35">
      <c r="C7094" s="82"/>
    </row>
    <row r="7095" spans="3:3" x14ac:dyDescent="0.35">
      <c r="C7095" s="82"/>
    </row>
    <row r="7096" spans="3:3" x14ac:dyDescent="0.35">
      <c r="C7096" s="82"/>
    </row>
    <row r="7097" spans="3:3" x14ac:dyDescent="0.35">
      <c r="C7097" s="82"/>
    </row>
    <row r="7098" spans="3:3" x14ac:dyDescent="0.35">
      <c r="C7098" s="82"/>
    </row>
    <row r="7099" spans="3:3" x14ac:dyDescent="0.35">
      <c r="C7099" s="82"/>
    </row>
    <row r="7100" spans="3:3" x14ac:dyDescent="0.35">
      <c r="C7100" s="82"/>
    </row>
    <row r="7101" spans="3:3" x14ac:dyDescent="0.35">
      <c r="C7101" s="82"/>
    </row>
    <row r="7102" spans="3:3" x14ac:dyDescent="0.35">
      <c r="C7102" s="82"/>
    </row>
    <row r="7103" spans="3:3" x14ac:dyDescent="0.35">
      <c r="C7103" s="82"/>
    </row>
    <row r="7104" spans="3:3" x14ac:dyDescent="0.35">
      <c r="C7104" s="82"/>
    </row>
    <row r="7105" spans="3:3" x14ac:dyDescent="0.35">
      <c r="C7105" s="82"/>
    </row>
    <row r="7106" spans="3:3" x14ac:dyDescent="0.35">
      <c r="C7106" s="82"/>
    </row>
    <row r="7107" spans="3:3" x14ac:dyDescent="0.35">
      <c r="C7107" s="82"/>
    </row>
    <row r="7108" spans="3:3" x14ac:dyDescent="0.35">
      <c r="C7108" s="82"/>
    </row>
    <row r="7109" spans="3:3" x14ac:dyDescent="0.35">
      <c r="C7109" s="82"/>
    </row>
    <row r="7110" spans="3:3" x14ac:dyDescent="0.35">
      <c r="C7110" s="82"/>
    </row>
    <row r="7111" spans="3:3" x14ac:dyDescent="0.35">
      <c r="C7111" s="82"/>
    </row>
    <row r="7112" spans="3:3" x14ac:dyDescent="0.35">
      <c r="C7112" s="82"/>
    </row>
    <row r="7113" spans="3:3" x14ac:dyDescent="0.35">
      <c r="C7113" s="82"/>
    </row>
    <row r="7114" spans="3:3" x14ac:dyDescent="0.35">
      <c r="C7114" s="82"/>
    </row>
    <row r="7115" spans="3:3" x14ac:dyDescent="0.35">
      <c r="C7115" s="82"/>
    </row>
    <row r="7116" spans="3:3" x14ac:dyDescent="0.35">
      <c r="C7116" s="82"/>
    </row>
    <row r="7117" spans="3:3" x14ac:dyDescent="0.35">
      <c r="C7117" s="82"/>
    </row>
    <row r="7118" spans="3:3" x14ac:dyDescent="0.35">
      <c r="C7118" s="82"/>
    </row>
    <row r="7119" spans="3:3" x14ac:dyDescent="0.35">
      <c r="C7119" s="82"/>
    </row>
    <row r="7120" spans="3:3" x14ac:dyDescent="0.35">
      <c r="C7120" s="82"/>
    </row>
    <row r="7121" spans="3:3" x14ac:dyDescent="0.35">
      <c r="C7121" s="82"/>
    </row>
    <row r="7122" spans="3:3" x14ac:dyDescent="0.35">
      <c r="C7122" s="82"/>
    </row>
    <row r="7123" spans="3:3" x14ac:dyDescent="0.35">
      <c r="C7123" s="82"/>
    </row>
    <row r="7124" spans="3:3" x14ac:dyDescent="0.35">
      <c r="C7124" s="82"/>
    </row>
    <row r="7125" spans="3:3" x14ac:dyDescent="0.35">
      <c r="C7125" s="82"/>
    </row>
    <row r="7126" spans="3:3" x14ac:dyDescent="0.35">
      <c r="C7126" s="82"/>
    </row>
    <row r="7127" spans="3:3" x14ac:dyDescent="0.35">
      <c r="C7127" s="82"/>
    </row>
    <row r="7128" spans="3:3" x14ac:dyDescent="0.35">
      <c r="C7128" s="82"/>
    </row>
    <row r="7129" spans="3:3" x14ac:dyDescent="0.35">
      <c r="C7129" s="82"/>
    </row>
    <row r="7130" spans="3:3" x14ac:dyDescent="0.35">
      <c r="C7130" s="82"/>
    </row>
    <row r="7131" spans="3:3" x14ac:dyDescent="0.35">
      <c r="C7131" s="82"/>
    </row>
    <row r="7132" spans="3:3" x14ac:dyDescent="0.35">
      <c r="C7132" s="82"/>
    </row>
    <row r="7133" spans="3:3" x14ac:dyDescent="0.35">
      <c r="C7133" s="82"/>
    </row>
    <row r="7134" spans="3:3" x14ac:dyDescent="0.35">
      <c r="C7134" s="82"/>
    </row>
    <row r="7135" spans="3:3" x14ac:dyDescent="0.35">
      <c r="C7135" s="82"/>
    </row>
    <row r="7136" spans="3:3" x14ac:dyDescent="0.35">
      <c r="C7136" s="82"/>
    </row>
    <row r="7137" spans="3:3" x14ac:dyDescent="0.35">
      <c r="C7137" s="82"/>
    </row>
    <row r="7138" spans="3:3" x14ac:dyDescent="0.35">
      <c r="C7138" s="82"/>
    </row>
    <row r="7139" spans="3:3" x14ac:dyDescent="0.35">
      <c r="C7139" s="82"/>
    </row>
    <row r="7140" spans="3:3" x14ac:dyDescent="0.35">
      <c r="C7140" s="82"/>
    </row>
    <row r="7141" spans="3:3" x14ac:dyDescent="0.35">
      <c r="C7141" s="82"/>
    </row>
    <row r="7142" spans="3:3" x14ac:dyDescent="0.35">
      <c r="C7142" s="82"/>
    </row>
    <row r="7143" spans="3:3" x14ac:dyDescent="0.35">
      <c r="C7143" s="82"/>
    </row>
    <row r="7144" spans="3:3" x14ac:dyDescent="0.35">
      <c r="C7144" s="82"/>
    </row>
    <row r="7145" spans="3:3" x14ac:dyDescent="0.35">
      <c r="C7145" s="82"/>
    </row>
    <row r="7146" spans="3:3" x14ac:dyDescent="0.35">
      <c r="C7146" s="82"/>
    </row>
    <row r="7147" spans="3:3" x14ac:dyDescent="0.35">
      <c r="C7147" s="82"/>
    </row>
    <row r="7148" spans="3:3" x14ac:dyDescent="0.35">
      <c r="C7148" s="82"/>
    </row>
    <row r="7149" spans="3:3" x14ac:dyDescent="0.35">
      <c r="C7149" s="82"/>
    </row>
    <row r="7150" spans="3:3" x14ac:dyDescent="0.35">
      <c r="C7150" s="82"/>
    </row>
    <row r="7151" spans="3:3" x14ac:dyDescent="0.35">
      <c r="C7151" s="82"/>
    </row>
    <row r="7152" spans="3:3" x14ac:dyDescent="0.35">
      <c r="C7152" s="82"/>
    </row>
    <row r="7153" spans="3:3" x14ac:dyDescent="0.35">
      <c r="C7153" s="82"/>
    </row>
    <row r="7154" spans="3:3" x14ac:dyDescent="0.35">
      <c r="C7154" s="82"/>
    </row>
    <row r="7155" spans="3:3" x14ac:dyDescent="0.35">
      <c r="C7155" s="82"/>
    </row>
    <row r="7156" spans="3:3" x14ac:dyDescent="0.35">
      <c r="C7156" s="82"/>
    </row>
    <row r="7157" spans="3:3" x14ac:dyDescent="0.35">
      <c r="C7157" s="82"/>
    </row>
    <row r="7158" spans="3:3" x14ac:dyDescent="0.35">
      <c r="C7158" s="82"/>
    </row>
    <row r="7159" spans="3:3" x14ac:dyDescent="0.35">
      <c r="C7159" s="82"/>
    </row>
    <row r="7160" spans="3:3" x14ac:dyDescent="0.35">
      <c r="C7160" s="82"/>
    </row>
    <row r="7161" spans="3:3" x14ac:dyDescent="0.35">
      <c r="C7161" s="82"/>
    </row>
    <row r="7162" spans="3:3" x14ac:dyDescent="0.35">
      <c r="C7162" s="82"/>
    </row>
    <row r="7163" spans="3:3" x14ac:dyDescent="0.35">
      <c r="C7163" s="82"/>
    </row>
    <row r="7164" spans="3:3" x14ac:dyDescent="0.35">
      <c r="C7164" s="82"/>
    </row>
    <row r="7165" spans="3:3" x14ac:dyDescent="0.35">
      <c r="C7165" s="82"/>
    </row>
    <row r="7166" spans="3:3" x14ac:dyDescent="0.35">
      <c r="C7166" s="82"/>
    </row>
    <row r="7167" spans="3:3" x14ac:dyDescent="0.35">
      <c r="C7167" s="82"/>
    </row>
    <row r="7168" spans="3:3" x14ac:dyDescent="0.35">
      <c r="C7168" s="82"/>
    </row>
    <row r="7169" spans="3:3" x14ac:dyDescent="0.35">
      <c r="C7169" s="82"/>
    </row>
    <row r="7170" spans="3:3" x14ac:dyDescent="0.35">
      <c r="C7170" s="82"/>
    </row>
    <row r="7171" spans="3:3" x14ac:dyDescent="0.35">
      <c r="C7171" s="82"/>
    </row>
    <row r="7172" spans="3:3" x14ac:dyDescent="0.35">
      <c r="C7172" s="82"/>
    </row>
    <row r="7173" spans="3:3" x14ac:dyDescent="0.35">
      <c r="C7173" s="82"/>
    </row>
    <row r="7174" spans="3:3" x14ac:dyDescent="0.35">
      <c r="C7174" s="82"/>
    </row>
    <row r="7175" spans="3:3" x14ac:dyDescent="0.35">
      <c r="C7175" s="82"/>
    </row>
    <row r="7176" spans="3:3" x14ac:dyDescent="0.35">
      <c r="C7176" s="82"/>
    </row>
    <row r="7177" spans="3:3" x14ac:dyDescent="0.35">
      <c r="C7177" s="82"/>
    </row>
    <row r="7178" spans="3:3" x14ac:dyDescent="0.35">
      <c r="C7178" s="82"/>
    </row>
    <row r="7179" spans="3:3" x14ac:dyDescent="0.35">
      <c r="C7179" s="82"/>
    </row>
    <row r="7180" spans="3:3" x14ac:dyDescent="0.35">
      <c r="C7180" s="82"/>
    </row>
    <row r="7181" spans="3:3" x14ac:dyDescent="0.35">
      <c r="C7181" s="82"/>
    </row>
    <row r="7182" spans="3:3" x14ac:dyDescent="0.35">
      <c r="C7182" s="82"/>
    </row>
    <row r="7183" spans="3:3" x14ac:dyDescent="0.35">
      <c r="C7183" s="82"/>
    </row>
    <row r="7184" spans="3:3" x14ac:dyDescent="0.35">
      <c r="C7184" s="82"/>
    </row>
    <row r="7185" spans="3:3" x14ac:dyDescent="0.35">
      <c r="C7185" s="82"/>
    </row>
    <row r="7186" spans="3:3" x14ac:dyDescent="0.35">
      <c r="C7186" s="82"/>
    </row>
    <row r="7187" spans="3:3" x14ac:dyDescent="0.35">
      <c r="C7187" s="82"/>
    </row>
    <row r="7188" spans="3:3" x14ac:dyDescent="0.35">
      <c r="C7188" s="82"/>
    </row>
    <row r="7189" spans="3:3" x14ac:dyDescent="0.35">
      <c r="C7189" s="82"/>
    </row>
    <row r="7190" spans="3:3" x14ac:dyDescent="0.35">
      <c r="C7190" s="82"/>
    </row>
    <row r="7191" spans="3:3" x14ac:dyDescent="0.35">
      <c r="C7191" s="82"/>
    </row>
    <row r="7192" spans="3:3" x14ac:dyDescent="0.35">
      <c r="C7192" s="82"/>
    </row>
    <row r="7193" spans="3:3" x14ac:dyDescent="0.35">
      <c r="C7193" s="82"/>
    </row>
    <row r="7194" spans="3:3" x14ac:dyDescent="0.35">
      <c r="C7194" s="82"/>
    </row>
    <row r="7195" spans="3:3" x14ac:dyDescent="0.35">
      <c r="C7195" s="82"/>
    </row>
    <row r="7196" spans="3:3" x14ac:dyDescent="0.35">
      <c r="C7196" s="82"/>
    </row>
    <row r="7197" spans="3:3" x14ac:dyDescent="0.35">
      <c r="C7197" s="82"/>
    </row>
    <row r="7198" spans="3:3" x14ac:dyDescent="0.35">
      <c r="C7198" s="82"/>
    </row>
    <row r="7199" spans="3:3" x14ac:dyDescent="0.35">
      <c r="C7199" s="82"/>
    </row>
    <row r="7200" spans="3:3" x14ac:dyDescent="0.35">
      <c r="C7200" s="82"/>
    </row>
    <row r="7201" spans="3:3" x14ac:dyDescent="0.35">
      <c r="C7201" s="82"/>
    </row>
    <row r="7202" spans="3:3" x14ac:dyDescent="0.35">
      <c r="C7202" s="82"/>
    </row>
    <row r="7203" spans="3:3" x14ac:dyDescent="0.35">
      <c r="C7203" s="82"/>
    </row>
    <row r="7204" spans="3:3" x14ac:dyDescent="0.35">
      <c r="C7204" s="82"/>
    </row>
    <row r="7205" spans="3:3" x14ac:dyDescent="0.35">
      <c r="C7205" s="82"/>
    </row>
    <row r="7206" spans="3:3" x14ac:dyDescent="0.35">
      <c r="C7206" s="82"/>
    </row>
    <row r="7207" spans="3:3" x14ac:dyDescent="0.35">
      <c r="C7207" s="82"/>
    </row>
    <row r="7208" spans="3:3" x14ac:dyDescent="0.35">
      <c r="C7208" s="82"/>
    </row>
    <row r="7209" spans="3:3" x14ac:dyDescent="0.35">
      <c r="C7209" s="82"/>
    </row>
    <row r="7210" spans="3:3" x14ac:dyDescent="0.35">
      <c r="C7210" s="82"/>
    </row>
    <row r="7211" spans="3:3" x14ac:dyDescent="0.35">
      <c r="C7211" s="82"/>
    </row>
    <row r="7212" spans="3:3" x14ac:dyDescent="0.35">
      <c r="C7212" s="82"/>
    </row>
    <row r="7213" spans="3:3" x14ac:dyDescent="0.35">
      <c r="C7213" s="82"/>
    </row>
    <row r="7214" spans="3:3" x14ac:dyDescent="0.35">
      <c r="C7214" s="82"/>
    </row>
    <row r="7215" spans="3:3" x14ac:dyDescent="0.35">
      <c r="C7215" s="82"/>
    </row>
    <row r="7216" spans="3:3" x14ac:dyDescent="0.35">
      <c r="C7216" s="82"/>
    </row>
    <row r="7217" spans="3:3" x14ac:dyDescent="0.35">
      <c r="C7217" s="82"/>
    </row>
    <row r="7218" spans="3:3" x14ac:dyDescent="0.35">
      <c r="C7218" s="82"/>
    </row>
    <row r="7219" spans="3:3" x14ac:dyDescent="0.35">
      <c r="C7219" s="82"/>
    </row>
    <row r="7220" spans="3:3" x14ac:dyDescent="0.35">
      <c r="C7220" s="82"/>
    </row>
    <row r="7221" spans="3:3" x14ac:dyDescent="0.35">
      <c r="C7221" s="82"/>
    </row>
    <row r="7222" spans="3:3" x14ac:dyDescent="0.35">
      <c r="C7222" s="82"/>
    </row>
    <row r="7223" spans="3:3" x14ac:dyDescent="0.35">
      <c r="C7223" s="82"/>
    </row>
    <row r="7224" spans="3:3" x14ac:dyDescent="0.35">
      <c r="C7224" s="82"/>
    </row>
    <row r="7225" spans="3:3" x14ac:dyDescent="0.35">
      <c r="C7225" s="82"/>
    </row>
    <row r="7226" spans="3:3" x14ac:dyDescent="0.35">
      <c r="C7226" s="82"/>
    </row>
    <row r="7227" spans="3:3" x14ac:dyDescent="0.35">
      <c r="C7227" s="82"/>
    </row>
    <row r="7228" spans="3:3" x14ac:dyDescent="0.35">
      <c r="C7228" s="82"/>
    </row>
    <row r="7229" spans="3:3" x14ac:dyDescent="0.35">
      <c r="C7229" s="82"/>
    </row>
    <row r="7230" spans="3:3" x14ac:dyDescent="0.35">
      <c r="C7230" s="82"/>
    </row>
    <row r="7231" spans="3:3" x14ac:dyDescent="0.35">
      <c r="C7231" s="82"/>
    </row>
    <row r="7232" spans="3:3" x14ac:dyDescent="0.35">
      <c r="C7232" s="82"/>
    </row>
    <row r="7233" spans="3:3" x14ac:dyDescent="0.35">
      <c r="C7233" s="82"/>
    </row>
    <row r="7234" spans="3:3" x14ac:dyDescent="0.35">
      <c r="C7234" s="82"/>
    </row>
    <row r="7235" spans="3:3" x14ac:dyDescent="0.35">
      <c r="C7235" s="82"/>
    </row>
    <row r="7236" spans="3:3" x14ac:dyDescent="0.35">
      <c r="C7236" s="82"/>
    </row>
    <row r="7237" spans="3:3" x14ac:dyDescent="0.35">
      <c r="C7237" s="82"/>
    </row>
    <row r="7238" spans="3:3" x14ac:dyDescent="0.35">
      <c r="C7238" s="82"/>
    </row>
    <row r="7239" spans="3:3" x14ac:dyDescent="0.35">
      <c r="C7239" s="82"/>
    </row>
    <row r="7240" spans="3:3" x14ac:dyDescent="0.35">
      <c r="C7240" s="82"/>
    </row>
    <row r="7241" spans="3:3" x14ac:dyDescent="0.35">
      <c r="C7241" s="82"/>
    </row>
    <row r="7242" spans="3:3" x14ac:dyDescent="0.35">
      <c r="C7242" s="82"/>
    </row>
    <row r="7243" spans="3:3" x14ac:dyDescent="0.35">
      <c r="C7243" s="82"/>
    </row>
    <row r="7244" spans="3:3" x14ac:dyDescent="0.35">
      <c r="C7244" s="82"/>
    </row>
    <row r="7245" spans="3:3" x14ac:dyDescent="0.35">
      <c r="C7245" s="82"/>
    </row>
    <row r="7246" spans="3:3" x14ac:dyDescent="0.35">
      <c r="C7246" s="82"/>
    </row>
    <row r="7247" spans="3:3" x14ac:dyDescent="0.35">
      <c r="C7247" s="82"/>
    </row>
    <row r="7248" spans="3:3" x14ac:dyDescent="0.35">
      <c r="C7248" s="82"/>
    </row>
    <row r="7249" spans="1:9" x14ac:dyDescent="0.35">
      <c r="C7249" s="82"/>
    </row>
    <row r="7250" spans="1:9" x14ac:dyDescent="0.35">
      <c r="C7250" s="82"/>
    </row>
    <row r="7251" spans="1:9" x14ac:dyDescent="0.35">
      <c r="C7251" s="82"/>
    </row>
    <row r="7252" spans="1:9" x14ac:dyDescent="0.35">
      <c r="C7252" s="82"/>
    </row>
    <row r="7253" spans="1:9" x14ac:dyDescent="0.35">
      <c r="C7253" s="82"/>
    </row>
    <row r="7254" spans="1:9" x14ac:dyDescent="0.35">
      <c r="C7254" s="82"/>
    </row>
    <row r="7255" spans="1:9" x14ac:dyDescent="0.35">
      <c r="C7255" s="82"/>
    </row>
    <row r="7256" spans="1:9" x14ac:dyDescent="0.35">
      <c r="C7256" s="82"/>
    </row>
    <row r="7257" spans="1:9" x14ac:dyDescent="0.35">
      <c r="C7257" s="82"/>
    </row>
    <row r="7258" spans="1:9" x14ac:dyDescent="0.35">
      <c r="C7258" s="82"/>
    </row>
    <row r="7259" spans="1:9" x14ac:dyDescent="0.35">
      <c r="C7259" s="82"/>
    </row>
    <row r="7260" spans="1:9" x14ac:dyDescent="0.35">
      <c r="C7260" s="82"/>
    </row>
    <row r="7261" spans="1:9" x14ac:dyDescent="0.35">
      <c r="C7261" s="82"/>
    </row>
    <row r="7262" spans="1:9" s="83" customFormat="1" x14ac:dyDescent="0.35">
      <c r="A7262" s="77"/>
      <c r="B7262" s="64"/>
      <c r="C7262" s="82"/>
      <c r="D7262" s="64"/>
      <c r="E7262" s="96"/>
      <c r="F7262" s="64"/>
      <c r="G7262" s="70"/>
      <c r="H7262" s="84"/>
      <c r="I7262" s="84"/>
    </row>
    <row r="7263" spans="1:9" s="83" customFormat="1" x14ac:dyDescent="0.35">
      <c r="A7263" s="77"/>
      <c r="B7263" s="64"/>
      <c r="C7263" s="82"/>
      <c r="D7263" s="64"/>
      <c r="E7263" s="96"/>
      <c r="F7263" s="64"/>
      <c r="G7263" s="70"/>
      <c r="H7263" s="84"/>
      <c r="I7263" s="84"/>
    </row>
    <row r="7264" spans="1:9" s="83" customFormat="1" x14ac:dyDescent="0.35">
      <c r="A7264" s="77"/>
      <c r="B7264" s="64"/>
      <c r="C7264" s="82"/>
      <c r="D7264" s="64"/>
      <c r="E7264" s="96"/>
      <c r="F7264" s="64"/>
      <c r="G7264" s="70"/>
      <c r="H7264" s="84"/>
      <c r="I7264" s="84"/>
    </row>
    <row r="7265" spans="1:9" s="83" customFormat="1" x14ac:dyDescent="0.35">
      <c r="A7265" s="77"/>
      <c r="B7265" s="64"/>
      <c r="C7265" s="82"/>
      <c r="D7265" s="64"/>
      <c r="E7265" s="96"/>
      <c r="F7265" s="64"/>
      <c r="G7265" s="70"/>
      <c r="H7265" s="84"/>
      <c r="I7265" s="84"/>
    </row>
    <row r="7266" spans="1:9" s="83" customFormat="1" x14ac:dyDescent="0.35">
      <c r="A7266" s="77"/>
      <c r="B7266" s="64"/>
      <c r="C7266" s="82"/>
      <c r="D7266" s="86"/>
      <c r="E7266" s="96"/>
      <c r="F7266" s="64"/>
      <c r="G7266" s="70"/>
      <c r="H7266" s="84"/>
      <c r="I7266" s="84"/>
    </row>
    <row r="7267" spans="1:9" s="83" customFormat="1" x14ac:dyDescent="0.35">
      <c r="A7267" s="77"/>
      <c r="B7267" s="64"/>
      <c r="C7267" s="82"/>
      <c r="D7267" s="64"/>
      <c r="E7267" s="96"/>
      <c r="F7267" s="64"/>
      <c r="G7267" s="70"/>
      <c r="H7267" s="84"/>
      <c r="I7267" s="84"/>
    </row>
    <row r="7268" spans="1:9" s="83" customFormat="1" x14ac:dyDescent="0.35">
      <c r="A7268" s="77"/>
      <c r="B7268" s="64"/>
      <c r="C7268" s="82"/>
      <c r="D7268" s="86"/>
      <c r="E7268" s="96"/>
      <c r="F7268" s="64"/>
      <c r="G7268" s="70"/>
      <c r="H7268" s="84"/>
      <c r="I7268" s="84"/>
    </row>
    <row r="7269" spans="1:9" s="83" customFormat="1" x14ac:dyDescent="0.35">
      <c r="A7269" s="77"/>
      <c r="B7269" s="64"/>
      <c r="C7269" s="82"/>
      <c r="D7269" s="64"/>
      <c r="E7269" s="96"/>
      <c r="F7269" s="64"/>
      <c r="G7269" s="70"/>
      <c r="H7269" s="84"/>
      <c r="I7269" s="84"/>
    </row>
    <row r="7270" spans="1:9" s="83" customFormat="1" x14ac:dyDescent="0.35">
      <c r="A7270" s="77"/>
      <c r="B7270" s="64"/>
      <c r="C7270" s="82"/>
      <c r="D7270" s="86"/>
      <c r="E7270" s="96"/>
      <c r="F7270" s="64"/>
      <c r="G7270" s="70"/>
      <c r="H7270" s="84"/>
      <c r="I7270" s="84"/>
    </row>
    <row r="7271" spans="1:9" s="83" customFormat="1" x14ac:dyDescent="0.35">
      <c r="A7271" s="77"/>
      <c r="B7271" s="64"/>
      <c r="C7271" s="82"/>
      <c r="D7271" s="64"/>
      <c r="E7271" s="96"/>
      <c r="F7271" s="64"/>
      <c r="G7271" s="70"/>
      <c r="H7271" s="84"/>
      <c r="I7271" s="84"/>
    </row>
    <row r="7272" spans="1:9" s="83" customFormat="1" x14ac:dyDescent="0.35">
      <c r="A7272" s="77"/>
      <c r="B7272" s="64"/>
      <c r="C7272" s="82"/>
      <c r="D7272" s="86"/>
      <c r="E7272" s="96"/>
      <c r="F7272" s="64"/>
      <c r="G7272" s="70"/>
      <c r="H7272" s="84"/>
      <c r="I7272" s="84"/>
    </row>
    <row r="7273" spans="1:9" s="83" customFormat="1" x14ac:dyDescent="0.35">
      <c r="A7273" s="77"/>
      <c r="B7273" s="64"/>
      <c r="C7273" s="82"/>
      <c r="D7273" s="64"/>
      <c r="E7273" s="96"/>
      <c r="F7273" s="64"/>
      <c r="G7273" s="70"/>
      <c r="H7273" s="84"/>
      <c r="I7273" s="84"/>
    </row>
    <row r="7274" spans="1:9" s="83" customFormat="1" x14ac:dyDescent="0.35">
      <c r="A7274" s="77"/>
      <c r="B7274" s="64"/>
      <c r="C7274" s="82"/>
      <c r="D7274" s="86"/>
      <c r="E7274" s="96"/>
      <c r="F7274" s="64"/>
      <c r="G7274" s="70"/>
      <c r="H7274" s="84"/>
      <c r="I7274" s="84"/>
    </row>
    <row r="7275" spans="1:9" s="83" customFormat="1" x14ac:dyDescent="0.35">
      <c r="A7275" s="77"/>
      <c r="B7275" s="64"/>
      <c r="C7275" s="82"/>
      <c r="D7275" s="64"/>
      <c r="E7275" s="96"/>
      <c r="F7275" s="64"/>
      <c r="G7275" s="70"/>
      <c r="H7275" s="84"/>
      <c r="I7275" s="84"/>
    </row>
    <row r="7276" spans="1:9" s="83" customFormat="1" x14ac:dyDescent="0.35">
      <c r="A7276" s="77"/>
      <c r="B7276" s="64"/>
      <c r="C7276" s="82"/>
      <c r="D7276" s="64"/>
      <c r="E7276" s="96"/>
      <c r="F7276" s="64"/>
      <c r="G7276" s="70"/>
      <c r="H7276" s="84"/>
      <c r="I7276" s="84"/>
    </row>
    <row r="7277" spans="1:9" s="83" customFormat="1" x14ac:dyDescent="0.35">
      <c r="A7277" s="77"/>
      <c r="B7277" s="64"/>
      <c r="C7277" s="82"/>
      <c r="D7277" s="64"/>
      <c r="E7277" s="96"/>
      <c r="F7277" s="64"/>
      <c r="G7277" s="70"/>
      <c r="H7277" s="84"/>
      <c r="I7277" s="84"/>
    </row>
    <row r="7278" spans="1:9" x14ac:dyDescent="0.35">
      <c r="C7278" s="82"/>
    </row>
    <row r="7279" spans="1:9" x14ac:dyDescent="0.35">
      <c r="C7279" s="82"/>
    </row>
    <row r="7280" spans="1:9" x14ac:dyDescent="0.35">
      <c r="C7280" s="82"/>
    </row>
    <row r="7281" spans="3:3" x14ac:dyDescent="0.35">
      <c r="C7281" s="82"/>
    </row>
    <row r="7282" spans="3:3" x14ac:dyDescent="0.35">
      <c r="C7282" s="82"/>
    </row>
    <row r="7283" spans="3:3" x14ac:dyDescent="0.35">
      <c r="C7283" s="82"/>
    </row>
    <row r="7284" spans="3:3" x14ac:dyDescent="0.35">
      <c r="C7284" s="82"/>
    </row>
    <row r="7285" spans="3:3" x14ac:dyDescent="0.35">
      <c r="C7285" s="82"/>
    </row>
    <row r="7286" spans="3:3" x14ac:dyDescent="0.35">
      <c r="C7286" s="82"/>
    </row>
    <row r="7287" spans="3:3" x14ac:dyDescent="0.35">
      <c r="C7287" s="82"/>
    </row>
    <row r="7288" spans="3:3" x14ac:dyDescent="0.35">
      <c r="C7288" s="82"/>
    </row>
    <row r="7289" spans="3:3" x14ac:dyDescent="0.35">
      <c r="C7289" s="82"/>
    </row>
    <row r="7290" spans="3:3" x14ac:dyDescent="0.35">
      <c r="C7290" s="82"/>
    </row>
    <row r="7291" spans="3:3" x14ac:dyDescent="0.35">
      <c r="C7291" s="82"/>
    </row>
    <row r="7292" spans="3:3" x14ac:dyDescent="0.35">
      <c r="C7292" s="82"/>
    </row>
    <row r="7293" spans="3:3" x14ac:dyDescent="0.35">
      <c r="C7293" s="82"/>
    </row>
    <row r="7294" spans="3:3" x14ac:dyDescent="0.35">
      <c r="C7294" s="82"/>
    </row>
    <row r="7295" spans="3:3" x14ac:dyDescent="0.35">
      <c r="C7295" s="82"/>
    </row>
    <row r="7296" spans="3:3" x14ac:dyDescent="0.35">
      <c r="C7296" s="82"/>
    </row>
    <row r="7297" spans="3:3" x14ac:dyDescent="0.35">
      <c r="C7297" s="82"/>
    </row>
    <row r="7298" spans="3:3" x14ac:dyDescent="0.35">
      <c r="C7298" s="82"/>
    </row>
    <row r="7299" spans="3:3" x14ac:dyDescent="0.35">
      <c r="C7299" s="82"/>
    </row>
    <row r="7300" spans="3:3" x14ac:dyDescent="0.35">
      <c r="C7300" s="82"/>
    </row>
    <row r="7301" spans="3:3" x14ac:dyDescent="0.35">
      <c r="C7301" s="82"/>
    </row>
    <row r="7302" spans="3:3" x14ac:dyDescent="0.35">
      <c r="C7302" s="82"/>
    </row>
    <row r="7303" spans="3:3" x14ac:dyDescent="0.35">
      <c r="C7303" s="82"/>
    </row>
    <row r="7304" spans="3:3" x14ac:dyDescent="0.35">
      <c r="C7304" s="82"/>
    </row>
    <row r="7305" spans="3:3" x14ac:dyDescent="0.35">
      <c r="C7305" s="82"/>
    </row>
    <row r="7306" spans="3:3" x14ac:dyDescent="0.35">
      <c r="C7306" s="82"/>
    </row>
    <row r="7307" spans="3:3" x14ac:dyDescent="0.35">
      <c r="C7307" s="82"/>
    </row>
    <row r="7308" spans="3:3" x14ac:dyDescent="0.35">
      <c r="C7308" s="82"/>
    </row>
    <row r="7309" spans="3:3" x14ac:dyDescent="0.35">
      <c r="C7309" s="82"/>
    </row>
    <row r="7310" spans="3:3" x14ac:dyDescent="0.35">
      <c r="C7310" s="82"/>
    </row>
    <row r="7311" spans="3:3" x14ac:dyDescent="0.35">
      <c r="C7311" s="82"/>
    </row>
    <row r="7312" spans="3:3" x14ac:dyDescent="0.35">
      <c r="C7312" s="82"/>
    </row>
    <row r="7313" spans="3:3" x14ac:dyDescent="0.35">
      <c r="C7313" s="82"/>
    </row>
    <row r="7314" spans="3:3" x14ac:dyDescent="0.35">
      <c r="C7314" s="82"/>
    </row>
    <row r="7315" spans="3:3" x14ac:dyDescent="0.35">
      <c r="C7315" s="82"/>
    </row>
    <row r="7316" spans="3:3" x14ac:dyDescent="0.35">
      <c r="C7316" s="82"/>
    </row>
    <row r="7317" spans="3:3" x14ac:dyDescent="0.35">
      <c r="C7317" s="82"/>
    </row>
    <row r="7318" spans="3:3" x14ac:dyDescent="0.35">
      <c r="C7318" s="82"/>
    </row>
    <row r="7319" spans="3:3" x14ac:dyDescent="0.35">
      <c r="C7319" s="82"/>
    </row>
    <row r="7320" spans="3:3" x14ac:dyDescent="0.35">
      <c r="C7320" s="82"/>
    </row>
    <row r="7321" spans="3:3" x14ac:dyDescent="0.35">
      <c r="C7321" s="82"/>
    </row>
    <row r="7322" spans="3:3" x14ac:dyDescent="0.35">
      <c r="C7322" s="82"/>
    </row>
    <row r="7323" spans="3:3" x14ac:dyDescent="0.35">
      <c r="C7323" s="82"/>
    </row>
    <row r="7324" spans="3:3" x14ac:dyDescent="0.35">
      <c r="C7324" s="82"/>
    </row>
    <row r="7325" spans="3:3" x14ac:dyDescent="0.35">
      <c r="C7325" s="82"/>
    </row>
    <row r="7326" spans="3:3" x14ac:dyDescent="0.35">
      <c r="C7326" s="82"/>
    </row>
    <row r="7327" spans="3:3" x14ac:dyDescent="0.35">
      <c r="C7327" s="82"/>
    </row>
    <row r="7328" spans="3:3" x14ac:dyDescent="0.35">
      <c r="C7328" s="82"/>
    </row>
    <row r="7329" spans="1:9" x14ac:dyDescent="0.35">
      <c r="C7329" s="82"/>
    </row>
    <row r="7330" spans="1:9" x14ac:dyDescent="0.35">
      <c r="C7330" s="82"/>
    </row>
    <row r="7331" spans="1:9" x14ac:dyDescent="0.35">
      <c r="C7331" s="82"/>
    </row>
    <row r="7332" spans="1:9" x14ac:dyDescent="0.35">
      <c r="C7332" s="82"/>
    </row>
    <row r="7333" spans="1:9" x14ac:dyDescent="0.35">
      <c r="C7333" s="82"/>
    </row>
    <row r="7334" spans="1:9" x14ac:dyDescent="0.35">
      <c r="C7334" s="82"/>
    </row>
    <row r="7335" spans="1:9" x14ac:dyDescent="0.35">
      <c r="C7335" s="82"/>
    </row>
    <row r="7336" spans="1:9" x14ac:dyDescent="0.35">
      <c r="C7336" s="82"/>
    </row>
    <row r="7337" spans="1:9" x14ac:dyDescent="0.35">
      <c r="C7337" s="82"/>
    </row>
    <row r="7338" spans="1:9" x14ac:dyDescent="0.35">
      <c r="C7338" s="82"/>
    </row>
    <row r="7339" spans="1:9" x14ac:dyDescent="0.35">
      <c r="C7339" s="82"/>
    </row>
    <row r="7340" spans="1:9" x14ac:dyDescent="0.35">
      <c r="C7340" s="82"/>
    </row>
    <row r="7341" spans="1:9" x14ac:dyDescent="0.35">
      <c r="C7341" s="82"/>
    </row>
    <row r="7342" spans="1:9" s="83" customFormat="1" x14ac:dyDescent="0.35">
      <c r="A7342" s="77"/>
      <c r="B7342" s="64"/>
      <c r="C7342" s="82"/>
      <c r="D7342" s="64"/>
      <c r="E7342" s="96"/>
      <c r="F7342" s="64"/>
      <c r="G7342" s="70"/>
      <c r="H7342" s="84"/>
      <c r="I7342" s="84"/>
    </row>
    <row r="7343" spans="1:9" s="83" customFormat="1" x14ac:dyDescent="0.35">
      <c r="A7343" s="77"/>
      <c r="B7343" s="64"/>
      <c r="C7343" s="82"/>
      <c r="D7343" s="64"/>
      <c r="E7343" s="96"/>
      <c r="F7343" s="64"/>
      <c r="G7343" s="70"/>
      <c r="H7343" s="84"/>
      <c r="I7343" s="84"/>
    </row>
    <row r="7344" spans="1:9" s="83" customFormat="1" x14ac:dyDescent="0.35">
      <c r="A7344" s="77"/>
      <c r="B7344" s="64"/>
      <c r="C7344" s="82"/>
      <c r="D7344" s="64"/>
      <c r="E7344" s="96"/>
      <c r="F7344" s="64"/>
      <c r="G7344" s="70"/>
      <c r="H7344" s="84"/>
      <c r="I7344" s="84"/>
    </row>
    <row r="7345" spans="1:9" s="83" customFormat="1" x14ac:dyDescent="0.35">
      <c r="A7345" s="77"/>
      <c r="B7345" s="64"/>
      <c r="C7345" s="82"/>
      <c r="D7345" s="64"/>
      <c r="E7345" s="96"/>
      <c r="F7345" s="64"/>
      <c r="G7345" s="70"/>
      <c r="H7345" s="84"/>
      <c r="I7345" s="84"/>
    </row>
    <row r="7346" spans="1:9" s="83" customFormat="1" x14ac:dyDescent="0.35">
      <c r="A7346" s="77"/>
      <c r="B7346" s="64"/>
      <c r="C7346" s="82"/>
      <c r="D7346" s="64"/>
      <c r="E7346" s="96"/>
      <c r="F7346" s="64"/>
      <c r="G7346" s="70"/>
      <c r="H7346" s="84"/>
      <c r="I7346" s="84"/>
    </row>
    <row r="7347" spans="1:9" s="83" customFormat="1" x14ac:dyDescent="0.35">
      <c r="A7347" s="77"/>
      <c r="B7347" s="64"/>
      <c r="C7347" s="82"/>
      <c r="D7347" s="64"/>
      <c r="E7347" s="96"/>
      <c r="F7347" s="64"/>
      <c r="G7347" s="70"/>
      <c r="H7347" s="84"/>
      <c r="I7347" s="84"/>
    </row>
    <row r="7348" spans="1:9" s="83" customFormat="1" x14ac:dyDescent="0.35">
      <c r="A7348" s="77"/>
      <c r="B7348" s="64"/>
      <c r="C7348" s="82"/>
      <c r="D7348" s="64"/>
      <c r="E7348" s="96"/>
      <c r="F7348" s="64"/>
      <c r="G7348" s="70"/>
      <c r="H7348" s="84"/>
      <c r="I7348" s="84"/>
    </row>
    <row r="7349" spans="1:9" s="83" customFormat="1" x14ac:dyDescent="0.35">
      <c r="A7349" s="77"/>
      <c r="B7349" s="64"/>
      <c r="C7349" s="82"/>
      <c r="D7349" s="64"/>
      <c r="E7349" s="96"/>
      <c r="F7349" s="64"/>
      <c r="G7349" s="70"/>
      <c r="H7349" s="84"/>
      <c r="I7349" s="84"/>
    </row>
    <row r="7350" spans="1:9" s="83" customFormat="1" x14ac:dyDescent="0.35">
      <c r="A7350" s="77"/>
      <c r="B7350" s="64"/>
      <c r="C7350" s="82"/>
      <c r="D7350" s="64"/>
      <c r="E7350" s="96"/>
      <c r="F7350" s="64"/>
      <c r="G7350" s="70"/>
      <c r="H7350" s="84"/>
      <c r="I7350" s="84"/>
    </row>
    <row r="7351" spans="1:9" s="83" customFormat="1" x14ac:dyDescent="0.35">
      <c r="A7351" s="77"/>
      <c r="B7351" s="64"/>
      <c r="C7351" s="82"/>
      <c r="D7351" s="86"/>
      <c r="E7351" s="96"/>
      <c r="F7351" s="64"/>
      <c r="G7351" s="70"/>
      <c r="H7351" s="84"/>
      <c r="I7351" s="84"/>
    </row>
    <row r="7352" spans="1:9" s="83" customFormat="1" x14ac:dyDescent="0.35">
      <c r="A7352" s="77"/>
      <c r="B7352" s="64"/>
      <c r="C7352" s="82"/>
      <c r="D7352" s="64"/>
      <c r="E7352" s="96"/>
      <c r="F7352" s="64"/>
      <c r="G7352" s="70"/>
      <c r="H7352" s="84"/>
      <c r="I7352" s="84"/>
    </row>
    <row r="7353" spans="1:9" s="83" customFormat="1" x14ac:dyDescent="0.35">
      <c r="A7353" s="77"/>
      <c r="B7353" s="64"/>
      <c r="C7353" s="82"/>
      <c r="D7353" s="64"/>
      <c r="E7353" s="96"/>
      <c r="F7353" s="64"/>
      <c r="G7353" s="70"/>
      <c r="H7353" s="84"/>
      <c r="I7353" s="84"/>
    </row>
    <row r="7354" spans="1:9" s="83" customFormat="1" x14ac:dyDescent="0.35">
      <c r="A7354" s="77"/>
      <c r="B7354" s="64"/>
      <c r="C7354" s="82"/>
      <c r="D7354" s="64"/>
      <c r="E7354" s="96"/>
      <c r="F7354" s="64"/>
      <c r="G7354" s="70"/>
      <c r="H7354" s="84"/>
      <c r="I7354" s="84"/>
    </row>
    <row r="7355" spans="1:9" s="83" customFormat="1" x14ac:dyDescent="0.35">
      <c r="A7355" s="77"/>
      <c r="B7355" s="64"/>
      <c r="C7355" s="82"/>
      <c r="D7355" s="64"/>
      <c r="E7355" s="96"/>
      <c r="F7355" s="64"/>
      <c r="G7355" s="70"/>
      <c r="H7355" s="84"/>
      <c r="I7355" s="84"/>
    </row>
    <row r="7356" spans="1:9" s="83" customFormat="1" x14ac:dyDescent="0.35">
      <c r="A7356" s="77"/>
      <c r="B7356" s="64"/>
      <c r="C7356" s="82"/>
      <c r="D7356" s="64"/>
      <c r="E7356" s="96"/>
      <c r="F7356" s="64"/>
      <c r="G7356" s="70"/>
      <c r="H7356" s="84"/>
      <c r="I7356" s="84"/>
    </row>
    <row r="7357" spans="1:9" s="83" customFormat="1" x14ac:dyDescent="0.35">
      <c r="A7357" s="77"/>
      <c r="B7357" s="64"/>
      <c r="C7357" s="82"/>
      <c r="D7357" s="64"/>
      <c r="E7357" s="96"/>
      <c r="F7357" s="64"/>
      <c r="G7357" s="70"/>
      <c r="H7357" s="84"/>
      <c r="I7357" s="84"/>
    </row>
    <row r="7358" spans="1:9" s="83" customFormat="1" x14ac:dyDescent="0.35">
      <c r="A7358" s="77"/>
      <c r="B7358" s="64"/>
      <c r="C7358" s="82"/>
      <c r="D7358" s="64"/>
      <c r="E7358" s="96"/>
      <c r="F7358" s="64"/>
      <c r="G7358" s="70"/>
      <c r="H7358" s="84"/>
      <c r="I7358" s="84"/>
    </row>
    <row r="7359" spans="1:9" s="83" customFormat="1" x14ac:dyDescent="0.35">
      <c r="A7359" s="77"/>
      <c r="B7359" s="64"/>
      <c r="C7359" s="82"/>
      <c r="D7359" s="64"/>
      <c r="E7359" s="96"/>
      <c r="F7359" s="64"/>
      <c r="G7359" s="70"/>
      <c r="H7359" s="84"/>
      <c r="I7359" s="84"/>
    </row>
    <row r="7360" spans="1:9" s="83" customFormat="1" x14ac:dyDescent="0.35">
      <c r="A7360" s="77"/>
      <c r="B7360" s="64"/>
      <c r="C7360" s="82"/>
      <c r="D7360" s="64"/>
      <c r="E7360" s="96"/>
      <c r="F7360" s="64"/>
      <c r="G7360" s="70"/>
      <c r="H7360" s="84"/>
      <c r="I7360" s="84"/>
    </row>
    <row r="7361" spans="1:9" s="83" customFormat="1" x14ac:dyDescent="0.35">
      <c r="A7361" s="77"/>
      <c r="B7361" s="64"/>
      <c r="C7361" s="82"/>
      <c r="D7361" s="64"/>
      <c r="E7361" s="96"/>
      <c r="F7361" s="64"/>
      <c r="G7361" s="70"/>
      <c r="H7361" s="84"/>
      <c r="I7361" s="84"/>
    </row>
    <row r="7362" spans="1:9" s="83" customFormat="1" x14ac:dyDescent="0.35">
      <c r="A7362" s="77"/>
      <c r="B7362" s="64"/>
      <c r="C7362" s="82"/>
      <c r="D7362" s="64"/>
      <c r="E7362" s="96"/>
      <c r="F7362" s="64"/>
      <c r="G7362" s="70"/>
      <c r="H7362" s="84"/>
      <c r="I7362" s="84"/>
    </row>
    <row r="7363" spans="1:9" s="83" customFormat="1" x14ac:dyDescent="0.35">
      <c r="A7363" s="77"/>
      <c r="B7363" s="64"/>
      <c r="C7363" s="82"/>
      <c r="D7363" s="64"/>
      <c r="E7363" s="96"/>
      <c r="F7363" s="64"/>
      <c r="G7363" s="70"/>
      <c r="H7363" s="84"/>
      <c r="I7363" s="84"/>
    </row>
    <row r="7364" spans="1:9" s="83" customFormat="1" x14ac:dyDescent="0.35">
      <c r="A7364" s="77"/>
      <c r="B7364" s="64"/>
      <c r="C7364" s="82"/>
      <c r="D7364" s="64"/>
      <c r="E7364" s="96"/>
      <c r="F7364" s="64"/>
      <c r="G7364" s="70"/>
      <c r="H7364" s="84"/>
      <c r="I7364" s="84"/>
    </row>
    <row r="7365" spans="1:9" s="83" customFormat="1" x14ac:dyDescent="0.35">
      <c r="A7365" s="77"/>
      <c r="B7365" s="64"/>
      <c r="C7365" s="82"/>
      <c r="D7365" s="64"/>
      <c r="E7365" s="96"/>
      <c r="F7365" s="64"/>
      <c r="G7365" s="70"/>
      <c r="H7365" s="84"/>
      <c r="I7365" s="84"/>
    </row>
    <row r="7366" spans="1:9" s="83" customFormat="1" x14ac:dyDescent="0.35">
      <c r="A7366" s="77"/>
      <c r="B7366" s="64"/>
      <c r="C7366" s="82"/>
      <c r="D7366" s="64"/>
      <c r="E7366" s="96"/>
      <c r="F7366" s="64"/>
      <c r="G7366" s="70"/>
      <c r="H7366" s="84"/>
      <c r="I7366" s="84"/>
    </row>
    <row r="7367" spans="1:9" s="83" customFormat="1" x14ac:dyDescent="0.35">
      <c r="A7367" s="77"/>
      <c r="B7367" s="64"/>
      <c r="C7367" s="82"/>
      <c r="D7367" s="64"/>
      <c r="E7367" s="96"/>
      <c r="F7367" s="64"/>
      <c r="G7367" s="70"/>
      <c r="H7367" s="84"/>
      <c r="I7367" s="84"/>
    </row>
    <row r="7368" spans="1:9" s="83" customFormat="1" x14ac:dyDescent="0.35">
      <c r="A7368" s="77"/>
      <c r="B7368" s="64"/>
      <c r="C7368" s="82"/>
      <c r="D7368" s="64"/>
      <c r="E7368" s="96"/>
      <c r="F7368" s="64"/>
      <c r="G7368" s="70"/>
      <c r="H7368" s="84"/>
      <c r="I7368" s="84"/>
    </row>
    <row r="7369" spans="1:9" s="83" customFormat="1" x14ac:dyDescent="0.35">
      <c r="A7369" s="77"/>
      <c r="B7369" s="64"/>
      <c r="C7369" s="82"/>
      <c r="D7369" s="64"/>
      <c r="E7369" s="96"/>
      <c r="F7369" s="64"/>
      <c r="G7369" s="70"/>
      <c r="H7369" s="84"/>
      <c r="I7369" s="84"/>
    </row>
    <row r="7370" spans="1:9" s="83" customFormat="1" x14ac:dyDescent="0.35">
      <c r="A7370" s="77"/>
      <c r="B7370" s="64"/>
      <c r="C7370" s="82"/>
      <c r="D7370" s="64"/>
      <c r="E7370" s="96"/>
      <c r="F7370" s="64"/>
      <c r="G7370" s="70"/>
      <c r="H7370" s="84"/>
      <c r="I7370" s="84"/>
    </row>
    <row r="7371" spans="1:9" s="83" customFormat="1" x14ac:dyDescent="0.35">
      <c r="A7371" s="77"/>
      <c r="B7371" s="64"/>
      <c r="C7371" s="82"/>
      <c r="D7371" s="64"/>
      <c r="E7371" s="96"/>
      <c r="F7371" s="64"/>
      <c r="G7371" s="70"/>
      <c r="H7371" s="84"/>
      <c r="I7371" s="84"/>
    </row>
    <row r="7372" spans="1:9" s="83" customFormat="1" x14ac:dyDescent="0.35">
      <c r="A7372" s="77"/>
      <c r="B7372" s="64"/>
      <c r="C7372" s="82"/>
      <c r="D7372" s="64"/>
      <c r="E7372" s="96"/>
      <c r="F7372" s="64"/>
      <c r="G7372" s="70"/>
      <c r="H7372" s="84"/>
      <c r="I7372" s="84"/>
    </row>
    <row r="7373" spans="1:9" s="83" customFormat="1" x14ac:dyDescent="0.35">
      <c r="A7373" s="77"/>
      <c r="B7373" s="64"/>
      <c r="C7373" s="82"/>
      <c r="D7373" s="86"/>
      <c r="E7373" s="96"/>
      <c r="F7373" s="64"/>
      <c r="G7373" s="70"/>
      <c r="H7373" s="84"/>
      <c r="I7373" s="84"/>
    </row>
    <row r="7374" spans="1:9" s="83" customFormat="1" x14ac:dyDescent="0.35">
      <c r="A7374" s="77"/>
      <c r="B7374" s="64"/>
      <c r="C7374" s="82"/>
      <c r="D7374" s="64"/>
      <c r="E7374" s="96"/>
      <c r="F7374" s="64"/>
      <c r="G7374" s="70"/>
      <c r="H7374" s="84"/>
      <c r="I7374" s="84"/>
    </row>
    <row r="7375" spans="1:9" s="83" customFormat="1" x14ac:dyDescent="0.35">
      <c r="A7375" s="77"/>
      <c r="B7375" s="64"/>
      <c r="C7375" s="82"/>
      <c r="D7375" s="86"/>
      <c r="E7375" s="96"/>
      <c r="F7375" s="64"/>
      <c r="G7375" s="70"/>
      <c r="H7375" s="84"/>
      <c r="I7375" s="84"/>
    </row>
    <row r="7376" spans="1:9" s="83" customFormat="1" x14ac:dyDescent="0.35">
      <c r="A7376" s="77"/>
      <c r="B7376" s="64"/>
      <c r="C7376" s="82"/>
      <c r="D7376" s="64"/>
      <c r="E7376" s="96"/>
      <c r="F7376" s="64"/>
      <c r="G7376" s="70"/>
      <c r="H7376" s="84"/>
      <c r="I7376" s="84"/>
    </row>
    <row r="7377" spans="1:9" s="83" customFormat="1" x14ac:dyDescent="0.35">
      <c r="A7377" s="77"/>
      <c r="B7377" s="64"/>
      <c r="C7377" s="82"/>
      <c r="D7377" s="64"/>
      <c r="E7377" s="96"/>
      <c r="F7377" s="64"/>
      <c r="G7377" s="70"/>
      <c r="H7377" s="84"/>
      <c r="I7377" s="84"/>
    </row>
    <row r="7378" spans="1:9" s="83" customFormat="1" x14ac:dyDescent="0.35">
      <c r="A7378" s="77"/>
      <c r="B7378" s="64"/>
      <c r="C7378" s="82"/>
      <c r="D7378" s="64"/>
      <c r="E7378" s="96"/>
      <c r="F7378" s="64"/>
      <c r="G7378" s="70"/>
      <c r="H7378" s="84"/>
      <c r="I7378" s="84"/>
    </row>
    <row r="7379" spans="1:9" s="83" customFormat="1" x14ac:dyDescent="0.35">
      <c r="A7379" s="77"/>
      <c r="B7379" s="64"/>
      <c r="C7379" s="82"/>
      <c r="D7379" s="64"/>
      <c r="E7379" s="96"/>
      <c r="F7379" s="64"/>
      <c r="G7379" s="70"/>
      <c r="H7379" s="84"/>
      <c r="I7379" s="84"/>
    </row>
    <row r="7380" spans="1:9" s="83" customFormat="1" x14ac:dyDescent="0.35">
      <c r="A7380" s="77"/>
      <c r="B7380" s="64"/>
      <c r="C7380" s="82"/>
      <c r="D7380" s="64"/>
      <c r="E7380" s="96"/>
      <c r="F7380" s="64"/>
      <c r="G7380" s="70"/>
      <c r="H7380" s="84"/>
      <c r="I7380" s="84"/>
    </row>
    <row r="7381" spans="1:9" s="83" customFormat="1" x14ac:dyDescent="0.35">
      <c r="A7381" s="77"/>
      <c r="B7381" s="64"/>
      <c r="C7381" s="82"/>
      <c r="D7381" s="64"/>
      <c r="E7381" s="96"/>
      <c r="F7381" s="64"/>
      <c r="G7381" s="70"/>
      <c r="H7381" s="84"/>
      <c r="I7381" s="84"/>
    </row>
    <row r="7382" spans="1:9" s="83" customFormat="1" x14ac:dyDescent="0.35">
      <c r="A7382" s="77"/>
      <c r="B7382" s="64"/>
      <c r="C7382" s="82"/>
      <c r="D7382" s="64"/>
      <c r="E7382" s="96"/>
      <c r="F7382" s="64"/>
      <c r="G7382" s="70"/>
      <c r="H7382" s="84"/>
      <c r="I7382" s="84"/>
    </row>
    <row r="7383" spans="1:9" s="83" customFormat="1" x14ac:dyDescent="0.35">
      <c r="A7383" s="77"/>
      <c r="B7383" s="64"/>
      <c r="C7383" s="82"/>
      <c r="D7383" s="64"/>
      <c r="E7383" s="96"/>
      <c r="F7383" s="64"/>
      <c r="G7383" s="70"/>
      <c r="H7383" s="84"/>
      <c r="I7383" s="84"/>
    </row>
    <row r="7384" spans="1:9" s="83" customFormat="1" x14ac:dyDescent="0.35">
      <c r="A7384" s="77"/>
      <c r="B7384" s="64"/>
      <c r="C7384" s="82"/>
      <c r="D7384" s="64"/>
      <c r="E7384" s="96"/>
      <c r="F7384" s="64"/>
      <c r="G7384" s="70"/>
      <c r="H7384" s="84"/>
      <c r="I7384" s="84"/>
    </row>
    <row r="7385" spans="1:9" s="83" customFormat="1" x14ac:dyDescent="0.35">
      <c r="A7385" s="77"/>
      <c r="B7385" s="64"/>
      <c r="C7385" s="82"/>
      <c r="D7385" s="64"/>
      <c r="E7385" s="96"/>
      <c r="F7385" s="64"/>
      <c r="G7385" s="70"/>
      <c r="H7385" s="84"/>
      <c r="I7385" s="84"/>
    </row>
    <row r="7386" spans="1:9" s="83" customFormat="1" x14ac:dyDescent="0.35">
      <c r="A7386" s="77"/>
      <c r="B7386" s="64"/>
      <c r="C7386" s="82"/>
      <c r="D7386" s="64"/>
      <c r="E7386" s="96"/>
      <c r="F7386" s="64"/>
      <c r="G7386" s="70"/>
      <c r="H7386" s="84"/>
      <c r="I7386" s="84"/>
    </row>
    <row r="7387" spans="1:9" s="83" customFormat="1" x14ac:dyDescent="0.35">
      <c r="A7387" s="77"/>
      <c r="B7387" s="64"/>
      <c r="C7387" s="82"/>
      <c r="D7387" s="64"/>
      <c r="E7387" s="96"/>
      <c r="F7387" s="64"/>
      <c r="G7387" s="70"/>
      <c r="H7387" s="84"/>
      <c r="I7387" s="84"/>
    </row>
    <row r="7388" spans="1:9" s="83" customFormat="1" x14ac:dyDescent="0.35">
      <c r="A7388" s="77"/>
      <c r="B7388" s="64"/>
      <c r="C7388" s="82"/>
      <c r="D7388" s="64"/>
      <c r="E7388" s="96"/>
      <c r="F7388" s="64"/>
      <c r="G7388" s="70"/>
      <c r="H7388" s="84"/>
      <c r="I7388" s="84"/>
    </row>
    <row r="7389" spans="1:9" s="83" customFormat="1" x14ac:dyDescent="0.35">
      <c r="A7389" s="77"/>
      <c r="B7389" s="64"/>
      <c r="C7389" s="82"/>
      <c r="D7389" s="64"/>
      <c r="E7389" s="96"/>
      <c r="F7389" s="64"/>
      <c r="G7389" s="70"/>
      <c r="H7389" s="84"/>
      <c r="I7389" s="84"/>
    </row>
    <row r="7390" spans="1:9" x14ac:dyDescent="0.35">
      <c r="C7390" s="82"/>
    </row>
    <row r="7391" spans="1:9" x14ac:dyDescent="0.35">
      <c r="C7391" s="82"/>
    </row>
    <row r="7392" spans="1:9" x14ac:dyDescent="0.35">
      <c r="C7392" s="82"/>
    </row>
    <row r="7393" spans="3:3" x14ac:dyDescent="0.35">
      <c r="C7393" s="82"/>
    </row>
    <row r="7394" spans="3:3" x14ac:dyDescent="0.35">
      <c r="C7394" s="82"/>
    </row>
    <row r="7395" spans="3:3" x14ac:dyDescent="0.35">
      <c r="C7395" s="82"/>
    </row>
    <row r="7396" spans="3:3" x14ac:dyDescent="0.35">
      <c r="C7396" s="82"/>
    </row>
    <row r="7397" spans="3:3" x14ac:dyDescent="0.35">
      <c r="C7397" s="82"/>
    </row>
    <row r="7398" spans="3:3" x14ac:dyDescent="0.35">
      <c r="C7398" s="82"/>
    </row>
    <row r="7399" spans="3:3" x14ac:dyDescent="0.35">
      <c r="C7399" s="82"/>
    </row>
    <row r="7400" spans="3:3" x14ac:dyDescent="0.35">
      <c r="C7400" s="82"/>
    </row>
    <row r="7401" spans="3:3" x14ac:dyDescent="0.35">
      <c r="C7401" s="82"/>
    </row>
    <row r="7402" spans="3:3" x14ac:dyDescent="0.35">
      <c r="C7402" s="82"/>
    </row>
    <row r="7403" spans="3:3" x14ac:dyDescent="0.35">
      <c r="C7403" s="82"/>
    </row>
    <row r="7404" spans="3:3" x14ac:dyDescent="0.35">
      <c r="C7404" s="82"/>
    </row>
    <row r="7405" spans="3:3" x14ac:dyDescent="0.35">
      <c r="C7405" s="82"/>
    </row>
    <row r="7406" spans="3:3" x14ac:dyDescent="0.35">
      <c r="C7406" s="82"/>
    </row>
    <row r="7407" spans="3:3" x14ac:dyDescent="0.35">
      <c r="C7407" s="82"/>
    </row>
    <row r="7408" spans="3:3" x14ac:dyDescent="0.35">
      <c r="C7408" s="82"/>
    </row>
    <row r="7409" spans="1:9" x14ac:dyDescent="0.35">
      <c r="C7409" s="82"/>
    </row>
    <row r="7410" spans="1:9" x14ac:dyDescent="0.35">
      <c r="C7410" s="82"/>
    </row>
    <row r="7411" spans="1:9" x14ac:dyDescent="0.35">
      <c r="C7411" s="82"/>
    </row>
    <row r="7412" spans="1:9" x14ac:dyDescent="0.35">
      <c r="C7412" s="82"/>
    </row>
    <row r="7413" spans="1:9" x14ac:dyDescent="0.35">
      <c r="C7413" s="82"/>
    </row>
    <row r="7414" spans="1:9" x14ac:dyDescent="0.35">
      <c r="C7414" s="82"/>
    </row>
    <row r="7415" spans="1:9" x14ac:dyDescent="0.35">
      <c r="C7415" s="82"/>
    </row>
    <row r="7416" spans="1:9" x14ac:dyDescent="0.35">
      <c r="C7416" s="82"/>
    </row>
    <row r="7417" spans="1:9" x14ac:dyDescent="0.35">
      <c r="C7417" s="82"/>
    </row>
    <row r="7418" spans="1:9" x14ac:dyDescent="0.35">
      <c r="C7418" s="82"/>
    </row>
    <row r="7419" spans="1:9" x14ac:dyDescent="0.35">
      <c r="C7419" s="82"/>
    </row>
    <row r="7420" spans="1:9" x14ac:dyDescent="0.35">
      <c r="C7420" s="82"/>
    </row>
    <row r="7421" spans="1:9" x14ac:dyDescent="0.35">
      <c r="C7421" s="82"/>
    </row>
    <row r="7422" spans="1:9" s="83" customFormat="1" x14ac:dyDescent="0.35">
      <c r="A7422" s="77"/>
      <c r="B7422" s="64"/>
      <c r="C7422" s="82"/>
      <c r="D7422" s="64"/>
      <c r="E7422" s="96"/>
      <c r="F7422" s="64"/>
      <c r="G7422" s="70"/>
      <c r="H7422" s="84"/>
      <c r="I7422" s="84"/>
    </row>
    <row r="7423" spans="1:9" s="83" customFormat="1" x14ac:dyDescent="0.35">
      <c r="A7423" s="77"/>
      <c r="B7423" s="64"/>
      <c r="C7423" s="82"/>
      <c r="D7423" s="86"/>
      <c r="E7423" s="96"/>
      <c r="F7423" s="64"/>
      <c r="G7423" s="70"/>
      <c r="H7423" s="84"/>
      <c r="I7423" s="84"/>
    </row>
    <row r="7424" spans="1:9" s="83" customFormat="1" x14ac:dyDescent="0.35">
      <c r="A7424" s="77"/>
      <c r="B7424" s="64"/>
      <c r="C7424" s="82"/>
      <c r="D7424" s="64"/>
      <c r="E7424" s="96"/>
      <c r="F7424" s="64"/>
      <c r="G7424" s="70"/>
      <c r="H7424" s="84"/>
      <c r="I7424" s="84"/>
    </row>
    <row r="7425" spans="1:9" s="83" customFormat="1" x14ac:dyDescent="0.35">
      <c r="A7425" s="77"/>
      <c r="B7425" s="64"/>
      <c r="C7425" s="82"/>
      <c r="D7425" s="86"/>
      <c r="E7425" s="96"/>
      <c r="F7425" s="64"/>
      <c r="G7425" s="70"/>
      <c r="H7425" s="84"/>
      <c r="I7425" s="84"/>
    </row>
    <row r="7426" spans="1:9" s="83" customFormat="1" x14ac:dyDescent="0.35">
      <c r="A7426" s="77"/>
      <c r="B7426" s="64"/>
      <c r="C7426" s="82"/>
      <c r="D7426" s="64"/>
      <c r="E7426" s="96"/>
      <c r="F7426" s="64"/>
      <c r="G7426" s="70"/>
      <c r="H7426" s="84"/>
      <c r="I7426" s="84"/>
    </row>
    <row r="7427" spans="1:9" s="83" customFormat="1" x14ac:dyDescent="0.35">
      <c r="A7427" s="77"/>
      <c r="B7427" s="64"/>
      <c r="C7427" s="82"/>
      <c r="D7427" s="64"/>
      <c r="E7427" s="96"/>
      <c r="F7427" s="64"/>
      <c r="G7427" s="70"/>
      <c r="H7427" s="84"/>
      <c r="I7427" s="84"/>
    </row>
    <row r="7428" spans="1:9" s="83" customFormat="1" x14ac:dyDescent="0.35">
      <c r="A7428" s="77"/>
      <c r="B7428" s="64"/>
      <c r="C7428" s="82"/>
      <c r="D7428" s="64"/>
      <c r="E7428" s="96"/>
      <c r="F7428" s="64"/>
      <c r="G7428" s="70"/>
      <c r="H7428" s="84"/>
      <c r="I7428" s="84"/>
    </row>
    <row r="7429" spans="1:9" s="83" customFormat="1" x14ac:dyDescent="0.35">
      <c r="A7429" s="77"/>
      <c r="B7429" s="64"/>
      <c r="C7429" s="82"/>
      <c r="D7429" s="64"/>
      <c r="E7429" s="96"/>
      <c r="F7429" s="64"/>
      <c r="G7429" s="70"/>
      <c r="H7429" s="84"/>
      <c r="I7429" s="84"/>
    </row>
    <row r="7430" spans="1:9" s="83" customFormat="1" x14ac:dyDescent="0.35">
      <c r="A7430" s="77"/>
      <c r="B7430" s="64"/>
      <c r="C7430" s="82"/>
      <c r="D7430" s="64"/>
      <c r="E7430" s="96"/>
      <c r="F7430" s="64"/>
      <c r="G7430" s="70"/>
      <c r="H7430" s="84"/>
      <c r="I7430" s="84"/>
    </row>
    <row r="7431" spans="1:9" s="83" customFormat="1" x14ac:dyDescent="0.35">
      <c r="A7431" s="77"/>
      <c r="B7431" s="64"/>
      <c r="C7431" s="82"/>
      <c r="D7431" s="64"/>
      <c r="E7431" s="96"/>
      <c r="F7431" s="64"/>
      <c r="G7431" s="70"/>
      <c r="H7431" s="84"/>
      <c r="I7431" s="84"/>
    </row>
    <row r="7432" spans="1:9" s="83" customFormat="1" x14ac:dyDescent="0.35">
      <c r="A7432" s="77"/>
      <c r="B7432" s="64"/>
      <c r="C7432" s="82"/>
      <c r="D7432" s="64"/>
      <c r="E7432" s="96"/>
      <c r="F7432" s="64"/>
      <c r="G7432" s="70"/>
      <c r="H7432" s="84"/>
      <c r="I7432" s="84"/>
    </row>
    <row r="7433" spans="1:9" s="83" customFormat="1" x14ac:dyDescent="0.35">
      <c r="A7433" s="77"/>
      <c r="B7433" s="64"/>
      <c r="C7433" s="82"/>
      <c r="D7433" s="64"/>
      <c r="E7433" s="96"/>
      <c r="F7433" s="64"/>
      <c r="G7433" s="70"/>
      <c r="H7433" s="84"/>
      <c r="I7433" s="84"/>
    </row>
    <row r="7434" spans="1:9" s="83" customFormat="1" x14ac:dyDescent="0.35">
      <c r="A7434" s="77"/>
      <c r="B7434" s="64"/>
      <c r="C7434" s="82"/>
      <c r="D7434" s="64"/>
      <c r="E7434" s="96"/>
      <c r="F7434" s="64"/>
      <c r="G7434" s="70"/>
      <c r="H7434" s="84"/>
      <c r="I7434" s="84"/>
    </row>
    <row r="7435" spans="1:9" s="83" customFormat="1" x14ac:dyDescent="0.35">
      <c r="A7435" s="77"/>
      <c r="B7435" s="64"/>
      <c r="C7435" s="82"/>
      <c r="D7435" s="64"/>
      <c r="E7435" s="96"/>
      <c r="F7435" s="64"/>
      <c r="G7435" s="70"/>
      <c r="H7435" s="84"/>
      <c r="I7435" s="84"/>
    </row>
    <row r="7436" spans="1:9" s="83" customFormat="1" x14ac:dyDescent="0.35">
      <c r="A7436" s="77"/>
      <c r="B7436" s="64"/>
      <c r="C7436" s="82"/>
      <c r="D7436" s="64"/>
      <c r="E7436" s="96"/>
      <c r="F7436" s="64"/>
      <c r="G7436" s="70"/>
      <c r="H7436" s="84"/>
      <c r="I7436" s="84"/>
    </row>
    <row r="7437" spans="1:9" s="83" customFormat="1" x14ac:dyDescent="0.35">
      <c r="A7437" s="77"/>
      <c r="B7437" s="64"/>
      <c r="C7437" s="82"/>
      <c r="D7437" s="64"/>
      <c r="E7437" s="96"/>
      <c r="F7437" s="64"/>
      <c r="G7437" s="70"/>
      <c r="H7437" s="84"/>
      <c r="I7437" s="84"/>
    </row>
    <row r="7438" spans="1:9" s="83" customFormat="1" x14ac:dyDescent="0.35">
      <c r="A7438" s="77"/>
      <c r="B7438" s="64"/>
      <c r="C7438" s="82"/>
      <c r="D7438" s="64"/>
      <c r="E7438" s="96"/>
      <c r="F7438" s="64"/>
      <c r="G7438" s="70"/>
      <c r="H7438" s="84"/>
      <c r="I7438" s="84"/>
    </row>
    <row r="7439" spans="1:9" s="83" customFormat="1" x14ac:dyDescent="0.35">
      <c r="A7439" s="77"/>
      <c r="B7439" s="64"/>
      <c r="C7439" s="82"/>
      <c r="D7439" s="64"/>
      <c r="E7439" s="96"/>
      <c r="F7439" s="64"/>
      <c r="G7439" s="70"/>
      <c r="H7439" s="84"/>
      <c r="I7439" s="84"/>
    </row>
    <row r="7440" spans="1:9" s="83" customFormat="1" x14ac:dyDescent="0.35">
      <c r="A7440" s="77"/>
      <c r="B7440" s="64"/>
      <c r="C7440" s="82"/>
      <c r="D7440" s="64"/>
      <c r="E7440" s="96"/>
      <c r="F7440" s="64"/>
      <c r="G7440" s="70"/>
      <c r="H7440" s="84"/>
      <c r="I7440" s="84"/>
    </row>
    <row r="7441" spans="1:9" s="83" customFormat="1" x14ac:dyDescent="0.35">
      <c r="A7441" s="77"/>
      <c r="B7441" s="64"/>
      <c r="C7441" s="82"/>
      <c r="D7441" s="64"/>
      <c r="E7441" s="96"/>
      <c r="F7441" s="64"/>
      <c r="G7441" s="70"/>
      <c r="H7441" s="84"/>
      <c r="I7441" s="84"/>
    </row>
    <row r="7442" spans="1:9" s="83" customFormat="1" x14ac:dyDescent="0.35">
      <c r="A7442" s="77"/>
      <c r="B7442" s="64"/>
      <c r="C7442" s="82"/>
      <c r="D7442" s="64"/>
      <c r="E7442" s="96"/>
      <c r="F7442" s="64"/>
      <c r="G7442" s="70"/>
      <c r="H7442" s="84"/>
      <c r="I7442" s="84"/>
    </row>
    <row r="7443" spans="1:9" s="83" customFormat="1" x14ac:dyDescent="0.35">
      <c r="A7443" s="77"/>
      <c r="B7443" s="64"/>
      <c r="C7443" s="82"/>
      <c r="D7443" s="64"/>
      <c r="E7443" s="96"/>
      <c r="F7443" s="64"/>
      <c r="G7443" s="70"/>
      <c r="H7443" s="84"/>
      <c r="I7443" s="84"/>
    </row>
    <row r="7444" spans="1:9" s="83" customFormat="1" x14ac:dyDescent="0.35">
      <c r="A7444" s="77"/>
      <c r="B7444" s="64"/>
      <c r="C7444" s="82"/>
      <c r="D7444" s="64"/>
      <c r="E7444" s="96"/>
      <c r="F7444" s="64"/>
      <c r="G7444" s="70"/>
      <c r="H7444" s="84"/>
      <c r="I7444" s="84"/>
    </row>
    <row r="7445" spans="1:9" s="83" customFormat="1" x14ac:dyDescent="0.35">
      <c r="A7445" s="77"/>
      <c r="B7445" s="64"/>
      <c r="C7445" s="82"/>
      <c r="D7445" s="64"/>
      <c r="E7445" s="96"/>
      <c r="F7445" s="64"/>
      <c r="G7445" s="70"/>
      <c r="H7445" s="84"/>
      <c r="I7445" s="84"/>
    </row>
    <row r="7446" spans="1:9" s="83" customFormat="1" x14ac:dyDescent="0.35">
      <c r="A7446" s="77"/>
      <c r="B7446" s="64"/>
      <c r="C7446" s="82"/>
      <c r="D7446" s="64"/>
      <c r="E7446" s="96"/>
      <c r="F7446" s="64"/>
      <c r="G7446" s="70"/>
      <c r="H7446" s="84"/>
      <c r="I7446" s="84"/>
    </row>
    <row r="7447" spans="1:9" s="83" customFormat="1" x14ac:dyDescent="0.35">
      <c r="A7447" s="77"/>
      <c r="B7447" s="64"/>
      <c r="C7447" s="82"/>
      <c r="D7447" s="64"/>
      <c r="E7447" s="96"/>
      <c r="F7447" s="64"/>
      <c r="G7447" s="70"/>
      <c r="H7447" s="84"/>
      <c r="I7447" s="84"/>
    </row>
    <row r="7448" spans="1:9" s="83" customFormat="1" x14ac:dyDescent="0.35">
      <c r="A7448" s="77"/>
      <c r="B7448" s="64"/>
      <c r="C7448" s="82"/>
      <c r="D7448" s="64"/>
      <c r="E7448" s="96"/>
      <c r="F7448" s="64"/>
      <c r="G7448" s="70"/>
      <c r="H7448" s="84"/>
      <c r="I7448" s="84"/>
    </row>
    <row r="7449" spans="1:9" s="83" customFormat="1" x14ac:dyDescent="0.35">
      <c r="A7449" s="77"/>
      <c r="B7449" s="64"/>
      <c r="C7449" s="82"/>
      <c r="D7449" s="64"/>
      <c r="E7449" s="96"/>
      <c r="F7449" s="64"/>
      <c r="G7449" s="70"/>
      <c r="H7449" s="84"/>
      <c r="I7449" s="84"/>
    </row>
    <row r="7450" spans="1:9" s="83" customFormat="1" x14ac:dyDescent="0.35">
      <c r="A7450" s="77"/>
      <c r="B7450" s="64"/>
      <c r="C7450" s="82"/>
      <c r="D7450" s="64"/>
      <c r="E7450" s="96"/>
      <c r="F7450" s="64"/>
      <c r="G7450" s="70"/>
      <c r="H7450" s="84"/>
      <c r="I7450" s="84"/>
    </row>
    <row r="7451" spans="1:9" s="83" customFormat="1" x14ac:dyDescent="0.35">
      <c r="A7451" s="77"/>
      <c r="B7451" s="64"/>
      <c r="C7451" s="82"/>
      <c r="D7451" s="86"/>
      <c r="E7451" s="96"/>
      <c r="F7451" s="64"/>
      <c r="G7451" s="70"/>
      <c r="H7451" s="84"/>
      <c r="I7451" s="84"/>
    </row>
    <row r="7452" spans="1:9" s="83" customFormat="1" x14ac:dyDescent="0.35">
      <c r="A7452" s="77"/>
      <c r="B7452" s="64"/>
      <c r="C7452" s="82"/>
      <c r="D7452" s="64"/>
      <c r="E7452" s="96"/>
      <c r="F7452" s="64"/>
      <c r="G7452" s="70"/>
      <c r="H7452" s="84"/>
      <c r="I7452" s="84"/>
    </row>
    <row r="7453" spans="1:9" s="83" customFormat="1" x14ac:dyDescent="0.35">
      <c r="A7453" s="77"/>
      <c r="B7453" s="64"/>
      <c r="C7453" s="82"/>
      <c r="D7453" s="64"/>
      <c r="E7453" s="96"/>
      <c r="F7453" s="64"/>
      <c r="G7453" s="70"/>
      <c r="H7453" s="84"/>
      <c r="I7453" s="84"/>
    </row>
    <row r="7454" spans="1:9" x14ac:dyDescent="0.35">
      <c r="C7454" s="82"/>
    </row>
    <row r="7455" spans="1:9" x14ac:dyDescent="0.35">
      <c r="C7455" s="82"/>
    </row>
    <row r="7456" spans="1:9" x14ac:dyDescent="0.35">
      <c r="C7456" s="82"/>
    </row>
    <row r="7457" spans="3:3" x14ac:dyDescent="0.35">
      <c r="C7457" s="82"/>
    </row>
    <row r="7458" spans="3:3" x14ac:dyDescent="0.35">
      <c r="C7458" s="82"/>
    </row>
    <row r="7459" spans="3:3" x14ac:dyDescent="0.35">
      <c r="C7459" s="82"/>
    </row>
    <row r="7460" spans="3:3" x14ac:dyDescent="0.35">
      <c r="C7460" s="82"/>
    </row>
    <row r="7461" spans="3:3" x14ac:dyDescent="0.35">
      <c r="C7461" s="82"/>
    </row>
    <row r="7462" spans="3:3" x14ac:dyDescent="0.35">
      <c r="C7462" s="82"/>
    </row>
    <row r="7463" spans="3:3" x14ac:dyDescent="0.35">
      <c r="C7463" s="82"/>
    </row>
    <row r="7464" spans="3:3" x14ac:dyDescent="0.35">
      <c r="C7464" s="82"/>
    </row>
    <row r="7465" spans="3:3" x14ac:dyDescent="0.35">
      <c r="C7465" s="82"/>
    </row>
    <row r="7466" spans="3:3" x14ac:dyDescent="0.35">
      <c r="C7466" s="82"/>
    </row>
    <row r="7467" spans="3:3" x14ac:dyDescent="0.35">
      <c r="C7467" s="82"/>
    </row>
    <row r="7468" spans="3:3" x14ac:dyDescent="0.35">
      <c r="C7468" s="82"/>
    </row>
    <row r="7469" spans="3:3" x14ac:dyDescent="0.35">
      <c r="C7469" s="82"/>
    </row>
    <row r="7470" spans="3:3" x14ac:dyDescent="0.35">
      <c r="C7470" s="82"/>
    </row>
    <row r="7471" spans="3:3" x14ac:dyDescent="0.35">
      <c r="C7471" s="82"/>
    </row>
    <row r="7472" spans="3:3" x14ac:dyDescent="0.35">
      <c r="C7472" s="82"/>
    </row>
    <row r="7473" spans="3:3" x14ac:dyDescent="0.35">
      <c r="C7473" s="82"/>
    </row>
    <row r="7474" spans="3:3" x14ac:dyDescent="0.35">
      <c r="C7474" s="82"/>
    </row>
    <row r="7475" spans="3:3" x14ac:dyDescent="0.35">
      <c r="C7475" s="82"/>
    </row>
    <row r="7476" spans="3:3" x14ac:dyDescent="0.35">
      <c r="C7476" s="82"/>
    </row>
    <row r="7477" spans="3:3" x14ac:dyDescent="0.35">
      <c r="C7477" s="82"/>
    </row>
    <row r="7478" spans="3:3" x14ac:dyDescent="0.35">
      <c r="C7478" s="82"/>
    </row>
    <row r="7479" spans="3:3" x14ac:dyDescent="0.35">
      <c r="C7479" s="82"/>
    </row>
    <row r="7480" spans="3:3" x14ac:dyDescent="0.35">
      <c r="C7480" s="82"/>
    </row>
    <row r="7481" spans="3:3" x14ac:dyDescent="0.35">
      <c r="C7481" s="82"/>
    </row>
    <row r="7482" spans="3:3" x14ac:dyDescent="0.35">
      <c r="C7482" s="82"/>
    </row>
    <row r="7483" spans="3:3" x14ac:dyDescent="0.35">
      <c r="C7483" s="82"/>
    </row>
    <row r="7484" spans="3:3" x14ac:dyDescent="0.35">
      <c r="C7484" s="82"/>
    </row>
    <row r="7485" spans="3:3" x14ac:dyDescent="0.35">
      <c r="C7485" s="82"/>
    </row>
    <row r="7486" spans="3:3" x14ac:dyDescent="0.35">
      <c r="C7486" s="82"/>
    </row>
    <row r="7487" spans="3:3" x14ac:dyDescent="0.35">
      <c r="C7487" s="82"/>
    </row>
    <row r="7488" spans="3:3" x14ac:dyDescent="0.35">
      <c r="C7488" s="82"/>
    </row>
    <row r="7489" spans="3:3" x14ac:dyDescent="0.35">
      <c r="C7489" s="82"/>
    </row>
    <row r="7490" spans="3:3" x14ac:dyDescent="0.35">
      <c r="C7490" s="82"/>
    </row>
    <row r="7491" spans="3:3" x14ac:dyDescent="0.35">
      <c r="C7491" s="82"/>
    </row>
    <row r="7492" spans="3:3" x14ac:dyDescent="0.35">
      <c r="C7492" s="82"/>
    </row>
    <row r="7493" spans="3:3" x14ac:dyDescent="0.35">
      <c r="C7493" s="82"/>
    </row>
    <row r="7494" spans="3:3" x14ac:dyDescent="0.35">
      <c r="C7494" s="82"/>
    </row>
    <row r="7495" spans="3:3" x14ac:dyDescent="0.35">
      <c r="C7495" s="82"/>
    </row>
    <row r="7496" spans="3:3" x14ac:dyDescent="0.35">
      <c r="C7496" s="82"/>
    </row>
    <row r="7497" spans="3:3" x14ac:dyDescent="0.35">
      <c r="C7497" s="82"/>
    </row>
    <row r="7498" spans="3:3" x14ac:dyDescent="0.35">
      <c r="C7498" s="82"/>
    </row>
    <row r="7499" spans="3:3" x14ac:dyDescent="0.35">
      <c r="C7499" s="82"/>
    </row>
    <row r="7500" spans="3:3" x14ac:dyDescent="0.35">
      <c r="C7500" s="82"/>
    </row>
    <row r="7501" spans="3:3" x14ac:dyDescent="0.35">
      <c r="C7501" s="82"/>
    </row>
    <row r="7502" spans="3:3" x14ac:dyDescent="0.35">
      <c r="C7502" s="82"/>
    </row>
    <row r="7503" spans="3:3" x14ac:dyDescent="0.35">
      <c r="C7503" s="82"/>
    </row>
    <row r="7504" spans="3:3" x14ac:dyDescent="0.35">
      <c r="C7504" s="82"/>
    </row>
    <row r="7505" spans="3:3" x14ac:dyDescent="0.35">
      <c r="C7505" s="82"/>
    </row>
    <row r="7506" spans="3:3" x14ac:dyDescent="0.35">
      <c r="C7506" s="82"/>
    </row>
    <row r="7507" spans="3:3" x14ac:dyDescent="0.35">
      <c r="C7507" s="82"/>
    </row>
    <row r="7508" spans="3:3" x14ac:dyDescent="0.35">
      <c r="C7508" s="82"/>
    </row>
    <row r="7509" spans="3:3" x14ac:dyDescent="0.35">
      <c r="C7509" s="82"/>
    </row>
    <row r="7510" spans="3:3" x14ac:dyDescent="0.35">
      <c r="C7510" s="82"/>
    </row>
    <row r="7511" spans="3:3" x14ac:dyDescent="0.35">
      <c r="C7511" s="82"/>
    </row>
    <row r="7512" spans="3:3" x14ac:dyDescent="0.35">
      <c r="C7512" s="82"/>
    </row>
    <row r="7513" spans="3:3" x14ac:dyDescent="0.35">
      <c r="C7513" s="82"/>
    </row>
    <row r="7514" spans="3:3" x14ac:dyDescent="0.35">
      <c r="C7514" s="82"/>
    </row>
    <row r="7515" spans="3:3" x14ac:dyDescent="0.35">
      <c r="C7515" s="82"/>
    </row>
    <row r="7516" spans="3:3" x14ac:dyDescent="0.35">
      <c r="C7516" s="82"/>
    </row>
    <row r="7517" spans="3:3" x14ac:dyDescent="0.35">
      <c r="C7517" s="82"/>
    </row>
    <row r="7518" spans="3:3" x14ac:dyDescent="0.35">
      <c r="C7518" s="82"/>
    </row>
    <row r="7519" spans="3:3" x14ac:dyDescent="0.35">
      <c r="C7519" s="82"/>
    </row>
    <row r="7520" spans="3:3" x14ac:dyDescent="0.35">
      <c r="C7520" s="82"/>
    </row>
    <row r="7521" spans="3:3" x14ac:dyDescent="0.35">
      <c r="C7521" s="82"/>
    </row>
    <row r="7522" spans="3:3" x14ac:dyDescent="0.35">
      <c r="C7522" s="82"/>
    </row>
    <row r="7523" spans="3:3" x14ac:dyDescent="0.35">
      <c r="C7523" s="82"/>
    </row>
    <row r="7524" spans="3:3" x14ac:dyDescent="0.35">
      <c r="C7524" s="82"/>
    </row>
    <row r="7525" spans="3:3" x14ac:dyDescent="0.35">
      <c r="C7525" s="82"/>
    </row>
    <row r="7526" spans="3:3" x14ac:dyDescent="0.35">
      <c r="C7526" s="82"/>
    </row>
    <row r="7527" spans="3:3" x14ac:dyDescent="0.35">
      <c r="C7527" s="82"/>
    </row>
    <row r="7528" spans="3:3" x14ac:dyDescent="0.35">
      <c r="C7528" s="82"/>
    </row>
    <row r="7529" spans="3:3" x14ac:dyDescent="0.35">
      <c r="C7529" s="82"/>
    </row>
    <row r="7530" spans="3:3" x14ac:dyDescent="0.35">
      <c r="C7530" s="82"/>
    </row>
    <row r="7531" spans="3:3" x14ac:dyDescent="0.35">
      <c r="C7531" s="82"/>
    </row>
    <row r="7532" spans="3:3" x14ac:dyDescent="0.35">
      <c r="C7532" s="82"/>
    </row>
    <row r="7533" spans="3:3" x14ac:dyDescent="0.35">
      <c r="C7533" s="82"/>
    </row>
    <row r="7534" spans="3:3" x14ac:dyDescent="0.35">
      <c r="C7534" s="82"/>
    </row>
    <row r="7535" spans="3:3" x14ac:dyDescent="0.35">
      <c r="C7535" s="82"/>
    </row>
    <row r="7536" spans="3:3" x14ac:dyDescent="0.35">
      <c r="C7536" s="82"/>
    </row>
    <row r="7537" spans="1:9" x14ac:dyDescent="0.35">
      <c r="C7537" s="82"/>
    </row>
    <row r="7538" spans="1:9" x14ac:dyDescent="0.35">
      <c r="C7538" s="82"/>
    </row>
    <row r="7539" spans="1:9" x14ac:dyDescent="0.35">
      <c r="C7539" s="82"/>
    </row>
    <row r="7540" spans="1:9" x14ac:dyDescent="0.35">
      <c r="C7540" s="82"/>
    </row>
    <row r="7541" spans="1:9" x14ac:dyDescent="0.35">
      <c r="C7541" s="82"/>
    </row>
    <row r="7542" spans="1:9" x14ac:dyDescent="0.35">
      <c r="C7542" s="82"/>
    </row>
    <row r="7543" spans="1:9" x14ac:dyDescent="0.35">
      <c r="C7543" s="82"/>
    </row>
    <row r="7544" spans="1:9" x14ac:dyDescent="0.35">
      <c r="C7544" s="82"/>
    </row>
    <row r="7545" spans="1:9" x14ac:dyDescent="0.35">
      <c r="C7545" s="82"/>
    </row>
    <row r="7546" spans="1:9" x14ac:dyDescent="0.35">
      <c r="C7546" s="82"/>
    </row>
    <row r="7547" spans="1:9" x14ac:dyDescent="0.35">
      <c r="C7547" s="82"/>
    </row>
    <row r="7548" spans="1:9" x14ac:dyDescent="0.35">
      <c r="C7548" s="82"/>
    </row>
    <row r="7549" spans="1:9" x14ac:dyDescent="0.35">
      <c r="C7549" s="82"/>
    </row>
    <row r="7550" spans="1:9" s="83" customFormat="1" x14ac:dyDescent="0.35">
      <c r="A7550" s="77"/>
      <c r="B7550" s="64"/>
      <c r="C7550" s="82"/>
      <c r="D7550" s="64"/>
      <c r="E7550" s="96"/>
      <c r="F7550" s="64"/>
      <c r="G7550" s="70"/>
      <c r="H7550" s="84"/>
      <c r="I7550" s="84"/>
    </row>
    <row r="7551" spans="1:9" s="83" customFormat="1" x14ac:dyDescent="0.35">
      <c r="A7551" s="77"/>
      <c r="B7551" s="64"/>
      <c r="C7551" s="82"/>
      <c r="D7551" s="64"/>
      <c r="E7551" s="96"/>
      <c r="F7551" s="64"/>
      <c r="G7551" s="70"/>
      <c r="H7551" s="84"/>
      <c r="I7551" s="84"/>
    </row>
    <row r="7552" spans="1:9" s="83" customFormat="1" x14ac:dyDescent="0.35">
      <c r="A7552" s="77"/>
      <c r="B7552" s="64"/>
      <c r="C7552" s="82"/>
      <c r="D7552" s="64"/>
      <c r="E7552" s="96"/>
      <c r="F7552" s="64"/>
      <c r="G7552" s="70"/>
      <c r="H7552" s="84"/>
      <c r="I7552" s="84"/>
    </row>
    <row r="7553" spans="1:9" s="83" customFormat="1" x14ac:dyDescent="0.35">
      <c r="A7553" s="77"/>
      <c r="B7553" s="64"/>
      <c r="C7553" s="82"/>
      <c r="D7553" s="86"/>
      <c r="E7553" s="96"/>
      <c r="F7553" s="64"/>
      <c r="G7553" s="70"/>
      <c r="H7553" s="84"/>
      <c r="I7553" s="84"/>
    </row>
    <row r="7554" spans="1:9" s="83" customFormat="1" x14ac:dyDescent="0.35">
      <c r="A7554" s="77"/>
      <c r="B7554" s="64"/>
      <c r="C7554" s="82"/>
      <c r="D7554" s="64"/>
      <c r="E7554" s="96"/>
      <c r="F7554" s="64"/>
      <c r="G7554" s="70"/>
      <c r="H7554" s="84"/>
      <c r="I7554" s="84"/>
    </row>
    <row r="7555" spans="1:9" s="83" customFormat="1" x14ac:dyDescent="0.35">
      <c r="A7555" s="77"/>
      <c r="B7555" s="64"/>
      <c r="C7555" s="82"/>
      <c r="D7555" s="64"/>
      <c r="E7555" s="96"/>
      <c r="F7555" s="64"/>
      <c r="G7555" s="70"/>
      <c r="H7555" s="84"/>
      <c r="I7555" s="84"/>
    </row>
    <row r="7556" spans="1:9" s="83" customFormat="1" x14ac:dyDescent="0.35">
      <c r="A7556" s="77"/>
      <c r="B7556" s="64"/>
      <c r="C7556" s="82"/>
      <c r="D7556" s="64"/>
      <c r="E7556" s="96"/>
      <c r="F7556" s="64"/>
      <c r="G7556" s="70"/>
      <c r="H7556" s="84"/>
      <c r="I7556" s="84"/>
    </row>
    <row r="7557" spans="1:9" s="83" customFormat="1" x14ac:dyDescent="0.35">
      <c r="A7557" s="77"/>
      <c r="B7557" s="64"/>
      <c r="C7557" s="82"/>
      <c r="D7557" s="64"/>
      <c r="E7557" s="96"/>
      <c r="F7557" s="64"/>
      <c r="G7557" s="70"/>
      <c r="H7557" s="84"/>
      <c r="I7557" s="84"/>
    </row>
    <row r="7558" spans="1:9" s="83" customFormat="1" x14ac:dyDescent="0.35">
      <c r="A7558" s="77"/>
      <c r="B7558" s="64"/>
      <c r="C7558" s="82"/>
      <c r="D7558" s="64"/>
      <c r="E7558" s="96"/>
      <c r="F7558" s="64"/>
      <c r="G7558" s="70"/>
      <c r="H7558" s="84"/>
      <c r="I7558" s="84"/>
    </row>
    <row r="7559" spans="1:9" s="83" customFormat="1" x14ac:dyDescent="0.35">
      <c r="A7559" s="77"/>
      <c r="B7559" s="64"/>
      <c r="C7559" s="82"/>
      <c r="D7559" s="64"/>
      <c r="E7559" s="96"/>
      <c r="F7559" s="64"/>
      <c r="G7559" s="70"/>
      <c r="H7559" s="84"/>
      <c r="I7559" s="84"/>
    </row>
    <row r="7560" spans="1:9" s="83" customFormat="1" x14ac:dyDescent="0.35">
      <c r="A7560" s="77"/>
      <c r="B7560" s="64"/>
      <c r="C7560" s="82"/>
      <c r="D7560" s="64"/>
      <c r="E7560" s="96"/>
      <c r="F7560" s="64"/>
      <c r="G7560" s="70"/>
      <c r="H7560" s="84"/>
      <c r="I7560" s="84"/>
    </row>
    <row r="7561" spans="1:9" s="83" customFormat="1" x14ac:dyDescent="0.35">
      <c r="A7561" s="77"/>
      <c r="B7561" s="64"/>
      <c r="C7561" s="82"/>
      <c r="D7561" s="64"/>
      <c r="E7561" s="96"/>
      <c r="F7561" s="64"/>
      <c r="G7561" s="70"/>
      <c r="H7561" s="84"/>
      <c r="I7561" s="84"/>
    </row>
    <row r="7562" spans="1:9" s="83" customFormat="1" x14ac:dyDescent="0.35">
      <c r="A7562" s="77"/>
      <c r="B7562" s="64"/>
      <c r="C7562" s="82"/>
      <c r="D7562" s="64"/>
      <c r="E7562" s="96"/>
      <c r="F7562" s="64"/>
      <c r="G7562" s="70"/>
      <c r="H7562" s="84"/>
      <c r="I7562" s="84"/>
    </row>
    <row r="7563" spans="1:9" s="83" customFormat="1" x14ac:dyDescent="0.35">
      <c r="A7563" s="77"/>
      <c r="B7563" s="64"/>
      <c r="C7563" s="82"/>
      <c r="D7563" s="64"/>
      <c r="E7563" s="96"/>
      <c r="F7563" s="64"/>
      <c r="G7563" s="70"/>
      <c r="H7563" s="84"/>
      <c r="I7563" s="84"/>
    </row>
    <row r="7564" spans="1:9" s="83" customFormat="1" x14ac:dyDescent="0.35">
      <c r="A7564" s="77"/>
      <c r="B7564" s="64"/>
      <c r="C7564" s="82"/>
      <c r="D7564" s="64"/>
      <c r="E7564" s="96"/>
      <c r="F7564" s="64"/>
      <c r="G7564" s="70"/>
      <c r="H7564" s="84"/>
      <c r="I7564" s="84"/>
    </row>
    <row r="7565" spans="1:9" s="83" customFormat="1" x14ac:dyDescent="0.35">
      <c r="A7565" s="77"/>
      <c r="B7565" s="64"/>
      <c r="C7565" s="82"/>
      <c r="D7565" s="64"/>
      <c r="E7565" s="96"/>
      <c r="F7565" s="64"/>
      <c r="G7565" s="70"/>
      <c r="H7565" s="84"/>
      <c r="I7565" s="84"/>
    </row>
    <row r="7566" spans="1:9" x14ac:dyDescent="0.35">
      <c r="C7566" s="82"/>
    </row>
    <row r="7567" spans="1:9" x14ac:dyDescent="0.35">
      <c r="C7567" s="82"/>
    </row>
    <row r="7568" spans="1:9" x14ac:dyDescent="0.35">
      <c r="C7568" s="82"/>
    </row>
    <row r="7569" spans="3:3" x14ac:dyDescent="0.35">
      <c r="C7569" s="82"/>
    </row>
    <row r="7570" spans="3:3" x14ac:dyDescent="0.35">
      <c r="C7570" s="82"/>
    </row>
    <row r="7571" spans="3:3" x14ac:dyDescent="0.35">
      <c r="C7571" s="82"/>
    </row>
    <row r="7572" spans="3:3" x14ac:dyDescent="0.35">
      <c r="C7572" s="82"/>
    </row>
    <row r="7573" spans="3:3" x14ac:dyDescent="0.35">
      <c r="C7573" s="82"/>
    </row>
    <row r="7574" spans="3:3" x14ac:dyDescent="0.35">
      <c r="C7574" s="82"/>
    </row>
    <row r="7575" spans="3:3" x14ac:dyDescent="0.35">
      <c r="C7575" s="82"/>
    </row>
    <row r="7576" spans="3:3" x14ac:dyDescent="0.35">
      <c r="C7576" s="82"/>
    </row>
    <row r="7577" spans="3:3" x14ac:dyDescent="0.35">
      <c r="C7577" s="82"/>
    </row>
    <row r="7578" spans="3:3" x14ac:dyDescent="0.35">
      <c r="C7578" s="82"/>
    </row>
    <row r="7579" spans="3:3" x14ac:dyDescent="0.35">
      <c r="C7579" s="82"/>
    </row>
    <row r="7580" spans="3:3" x14ac:dyDescent="0.35">
      <c r="C7580" s="82"/>
    </row>
    <row r="7581" spans="3:3" x14ac:dyDescent="0.35">
      <c r="C7581" s="82"/>
    </row>
    <row r="7582" spans="3:3" x14ac:dyDescent="0.35">
      <c r="C7582" s="82"/>
    </row>
    <row r="7583" spans="3:3" x14ac:dyDescent="0.35">
      <c r="C7583" s="82"/>
    </row>
    <row r="7584" spans="3:3" x14ac:dyDescent="0.35">
      <c r="C7584" s="82"/>
    </row>
    <row r="7585" spans="3:3" x14ac:dyDescent="0.35">
      <c r="C7585" s="82"/>
    </row>
    <row r="7586" spans="3:3" x14ac:dyDescent="0.35">
      <c r="C7586" s="82"/>
    </row>
    <row r="7587" spans="3:3" x14ac:dyDescent="0.35">
      <c r="C7587" s="82"/>
    </row>
    <row r="7588" spans="3:3" x14ac:dyDescent="0.35">
      <c r="C7588" s="82"/>
    </row>
    <row r="7589" spans="3:3" x14ac:dyDescent="0.35">
      <c r="C7589" s="82"/>
    </row>
    <row r="7590" spans="3:3" x14ac:dyDescent="0.35">
      <c r="C7590" s="82"/>
    </row>
    <row r="7591" spans="3:3" x14ac:dyDescent="0.35">
      <c r="C7591" s="82"/>
    </row>
    <row r="7592" spans="3:3" x14ac:dyDescent="0.35">
      <c r="C7592" s="82"/>
    </row>
    <row r="7593" spans="3:3" x14ac:dyDescent="0.35">
      <c r="C7593" s="82"/>
    </row>
    <row r="7594" spans="3:3" x14ac:dyDescent="0.35">
      <c r="C7594" s="82"/>
    </row>
    <row r="7595" spans="3:3" x14ac:dyDescent="0.35">
      <c r="C7595" s="82"/>
    </row>
    <row r="7596" spans="3:3" x14ac:dyDescent="0.35">
      <c r="C7596" s="82"/>
    </row>
    <row r="7597" spans="3:3" x14ac:dyDescent="0.35">
      <c r="C7597" s="82"/>
    </row>
    <row r="7598" spans="3:3" x14ac:dyDescent="0.35">
      <c r="C7598" s="82"/>
    </row>
    <row r="7599" spans="3:3" x14ac:dyDescent="0.35">
      <c r="C7599" s="82"/>
    </row>
    <row r="7600" spans="3:3" x14ac:dyDescent="0.35">
      <c r="C7600" s="82"/>
    </row>
    <row r="7601" spans="3:3" x14ac:dyDescent="0.35">
      <c r="C7601" s="82"/>
    </row>
    <row r="7602" spans="3:3" x14ac:dyDescent="0.35">
      <c r="C7602" s="82"/>
    </row>
    <row r="7603" spans="3:3" x14ac:dyDescent="0.35">
      <c r="C7603" s="82"/>
    </row>
    <row r="7604" spans="3:3" x14ac:dyDescent="0.35">
      <c r="C7604" s="82"/>
    </row>
    <row r="7605" spans="3:3" x14ac:dyDescent="0.35">
      <c r="C7605" s="82"/>
    </row>
    <row r="7606" spans="3:3" x14ac:dyDescent="0.35">
      <c r="C7606" s="82"/>
    </row>
    <row r="7607" spans="3:3" x14ac:dyDescent="0.35">
      <c r="C7607" s="82"/>
    </row>
    <row r="7608" spans="3:3" x14ac:dyDescent="0.35">
      <c r="C7608" s="82"/>
    </row>
    <row r="7609" spans="3:3" x14ac:dyDescent="0.35">
      <c r="C7609" s="82"/>
    </row>
    <row r="7610" spans="3:3" x14ac:dyDescent="0.35">
      <c r="C7610" s="82"/>
    </row>
    <row r="7611" spans="3:3" x14ac:dyDescent="0.35">
      <c r="C7611" s="82"/>
    </row>
    <row r="7612" spans="3:3" x14ac:dyDescent="0.35">
      <c r="C7612" s="82"/>
    </row>
    <row r="7613" spans="3:3" x14ac:dyDescent="0.35">
      <c r="C7613" s="82"/>
    </row>
    <row r="7614" spans="3:3" x14ac:dyDescent="0.35">
      <c r="C7614" s="82"/>
    </row>
    <row r="7615" spans="3:3" x14ac:dyDescent="0.35">
      <c r="C7615" s="82"/>
    </row>
    <row r="7616" spans="3:3" x14ac:dyDescent="0.35">
      <c r="C7616" s="82"/>
    </row>
    <row r="7617" spans="3:3" x14ac:dyDescent="0.35">
      <c r="C7617" s="82"/>
    </row>
    <row r="7618" spans="3:3" x14ac:dyDescent="0.35">
      <c r="C7618" s="82"/>
    </row>
    <row r="7619" spans="3:3" x14ac:dyDescent="0.35">
      <c r="C7619" s="82"/>
    </row>
    <row r="7620" spans="3:3" x14ac:dyDescent="0.35">
      <c r="C7620" s="82"/>
    </row>
    <row r="7621" spans="3:3" x14ac:dyDescent="0.35">
      <c r="C7621" s="82"/>
    </row>
    <row r="7622" spans="3:3" x14ac:dyDescent="0.35">
      <c r="C7622" s="82"/>
    </row>
    <row r="7623" spans="3:3" x14ac:dyDescent="0.35">
      <c r="C7623" s="82"/>
    </row>
    <row r="7624" spans="3:3" x14ac:dyDescent="0.35">
      <c r="C7624" s="82"/>
    </row>
    <row r="7625" spans="3:3" x14ac:dyDescent="0.35">
      <c r="C7625" s="82"/>
    </row>
    <row r="7626" spans="3:3" x14ac:dyDescent="0.35">
      <c r="C7626" s="82"/>
    </row>
    <row r="7627" spans="3:3" x14ac:dyDescent="0.35">
      <c r="C7627" s="82"/>
    </row>
    <row r="7628" spans="3:3" x14ac:dyDescent="0.35">
      <c r="C7628" s="82"/>
    </row>
    <row r="7629" spans="3:3" x14ac:dyDescent="0.35">
      <c r="C7629" s="82"/>
    </row>
    <row r="7630" spans="3:3" x14ac:dyDescent="0.35">
      <c r="C7630" s="82"/>
    </row>
    <row r="7631" spans="3:3" x14ac:dyDescent="0.35">
      <c r="C7631" s="82"/>
    </row>
    <row r="7632" spans="3:3" x14ac:dyDescent="0.35">
      <c r="C7632" s="82"/>
    </row>
    <row r="7633" spans="3:3" x14ac:dyDescent="0.35">
      <c r="C7633" s="82"/>
    </row>
    <row r="7634" spans="3:3" x14ac:dyDescent="0.35">
      <c r="C7634" s="82"/>
    </row>
    <row r="7635" spans="3:3" x14ac:dyDescent="0.35">
      <c r="C7635" s="82"/>
    </row>
    <row r="7636" spans="3:3" x14ac:dyDescent="0.35">
      <c r="C7636" s="82"/>
    </row>
    <row r="7637" spans="3:3" x14ac:dyDescent="0.35">
      <c r="C7637" s="82"/>
    </row>
    <row r="7638" spans="3:3" x14ac:dyDescent="0.35">
      <c r="C7638" s="82"/>
    </row>
    <row r="7639" spans="3:3" x14ac:dyDescent="0.35">
      <c r="C7639" s="82"/>
    </row>
    <row r="7640" spans="3:3" x14ac:dyDescent="0.35">
      <c r="C7640" s="82"/>
    </row>
    <row r="7641" spans="3:3" x14ac:dyDescent="0.35">
      <c r="C7641" s="82"/>
    </row>
    <row r="7642" spans="3:3" x14ac:dyDescent="0.35">
      <c r="C7642" s="82"/>
    </row>
    <row r="7643" spans="3:3" x14ac:dyDescent="0.35">
      <c r="C7643" s="82"/>
    </row>
    <row r="7644" spans="3:3" x14ac:dyDescent="0.35">
      <c r="C7644" s="82"/>
    </row>
    <row r="7645" spans="3:3" x14ac:dyDescent="0.35">
      <c r="C7645" s="82"/>
    </row>
    <row r="7646" spans="3:3" x14ac:dyDescent="0.35">
      <c r="C7646" s="82"/>
    </row>
    <row r="7647" spans="3:3" x14ac:dyDescent="0.35">
      <c r="C7647" s="82"/>
    </row>
    <row r="7648" spans="3:3" x14ac:dyDescent="0.35">
      <c r="C7648" s="82"/>
    </row>
    <row r="7649" spans="3:3" x14ac:dyDescent="0.35">
      <c r="C7649" s="82"/>
    </row>
    <row r="7650" spans="3:3" x14ac:dyDescent="0.35">
      <c r="C7650" s="82"/>
    </row>
    <row r="7651" spans="3:3" x14ac:dyDescent="0.35">
      <c r="C7651" s="82"/>
    </row>
    <row r="7652" spans="3:3" x14ac:dyDescent="0.35">
      <c r="C7652" s="82"/>
    </row>
    <row r="7653" spans="3:3" x14ac:dyDescent="0.35">
      <c r="C7653" s="82"/>
    </row>
    <row r="7654" spans="3:3" x14ac:dyDescent="0.35">
      <c r="C7654" s="82"/>
    </row>
    <row r="7655" spans="3:3" x14ac:dyDescent="0.35">
      <c r="C7655" s="82"/>
    </row>
    <row r="7656" spans="3:3" x14ac:dyDescent="0.35">
      <c r="C7656" s="82"/>
    </row>
    <row r="7657" spans="3:3" x14ac:dyDescent="0.35">
      <c r="C7657" s="82"/>
    </row>
    <row r="7658" spans="3:3" x14ac:dyDescent="0.35">
      <c r="C7658" s="82"/>
    </row>
    <row r="7659" spans="3:3" x14ac:dyDescent="0.35">
      <c r="C7659" s="82"/>
    </row>
    <row r="7660" spans="3:3" x14ac:dyDescent="0.35">
      <c r="C7660" s="82"/>
    </row>
    <row r="7661" spans="3:3" x14ac:dyDescent="0.35">
      <c r="C7661" s="82"/>
    </row>
    <row r="7662" spans="3:3" x14ac:dyDescent="0.35">
      <c r="C7662" s="82"/>
    </row>
    <row r="7663" spans="3:3" x14ac:dyDescent="0.35">
      <c r="C7663" s="82"/>
    </row>
    <row r="7664" spans="3:3" x14ac:dyDescent="0.35">
      <c r="C7664" s="82"/>
    </row>
    <row r="7665" spans="3:3" x14ac:dyDescent="0.35">
      <c r="C7665" s="82"/>
    </row>
    <row r="7666" spans="3:3" x14ac:dyDescent="0.35">
      <c r="C7666" s="82"/>
    </row>
    <row r="7667" spans="3:3" x14ac:dyDescent="0.35">
      <c r="C7667" s="82"/>
    </row>
    <row r="7668" spans="3:3" x14ac:dyDescent="0.35">
      <c r="C7668" s="82"/>
    </row>
    <row r="7669" spans="3:3" x14ac:dyDescent="0.35">
      <c r="C7669" s="82"/>
    </row>
    <row r="7670" spans="3:3" x14ac:dyDescent="0.35">
      <c r="C7670" s="82"/>
    </row>
    <row r="7671" spans="3:3" x14ac:dyDescent="0.35">
      <c r="C7671" s="82"/>
    </row>
    <row r="7672" spans="3:3" x14ac:dyDescent="0.35">
      <c r="C7672" s="82"/>
    </row>
    <row r="7673" spans="3:3" x14ac:dyDescent="0.35">
      <c r="C7673" s="82"/>
    </row>
    <row r="7674" spans="3:3" x14ac:dyDescent="0.35">
      <c r="C7674" s="82"/>
    </row>
    <row r="7675" spans="3:3" x14ac:dyDescent="0.35">
      <c r="C7675" s="82"/>
    </row>
    <row r="7676" spans="3:3" x14ac:dyDescent="0.35">
      <c r="C7676" s="82"/>
    </row>
    <row r="7677" spans="3:3" x14ac:dyDescent="0.35">
      <c r="C7677" s="82"/>
    </row>
    <row r="7678" spans="3:3" x14ac:dyDescent="0.35">
      <c r="C7678" s="82"/>
    </row>
    <row r="7679" spans="3:3" x14ac:dyDescent="0.35">
      <c r="C7679" s="82"/>
    </row>
    <row r="7680" spans="3:3" x14ac:dyDescent="0.35">
      <c r="C7680" s="82"/>
    </row>
    <row r="7681" spans="3:3" x14ac:dyDescent="0.35">
      <c r="C7681" s="82"/>
    </row>
    <row r="7682" spans="3:3" x14ac:dyDescent="0.35">
      <c r="C7682" s="82"/>
    </row>
    <row r="7683" spans="3:3" x14ac:dyDescent="0.35">
      <c r="C7683" s="82"/>
    </row>
    <row r="7684" spans="3:3" x14ac:dyDescent="0.35">
      <c r="C7684" s="82"/>
    </row>
    <row r="7685" spans="3:3" x14ac:dyDescent="0.35">
      <c r="C7685" s="82"/>
    </row>
    <row r="7686" spans="3:3" x14ac:dyDescent="0.35">
      <c r="C7686" s="82"/>
    </row>
    <row r="7687" spans="3:3" x14ac:dyDescent="0.35">
      <c r="C7687" s="82"/>
    </row>
    <row r="7688" spans="3:3" x14ac:dyDescent="0.35">
      <c r="C7688" s="82"/>
    </row>
    <row r="7689" spans="3:3" x14ac:dyDescent="0.35">
      <c r="C7689" s="82"/>
    </row>
    <row r="7690" spans="3:3" x14ac:dyDescent="0.35">
      <c r="C7690" s="82"/>
    </row>
    <row r="7691" spans="3:3" x14ac:dyDescent="0.35">
      <c r="C7691" s="82"/>
    </row>
    <row r="7692" spans="3:3" x14ac:dyDescent="0.35">
      <c r="C7692" s="82"/>
    </row>
    <row r="7693" spans="3:3" x14ac:dyDescent="0.35">
      <c r="C7693" s="82"/>
    </row>
    <row r="7694" spans="3:3" x14ac:dyDescent="0.35">
      <c r="C7694" s="82"/>
    </row>
    <row r="7695" spans="3:3" x14ac:dyDescent="0.35">
      <c r="C7695" s="82"/>
    </row>
    <row r="7696" spans="3:3" x14ac:dyDescent="0.35">
      <c r="C7696" s="82"/>
    </row>
    <row r="7697" spans="3:3" x14ac:dyDescent="0.35">
      <c r="C7697" s="82"/>
    </row>
    <row r="7698" spans="3:3" x14ac:dyDescent="0.35">
      <c r="C7698" s="82"/>
    </row>
    <row r="7699" spans="3:3" x14ac:dyDescent="0.35">
      <c r="C7699" s="82"/>
    </row>
    <row r="7700" spans="3:3" x14ac:dyDescent="0.35">
      <c r="C7700" s="82"/>
    </row>
    <row r="7701" spans="3:3" x14ac:dyDescent="0.35">
      <c r="C7701" s="82"/>
    </row>
    <row r="7702" spans="3:3" x14ac:dyDescent="0.35">
      <c r="C7702" s="82"/>
    </row>
    <row r="7703" spans="3:3" x14ac:dyDescent="0.35">
      <c r="C7703" s="82"/>
    </row>
    <row r="7704" spans="3:3" x14ac:dyDescent="0.35">
      <c r="C7704" s="82"/>
    </row>
    <row r="7705" spans="3:3" x14ac:dyDescent="0.35">
      <c r="C7705" s="82"/>
    </row>
    <row r="7706" spans="3:3" x14ac:dyDescent="0.35">
      <c r="C7706" s="82"/>
    </row>
    <row r="7707" spans="3:3" x14ac:dyDescent="0.35">
      <c r="C7707" s="82"/>
    </row>
    <row r="7708" spans="3:3" x14ac:dyDescent="0.35">
      <c r="C7708" s="82"/>
    </row>
    <row r="7709" spans="3:3" x14ac:dyDescent="0.35">
      <c r="C7709" s="82"/>
    </row>
    <row r="7710" spans="3:3" x14ac:dyDescent="0.35">
      <c r="C7710" s="82"/>
    </row>
    <row r="7711" spans="3:3" x14ac:dyDescent="0.35">
      <c r="C7711" s="82"/>
    </row>
    <row r="7712" spans="3:3" x14ac:dyDescent="0.35">
      <c r="C7712" s="82"/>
    </row>
    <row r="7713" spans="3:3" x14ac:dyDescent="0.35">
      <c r="C7713" s="82"/>
    </row>
    <row r="7714" spans="3:3" x14ac:dyDescent="0.35">
      <c r="C7714" s="82"/>
    </row>
    <row r="7715" spans="3:3" x14ac:dyDescent="0.35">
      <c r="C7715" s="82"/>
    </row>
    <row r="7716" spans="3:3" x14ac:dyDescent="0.35">
      <c r="C7716" s="82"/>
    </row>
    <row r="7717" spans="3:3" x14ac:dyDescent="0.35">
      <c r="C7717" s="82"/>
    </row>
    <row r="7718" spans="3:3" x14ac:dyDescent="0.35">
      <c r="C7718" s="82"/>
    </row>
    <row r="7719" spans="3:3" x14ac:dyDescent="0.35">
      <c r="C7719" s="82"/>
    </row>
    <row r="7720" spans="3:3" x14ac:dyDescent="0.35">
      <c r="C7720" s="82"/>
    </row>
    <row r="7721" spans="3:3" x14ac:dyDescent="0.35">
      <c r="C7721" s="82"/>
    </row>
    <row r="7722" spans="3:3" x14ac:dyDescent="0.35">
      <c r="C7722" s="82"/>
    </row>
    <row r="7723" spans="3:3" x14ac:dyDescent="0.35">
      <c r="C7723" s="82"/>
    </row>
    <row r="7724" spans="3:3" x14ac:dyDescent="0.35">
      <c r="C7724" s="82"/>
    </row>
    <row r="7725" spans="3:3" x14ac:dyDescent="0.35">
      <c r="C7725" s="82"/>
    </row>
    <row r="7726" spans="3:3" x14ac:dyDescent="0.35">
      <c r="C7726" s="82"/>
    </row>
    <row r="7727" spans="3:3" x14ac:dyDescent="0.35">
      <c r="C7727" s="82"/>
    </row>
    <row r="7728" spans="3:3" x14ac:dyDescent="0.35">
      <c r="C7728" s="82"/>
    </row>
    <row r="7729" spans="3:3" x14ac:dyDescent="0.35">
      <c r="C7729" s="82"/>
    </row>
    <row r="7730" spans="3:3" x14ac:dyDescent="0.35">
      <c r="C7730" s="82"/>
    </row>
    <row r="7731" spans="3:3" x14ac:dyDescent="0.35">
      <c r="C7731" s="82"/>
    </row>
    <row r="7732" spans="3:3" x14ac:dyDescent="0.35">
      <c r="C7732" s="82"/>
    </row>
    <row r="7733" spans="3:3" x14ac:dyDescent="0.35">
      <c r="C7733" s="82"/>
    </row>
    <row r="7734" spans="3:3" x14ac:dyDescent="0.35">
      <c r="C7734" s="82"/>
    </row>
    <row r="7735" spans="3:3" x14ac:dyDescent="0.35">
      <c r="C7735" s="82"/>
    </row>
    <row r="7736" spans="3:3" x14ac:dyDescent="0.35">
      <c r="C7736" s="82"/>
    </row>
    <row r="7737" spans="3:3" x14ac:dyDescent="0.35">
      <c r="C7737" s="82"/>
    </row>
    <row r="7738" spans="3:3" x14ac:dyDescent="0.35">
      <c r="C7738" s="82"/>
    </row>
    <row r="7739" spans="3:3" x14ac:dyDescent="0.35">
      <c r="C7739" s="82"/>
    </row>
    <row r="7740" spans="3:3" x14ac:dyDescent="0.35">
      <c r="C7740" s="82"/>
    </row>
    <row r="7741" spans="3:3" x14ac:dyDescent="0.35">
      <c r="C7741" s="82"/>
    </row>
    <row r="7742" spans="3:3" x14ac:dyDescent="0.35">
      <c r="C7742" s="82"/>
    </row>
    <row r="7743" spans="3:3" x14ac:dyDescent="0.35">
      <c r="C7743" s="82"/>
    </row>
    <row r="7744" spans="3:3" x14ac:dyDescent="0.35">
      <c r="C7744" s="82"/>
    </row>
    <row r="7745" spans="3:3" x14ac:dyDescent="0.35">
      <c r="C7745" s="82"/>
    </row>
    <row r="7746" spans="3:3" x14ac:dyDescent="0.35">
      <c r="C7746" s="82"/>
    </row>
    <row r="7747" spans="3:3" x14ac:dyDescent="0.35">
      <c r="C7747" s="82"/>
    </row>
    <row r="7748" spans="3:3" x14ac:dyDescent="0.35">
      <c r="C7748" s="82"/>
    </row>
    <row r="7749" spans="3:3" x14ac:dyDescent="0.35">
      <c r="C7749" s="82"/>
    </row>
    <row r="7750" spans="3:3" x14ac:dyDescent="0.35">
      <c r="C7750" s="82"/>
    </row>
    <row r="7751" spans="3:3" x14ac:dyDescent="0.35">
      <c r="C7751" s="82"/>
    </row>
    <row r="7752" spans="3:3" x14ac:dyDescent="0.35">
      <c r="C7752" s="82"/>
    </row>
    <row r="7753" spans="3:3" x14ac:dyDescent="0.35">
      <c r="C7753" s="82"/>
    </row>
    <row r="7754" spans="3:3" x14ac:dyDescent="0.35">
      <c r="C7754" s="82"/>
    </row>
    <row r="7755" spans="3:3" x14ac:dyDescent="0.35">
      <c r="C7755" s="82"/>
    </row>
    <row r="7756" spans="3:3" x14ac:dyDescent="0.35">
      <c r="C7756" s="82"/>
    </row>
    <row r="7757" spans="3:3" x14ac:dyDescent="0.35">
      <c r="C7757" s="82"/>
    </row>
    <row r="7758" spans="3:3" x14ac:dyDescent="0.35">
      <c r="C7758" s="82"/>
    </row>
    <row r="7759" spans="3:3" x14ac:dyDescent="0.35">
      <c r="C7759" s="82"/>
    </row>
    <row r="7760" spans="3:3" x14ac:dyDescent="0.35">
      <c r="C7760" s="82"/>
    </row>
    <row r="7761" spans="3:3" x14ac:dyDescent="0.35">
      <c r="C7761" s="82"/>
    </row>
    <row r="7762" spans="3:3" x14ac:dyDescent="0.35">
      <c r="C7762" s="82"/>
    </row>
    <row r="7763" spans="3:3" x14ac:dyDescent="0.35">
      <c r="C7763" s="82"/>
    </row>
    <row r="7764" spans="3:3" x14ac:dyDescent="0.35">
      <c r="C7764" s="82"/>
    </row>
    <row r="7765" spans="3:3" x14ac:dyDescent="0.35">
      <c r="C7765" s="82"/>
    </row>
    <row r="7766" spans="3:3" x14ac:dyDescent="0.35">
      <c r="C7766" s="82"/>
    </row>
    <row r="7767" spans="3:3" x14ac:dyDescent="0.35">
      <c r="C7767" s="82"/>
    </row>
    <row r="7768" spans="3:3" x14ac:dyDescent="0.35">
      <c r="C7768" s="82"/>
    </row>
    <row r="7769" spans="3:3" x14ac:dyDescent="0.35">
      <c r="C7769" s="82"/>
    </row>
    <row r="7770" spans="3:3" x14ac:dyDescent="0.35">
      <c r="C7770" s="82"/>
    </row>
    <row r="7771" spans="3:3" x14ac:dyDescent="0.35">
      <c r="C7771" s="82"/>
    </row>
    <row r="7772" spans="3:3" x14ac:dyDescent="0.35">
      <c r="C7772" s="82"/>
    </row>
    <row r="7773" spans="3:3" x14ac:dyDescent="0.35">
      <c r="C7773" s="82"/>
    </row>
    <row r="7774" spans="3:3" x14ac:dyDescent="0.35">
      <c r="C7774" s="82"/>
    </row>
    <row r="7775" spans="3:3" x14ac:dyDescent="0.35">
      <c r="C7775" s="82"/>
    </row>
    <row r="7776" spans="3:3" x14ac:dyDescent="0.35">
      <c r="C7776" s="82"/>
    </row>
    <row r="7777" spans="3:3" x14ac:dyDescent="0.35">
      <c r="C7777" s="82"/>
    </row>
    <row r="7778" spans="3:3" x14ac:dyDescent="0.35">
      <c r="C7778" s="82"/>
    </row>
    <row r="7779" spans="3:3" x14ac:dyDescent="0.35">
      <c r="C7779" s="82"/>
    </row>
    <row r="7780" spans="3:3" x14ac:dyDescent="0.35">
      <c r="C7780" s="82"/>
    </row>
    <row r="7781" spans="3:3" x14ac:dyDescent="0.35">
      <c r="C7781" s="82"/>
    </row>
    <row r="7782" spans="3:3" x14ac:dyDescent="0.35">
      <c r="C7782" s="82"/>
    </row>
    <row r="7783" spans="3:3" x14ac:dyDescent="0.35">
      <c r="C7783" s="82"/>
    </row>
    <row r="7784" spans="3:3" x14ac:dyDescent="0.35">
      <c r="C7784" s="82"/>
    </row>
    <row r="7785" spans="3:3" x14ac:dyDescent="0.35">
      <c r="C7785" s="82"/>
    </row>
    <row r="7786" spans="3:3" x14ac:dyDescent="0.35">
      <c r="C7786" s="82"/>
    </row>
    <row r="7787" spans="3:3" x14ac:dyDescent="0.35">
      <c r="C7787" s="82"/>
    </row>
    <row r="7788" spans="3:3" x14ac:dyDescent="0.35">
      <c r="C7788" s="82"/>
    </row>
    <row r="7789" spans="3:3" x14ac:dyDescent="0.35">
      <c r="C7789" s="82"/>
    </row>
    <row r="7790" spans="3:3" x14ac:dyDescent="0.35">
      <c r="C7790" s="82"/>
    </row>
    <row r="7791" spans="3:3" x14ac:dyDescent="0.35">
      <c r="C7791" s="82"/>
    </row>
    <row r="7792" spans="3:3" x14ac:dyDescent="0.35">
      <c r="C7792" s="82"/>
    </row>
    <row r="7793" spans="3:3" x14ac:dyDescent="0.35">
      <c r="C7793" s="82"/>
    </row>
    <row r="7794" spans="3:3" x14ac:dyDescent="0.35">
      <c r="C7794" s="82"/>
    </row>
    <row r="7795" spans="3:3" x14ac:dyDescent="0.35">
      <c r="C7795" s="82"/>
    </row>
    <row r="7796" spans="3:3" x14ac:dyDescent="0.35">
      <c r="C7796" s="82"/>
    </row>
    <row r="7797" spans="3:3" x14ac:dyDescent="0.35">
      <c r="C7797" s="82"/>
    </row>
    <row r="7798" spans="3:3" x14ac:dyDescent="0.35">
      <c r="C7798" s="82"/>
    </row>
    <row r="7799" spans="3:3" x14ac:dyDescent="0.35">
      <c r="C7799" s="82"/>
    </row>
    <row r="7800" spans="3:3" x14ac:dyDescent="0.35">
      <c r="C7800" s="82"/>
    </row>
    <row r="7801" spans="3:3" x14ac:dyDescent="0.35">
      <c r="C7801" s="82"/>
    </row>
    <row r="7802" spans="3:3" x14ac:dyDescent="0.35">
      <c r="C7802" s="82"/>
    </row>
    <row r="7803" spans="3:3" x14ac:dyDescent="0.35">
      <c r="C7803" s="82"/>
    </row>
    <row r="7804" spans="3:3" x14ac:dyDescent="0.35">
      <c r="C7804" s="82"/>
    </row>
    <row r="7805" spans="3:3" x14ac:dyDescent="0.35">
      <c r="C7805" s="82"/>
    </row>
    <row r="7806" spans="3:3" x14ac:dyDescent="0.35">
      <c r="C7806" s="82"/>
    </row>
    <row r="7807" spans="3:3" x14ac:dyDescent="0.35">
      <c r="C7807" s="82"/>
    </row>
    <row r="7808" spans="3:3" x14ac:dyDescent="0.35">
      <c r="C7808" s="82"/>
    </row>
    <row r="7809" spans="3:3" x14ac:dyDescent="0.35">
      <c r="C7809" s="82"/>
    </row>
    <row r="7810" spans="3:3" x14ac:dyDescent="0.35">
      <c r="C7810" s="82"/>
    </row>
    <row r="7811" spans="3:3" x14ac:dyDescent="0.35">
      <c r="C7811" s="82"/>
    </row>
    <row r="7812" spans="3:3" x14ac:dyDescent="0.35">
      <c r="C7812" s="82"/>
    </row>
    <row r="7813" spans="3:3" x14ac:dyDescent="0.35">
      <c r="C7813" s="82"/>
    </row>
    <row r="7814" spans="3:3" x14ac:dyDescent="0.35">
      <c r="C7814" s="82"/>
    </row>
    <row r="7815" spans="3:3" x14ac:dyDescent="0.35">
      <c r="C7815" s="82"/>
    </row>
    <row r="7816" spans="3:3" x14ac:dyDescent="0.35">
      <c r="C7816" s="82"/>
    </row>
    <row r="7817" spans="3:3" x14ac:dyDescent="0.35">
      <c r="C7817" s="82"/>
    </row>
    <row r="7818" spans="3:3" x14ac:dyDescent="0.35">
      <c r="C7818" s="82"/>
    </row>
    <row r="7819" spans="3:3" x14ac:dyDescent="0.35">
      <c r="C7819" s="82"/>
    </row>
    <row r="7820" spans="3:3" x14ac:dyDescent="0.35">
      <c r="C7820" s="82"/>
    </row>
    <row r="7821" spans="3:3" x14ac:dyDescent="0.35">
      <c r="C7821" s="82"/>
    </row>
    <row r="7822" spans="3:3" x14ac:dyDescent="0.35">
      <c r="C7822" s="82"/>
    </row>
    <row r="7823" spans="3:3" x14ac:dyDescent="0.35">
      <c r="C7823" s="82"/>
    </row>
    <row r="7824" spans="3:3" x14ac:dyDescent="0.35">
      <c r="C7824" s="82"/>
    </row>
    <row r="7825" spans="3:3" x14ac:dyDescent="0.35">
      <c r="C7825" s="82"/>
    </row>
    <row r="7826" spans="3:3" x14ac:dyDescent="0.35">
      <c r="C7826" s="82"/>
    </row>
    <row r="7827" spans="3:3" x14ac:dyDescent="0.35">
      <c r="C7827" s="82"/>
    </row>
    <row r="7828" spans="3:3" x14ac:dyDescent="0.35">
      <c r="C7828" s="82"/>
    </row>
    <row r="7829" spans="3:3" x14ac:dyDescent="0.35">
      <c r="C7829" s="82"/>
    </row>
    <row r="7830" spans="3:3" x14ac:dyDescent="0.35">
      <c r="C7830" s="82"/>
    </row>
    <row r="7831" spans="3:3" x14ac:dyDescent="0.35">
      <c r="C7831" s="82"/>
    </row>
    <row r="7832" spans="3:3" x14ac:dyDescent="0.35">
      <c r="C7832" s="82"/>
    </row>
    <row r="7833" spans="3:3" x14ac:dyDescent="0.35">
      <c r="C7833" s="82"/>
    </row>
    <row r="7834" spans="3:3" x14ac:dyDescent="0.35">
      <c r="C7834" s="82"/>
    </row>
    <row r="7835" spans="3:3" x14ac:dyDescent="0.35">
      <c r="C7835" s="82"/>
    </row>
    <row r="7836" spans="3:3" x14ac:dyDescent="0.35">
      <c r="C7836" s="82"/>
    </row>
    <row r="7837" spans="3:3" x14ac:dyDescent="0.35">
      <c r="C7837" s="82"/>
    </row>
    <row r="7838" spans="3:3" x14ac:dyDescent="0.35">
      <c r="C7838" s="82"/>
    </row>
    <row r="7839" spans="3:3" x14ac:dyDescent="0.35">
      <c r="C7839" s="82"/>
    </row>
    <row r="7840" spans="3:3" x14ac:dyDescent="0.35">
      <c r="C7840" s="82"/>
    </row>
    <row r="7841" spans="3:3" x14ac:dyDescent="0.35">
      <c r="C7841" s="82"/>
    </row>
    <row r="7842" spans="3:3" x14ac:dyDescent="0.35">
      <c r="C7842" s="82"/>
    </row>
    <row r="7843" spans="3:3" x14ac:dyDescent="0.35">
      <c r="C7843" s="82"/>
    </row>
    <row r="7844" spans="3:3" x14ac:dyDescent="0.35">
      <c r="C7844" s="82"/>
    </row>
    <row r="7845" spans="3:3" x14ac:dyDescent="0.35">
      <c r="C7845" s="82"/>
    </row>
    <row r="7846" spans="3:3" x14ac:dyDescent="0.35">
      <c r="C7846" s="82"/>
    </row>
    <row r="7847" spans="3:3" x14ac:dyDescent="0.35">
      <c r="C7847" s="82"/>
    </row>
    <row r="7848" spans="3:3" x14ac:dyDescent="0.35">
      <c r="C7848" s="82"/>
    </row>
    <row r="7849" spans="3:3" x14ac:dyDescent="0.35">
      <c r="C7849" s="82"/>
    </row>
    <row r="7850" spans="3:3" x14ac:dyDescent="0.35">
      <c r="C7850" s="82"/>
    </row>
    <row r="7851" spans="3:3" x14ac:dyDescent="0.35">
      <c r="C7851" s="82"/>
    </row>
    <row r="7852" spans="3:3" x14ac:dyDescent="0.35">
      <c r="C7852" s="82"/>
    </row>
    <row r="7853" spans="3:3" x14ac:dyDescent="0.35">
      <c r="C7853" s="82"/>
    </row>
    <row r="7854" spans="3:3" x14ac:dyDescent="0.35">
      <c r="C7854" s="82"/>
    </row>
    <row r="7855" spans="3:3" x14ac:dyDescent="0.35">
      <c r="C7855" s="82"/>
    </row>
    <row r="7856" spans="3:3" x14ac:dyDescent="0.35">
      <c r="C7856" s="82"/>
    </row>
    <row r="7857" spans="3:3" x14ac:dyDescent="0.35">
      <c r="C7857" s="82"/>
    </row>
    <row r="7858" spans="3:3" x14ac:dyDescent="0.35">
      <c r="C7858" s="82"/>
    </row>
    <row r="7859" spans="3:3" x14ac:dyDescent="0.35">
      <c r="C7859" s="82"/>
    </row>
    <row r="7860" spans="3:3" x14ac:dyDescent="0.35">
      <c r="C7860" s="82"/>
    </row>
    <row r="7861" spans="3:3" x14ac:dyDescent="0.35">
      <c r="C7861" s="82"/>
    </row>
    <row r="7862" spans="3:3" x14ac:dyDescent="0.35">
      <c r="C7862" s="82"/>
    </row>
    <row r="7863" spans="3:3" x14ac:dyDescent="0.35">
      <c r="C7863" s="82"/>
    </row>
    <row r="7864" spans="3:3" x14ac:dyDescent="0.35">
      <c r="C7864" s="82"/>
    </row>
    <row r="7865" spans="3:3" x14ac:dyDescent="0.35">
      <c r="C7865" s="82"/>
    </row>
    <row r="7866" spans="3:3" x14ac:dyDescent="0.35">
      <c r="C7866" s="82"/>
    </row>
    <row r="7867" spans="3:3" x14ac:dyDescent="0.35">
      <c r="C7867" s="82"/>
    </row>
    <row r="7868" spans="3:3" x14ac:dyDescent="0.35">
      <c r="C7868" s="82"/>
    </row>
    <row r="7869" spans="3:3" x14ac:dyDescent="0.35">
      <c r="C7869" s="82"/>
    </row>
    <row r="7870" spans="3:3" x14ac:dyDescent="0.35">
      <c r="C7870" s="82"/>
    </row>
    <row r="7871" spans="3:3" x14ac:dyDescent="0.35">
      <c r="C7871" s="82"/>
    </row>
    <row r="7872" spans="3:3" x14ac:dyDescent="0.35">
      <c r="C7872" s="82"/>
    </row>
    <row r="7873" spans="3:3" x14ac:dyDescent="0.35">
      <c r="C7873" s="82"/>
    </row>
    <row r="7874" spans="3:3" x14ac:dyDescent="0.35">
      <c r="C7874" s="82"/>
    </row>
    <row r="7875" spans="3:3" x14ac:dyDescent="0.35">
      <c r="C7875" s="82"/>
    </row>
    <row r="7876" spans="3:3" x14ac:dyDescent="0.35">
      <c r="C7876" s="82"/>
    </row>
    <row r="7877" spans="3:3" x14ac:dyDescent="0.35">
      <c r="C7877" s="82"/>
    </row>
    <row r="7878" spans="3:3" x14ac:dyDescent="0.35">
      <c r="C7878" s="82"/>
    </row>
    <row r="7879" spans="3:3" x14ac:dyDescent="0.35">
      <c r="C7879" s="82"/>
    </row>
    <row r="7880" spans="3:3" x14ac:dyDescent="0.35">
      <c r="C7880" s="82"/>
    </row>
    <row r="7881" spans="3:3" x14ac:dyDescent="0.35">
      <c r="C7881" s="82"/>
    </row>
    <row r="7882" spans="3:3" x14ac:dyDescent="0.35">
      <c r="C7882" s="82"/>
    </row>
    <row r="7883" spans="3:3" x14ac:dyDescent="0.35">
      <c r="C7883" s="82"/>
    </row>
    <row r="7884" spans="3:3" x14ac:dyDescent="0.35">
      <c r="C7884" s="82"/>
    </row>
    <row r="7885" spans="3:3" x14ac:dyDescent="0.35">
      <c r="C7885" s="82"/>
    </row>
    <row r="7886" spans="3:3" x14ac:dyDescent="0.35">
      <c r="C7886" s="82"/>
    </row>
    <row r="7887" spans="3:3" x14ac:dyDescent="0.35">
      <c r="C7887" s="82"/>
    </row>
    <row r="7888" spans="3:3" x14ac:dyDescent="0.35">
      <c r="C7888" s="82"/>
    </row>
    <row r="7889" spans="3:3" x14ac:dyDescent="0.35">
      <c r="C7889" s="82"/>
    </row>
    <row r="7890" spans="3:3" x14ac:dyDescent="0.35">
      <c r="C7890" s="82"/>
    </row>
    <row r="7891" spans="3:3" x14ac:dyDescent="0.35">
      <c r="C7891" s="82"/>
    </row>
    <row r="7892" spans="3:3" x14ac:dyDescent="0.35">
      <c r="C7892" s="82"/>
    </row>
    <row r="7893" spans="3:3" x14ac:dyDescent="0.35">
      <c r="C7893" s="82"/>
    </row>
    <row r="7894" spans="3:3" x14ac:dyDescent="0.35">
      <c r="C7894" s="82"/>
    </row>
    <row r="7895" spans="3:3" x14ac:dyDescent="0.35">
      <c r="C7895" s="82"/>
    </row>
    <row r="7896" spans="3:3" x14ac:dyDescent="0.35">
      <c r="C7896" s="82"/>
    </row>
    <row r="7897" spans="3:3" x14ac:dyDescent="0.35">
      <c r="C7897" s="82"/>
    </row>
    <row r="7898" spans="3:3" x14ac:dyDescent="0.35">
      <c r="C7898" s="82"/>
    </row>
    <row r="7899" spans="3:3" x14ac:dyDescent="0.35">
      <c r="C7899" s="82"/>
    </row>
    <row r="7900" spans="3:3" x14ac:dyDescent="0.35">
      <c r="C7900" s="82"/>
    </row>
    <row r="7901" spans="3:3" x14ac:dyDescent="0.35">
      <c r="C7901" s="82"/>
    </row>
    <row r="7902" spans="3:3" x14ac:dyDescent="0.35">
      <c r="C7902" s="82"/>
    </row>
    <row r="7903" spans="3:3" x14ac:dyDescent="0.35">
      <c r="C7903" s="82"/>
    </row>
    <row r="7904" spans="3:3" x14ac:dyDescent="0.35">
      <c r="C7904" s="82"/>
    </row>
    <row r="7905" spans="3:3" x14ac:dyDescent="0.35">
      <c r="C7905" s="82"/>
    </row>
    <row r="7906" spans="3:3" x14ac:dyDescent="0.35">
      <c r="C7906" s="82"/>
    </row>
    <row r="7907" spans="3:3" x14ac:dyDescent="0.35">
      <c r="C7907" s="82"/>
    </row>
    <row r="7908" spans="3:3" x14ac:dyDescent="0.35">
      <c r="C7908" s="82"/>
    </row>
    <row r="7909" spans="3:3" x14ac:dyDescent="0.35">
      <c r="C7909" s="82"/>
    </row>
    <row r="7910" spans="3:3" x14ac:dyDescent="0.35">
      <c r="C7910" s="82"/>
    </row>
    <row r="7911" spans="3:3" x14ac:dyDescent="0.35">
      <c r="C7911" s="82"/>
    </row>
    <row r="7912" spans="3:3" x14ac:dyDescent="0.35">
      <c r="C7912" s="82"/>
    </row>
    <row r="7913" spans="3:3" x14ac:dyDescent="0.35">
      <c r="C7913" s="82"/>
    </row>
    <row r="7914" spans="3:3" x14ac:dyDescent="0.35">
      <c r="C7914" s="82"/>
    </row>
    <row r="7915" spans="3:3" x14ac:dyDescent="0.35">
      <c r="C7915" s="82"/>
    </row>
    <row r="7916" spans="3:3" x14ac:dyDescent="0.35">
      <c r="C7916" s="82"/>
    </row>
    <row r="7917" spans="3:3" x14ac:dyDescent="0.35">
      <c r="C7917" s="82"/>
    </row>
    <row r="7918" spans="3:3" x14ac:dyDescent="0.35">
      <c r="C7918" s="82"/>
    </row>
    <row r="7919" spans="3:3" x14ac:dyDescent="0.35">
      <c r="C7919" s="82"/>
    </row>
    <row r="7920" spans="3:3" x14ac:dyDescent="0.35">
      <c r="C7920" s="82"/>
    </row>
    <row r="7921" spans="3:3" x14ac:dyDescent="0.35">
      <c r="C7921" s="82"/>
    </row>
    <row r="7922" spans="3:3" x14ac:dyDescent="0.35">
      <c r="C7922" s="82"/>
    </row>
    <row r="7923" spans="3:3" x14ac:dyDescent="0.35">
      <c r="C7923" s="82"/>
    </row>
    <row r="7924" spans="3:3" x14ac:dyDescent="0.35">
      <c r="C7924" s="82"/>
    </row>
    <row r="7925" spans="3:3" x14ac:dyDescent="0.35">
      <c r="C7925" s="82"/>
    </row>
    <row r="7926" spans="3:3" x14ac:dyDescent="0.35">
      <c r="C7926" s="82"/>
    </row>
    <row r="7927" spans="3:3" x14ac:dyDescent="0.35">
      <c r="C7927" s="82"/>
    </row>
    <row r="7928" spans="3:3" x14ac:dyDescent="0.35">
      <c r="C7928" s="82"/>
    </row>
    <row r="7929" spans="3:3" x14ac:dyDescent="0.35">
      <c r="C7929" s="82"/>
    </row>
    <row r="7930" spans="3:3" x14ac:dyDescent="0.35">
      <c r="C7930" s="82"/>
    </row>
    <row r="7931" spans="3:3" x14ac:dyDescent="0.35">
      <c r="C7931" s="82"/>
    </row>
    <row r="7932" spans="3:3" x14ac:dyDescent="0.35">
      <c r="C7932" s="82"/>
    </row>
    <row r="7933" spans="3:3" x14ac:dyDescent="0.35">
      <c r="C7933" s="82"/>
    </row>
    <row r="7934" spans="3:3" x14ac:dyDescent="0.35">
      <c r="C7934" s="82"/>
    </row>
    <row r="7935" spans="3:3" x14ac:dyDescent="0.35">
      <c r="C7935" s="82"/>
    </row>
    <row r="7936" spans="3:3" x14ac:dyDescent="0.35">
      <c r="C7936" s="82"/>
    </row>
    <row r="7937" spans="1:9" x14ac:dyDescent="0.35">
      <c r="C7937" s="82"/>
    </row>
    <row r="7938" spans="1:9" x14ac:dyDescent="0.35">
      <c r="C7938" s="82"/>
    </row>
    <row r="7939" spans="1:9" x14ac:dyDescent="0.35">
      <c r="C7939" s="82"/>
    </row>
    <row r="7940" spans="1:9" x14ac:dyDescent="0.35">
      <c r="C7940" s="82"/>
    </row>
    <row r="7941" spans="1:9" x14ac:dyDescent="0.35">
      <c r="C7941" s="82"/>
    </row>
    <row r="7942" spans="1:9" x14ac:dyDescent="0.35">
      <c r="C7942" s="82"/>
    </row>
    <row r="7943" spans="1:9" x14ac:dyDescent="0.35">
      <c r="C7943" s="82"/>
    </row>
    <row r="7944" spans="1:9" x14ac:dyDescent="0.35">
      <c r="C7944" s="82"/>
    </row>
    <row r="7945" spans="1:9" x14ac:dyDescent="0.35">
      <c r="C7945" s="82"/>
    </row>
    <row r="7946" spans="1:9" x14ac:dyDescent="0.35">
      <c r="C7946" s="82"/>
    </row>
    <row r="7947" spans="1:9" x14ac:dyDescent="0.35">
      <c r="C7947" s="82"/>
    </row>
    <row r="7948" spans="1:9" x14ac:dyDescent="0.35">
      <c r="C7948" s="82"/>
    </row>
    <row r="7949" spans="1:9" x14ac:dyDescent="0.35">
      <c r="C7949" s="82"/>
    </row>
    <row r="7950" spans="1:9" s="83" customFormat="1" x14ac:dyDescent="0.35">
      <c r="A7950" s="77"/>
      <c r="B7950" s="64"/>
      <c r="C7950" s="82"/>
      <c r="D7950" s="64"/>
      <c r="E7950" s="96"/>
      <c r="F7950" s="64"/>
      <c r="G7950" s="70"/>
      <c r="H7950" s="84"/>
      <c r="I7950" s="84"/>
    </row>
    <row r="7951" spans="1:9" s="83" customFormat="1" x14ac:dyDescent="0.35">
      <c r="A7951" s="77"/>
      <c r="B7951" s="64"/>
      <c r="C7951" s="82"/>
      <c r="D7951" s="64"/>
      <c r="E7951" s="96"/>
      <c r="F7951" s="64"/>
      <c r="G7951" s="70"/>
      <c r="H7951" s="84"/>
      <c r="I7951" s="84"/>
    </row>
    <row r="7952" spans="1:9" s="83" customFormat="1" x14ac:dyDescent="0.35">
      <c r="A7952" s="77"/>
      <c r="B7952" s="64"/>
      <c r="C7952" s="82"/>
      <c r="D7952" s="64"/>
      <c r="E7952" s="96"/>
      <c r="F7952" s="64"/>
      <c r="G7952" s="70"/>
      <c r="H7952" s="84"/>
      <c r="I7952" s="84"/>
    </row>
    <row r="7953" spans="1:9" s="83" customFormat="1" x14ac:dyDescent="0.35">
      <c r="A7953" s="77"/>
      <c r="B7953" s="64"/>
      <c r="C7953" s="82"/>
      <c r="D7953" s="64"/>
      <c r="E7953" s="96"/>
      <c r="F7953" s="64"/>
      <c r="G7953" s="70"/>
      <c r="H7953" s="84"/>
      <c r="I7953" s="84"/>
    </row>
    <row r="7954" spans="1:9" s="83" customFormat="1" x14ac:dyDescent="0.35">
      <c r="A7954" s="77"/>
      <c r="B7954" s="64"/>
      <c r="C7954" s="82"/>
      <c r="D7954" s="64"/>
      <c r="E7954" s="96"/>
      <c r="F7954" s="64"/>
      <c r="G7954" s="70"/>
      <c r="H7954" s="84"/>
      <c r="I7954" s="84"/>
    </row>
    <row r="7955" spans="1:9" s="83" customFormat="1" x14ac:dyDescent="0.35">
      <c r="A7955" s="77"/>
      <c r="B7955" s="64"/>
      <c r="C7955" s="82"/>
      <c r="D7955" s="64"/>
      <c r="E7955" s="96"/>
      <c r="F7955" s="64"/>
      <c r="G7955" s="70"/>
      <c r="H7955" s="84"/>
      <c r="I7955" s="84"/>
    </row>
    <row r="7956" spans="1:9" s="83" customFormat="1" x14ac:dyDescent="0.35">
      <c r="A7956" s="77"/>
      <c r="B7956" s="64"/>
      <c r="C7956" s="82"/>
      <c r="D7956" s="64"/>
      <c r="E7956" s="96"/>
      <c r="F7956" s="64"/>
      <c r="G7956" s="70"/>
      <c r="H7956" s="84"/>
      <c r="I7956" s="84"/>
    </row>
    <row r="7957" spans="1:9" s="83" customFormat="1" x14ac:dyDescent="0.35">
      <c r="A7957" s="77"/>
      <c r="B7957" s="64"/>
      <c r="C7957" s="82"/>
      <c r="D7957" s="64"/>
      <c r="E7957" s="96"/>
      <c r="F7957" s="64"/>
      <c r="G7957" s="70"/>
      <c r="H7957" s="84"/>
      <c r="I7957" s="84"/>
    </row>
    <row r="7958" spans="1:9" s="83" customFormat="1" x14ac:dyDescent="0.35">
      <c r="A7958" s="77"/>
      <c r="B7958" s="64"/>
      <c r="C7958" s="82"/>
      <c r="D7958" s="64"/>
      <c r="E7958" s="96"/>
      <c r="F7958" s="64"/>
      <c r="G7958" s="70"/>
      <c r="H7958" s="84"/>
      <c r="I7958" s="84"/>
    </row>
    <row r="7959" spans="1:9" s="83" customFormat="1" x14ac:dyDescent="0.35">
      <c r="A7959" s="77"/>
      <c r="B7959" s="64"/>
      <c r="C7959" s="82"/>
      <c r="D7959" s="64"/>
      <c r="E7959" s="96"/>
      <c r="F7959" s="64"/>
      <c r="G7959" s="70"/>
      <c r="H7959" s="84"/>
      <c r="I7959" s="84"/>
    </row>
    <row r="7960" spans="1:9" s="83" customFormat="1" x14ac:dyDescent="0.35">
      <c r="A7960" s="77"/>
      <c r="B7960" s="64"/>
      <c r="C7960" s="82"/>
      <c r="D7960" s="64"/>
      <c r="E7960" s="96"/>
      <c r="F7960" s="64"/>
      <c r="G7960" s="70"/>
      <c r="H7960" s="84"/>
      <c r="I7960" s="84"/>
    </row>
    <row r="7961" spans="1:9" s="83" customFormat="1" x14ac:dyDescent="0.35">
      <c r="A7961" s="77"/>
      <c r="B7961" s="64"/>
      <c r="C7961" s="82"/>
      <c r="D7961" s="86"/>
      <c r="E7961" s="96"/>
      <c r="F7961" s="64"/>
      <c r="G7961" s="70"/>
      <c r="H7961" s="84"/>
      <c r="I7961" s="84"/>
    </row>
    <row r="7962" spans="1:9" s="83" customFormat="1" x14ac:dyDescent="0.35">
      <c r="A7962" s="77"/>
      <c r="B7962" s="64"/>
      <c r="C7962" s="82"/>
      <c r="D7962" s="64"/>
      <c r="E7962" s="96"/>
      <c r="F7962" s="64"/>
      <c r="G7962" s="70"/>
      <c r="H7962" s="84"/>
      <c r="I7962" s="84"/>
    </row>
    <row r="7963" spans="1:9" s="83" customFormat="1" x14ac:dyDescent="0.35">
      <c r="A7963" s="77"/>
      <c r="B7963" s="64"/>
      <c r="C7963" s="82"/>
      <c r="D7963" s="64"/>
      <c r="E7963" s="96"/>
      <c r="F7963" s="64"/>
      <c r="G7963" s="70"/>
      <c r="H7963" s="84"/>
      <c r="I7963" s="84"/>
    </row>
    <row r="7964" spans="1:9" s="83" customFormat="1" x14ac:dyDescent="0.35">
      <c r="A7964" s="77"/>
      <c r="B7964" s="64"/>
      <c r="C7964" s="82"/>
      <c r="D7964" s="64"/>
      <c r="E7964" s="96"/>
      <c r="F7964" s="64"/>
      <c r="G7964" s="70"/>
      <c r="H7964" s="84"/>
      <c r="I7964" s="84"/>
    </row>
    <row r="7965" spans="1:9" s="83" customFormat="1" x14ac:dyDescent="0.35">
      <c r="A7965" s="77"/>
      <c r="B7965" s="64"/>
      <c r="C7965" s="82"/>
      <c r="D7965" s="64"/>
      <c r="E7965" s="96"/>
      <c r="F7965" s="64"/>
      <c r="G7965" s="70"/>
      <c r="H7965" s="84"/>
      <c r="I7965" s="84"/>
    </row>
    <row r="7966" spans="1:9" x14ac:dyDescent="0.35">
      <c r="C7966" s="82"/>
    </row>
    <row r="7967" spans="1:9" x14ac:dyDescent="0.35">
      <c r="C7967" s="82"/>
    </row>
    <row r="7968" spans="1:9" x14ac:dyDescent="0.35">
      <c r="C7968" s="82"/>
    </row>
    <row r="7969" spans="1:9" x14ac:dyDescent="0.35">
      <c r="C7969" s="82"/>
    </row>
    <row r="7970" spans="1:9" x14ac:dyDescent="0.35">
      <c r="C7970" s="82"/>
    </row>
    <row r="7971" spans="1:9" x14ac:dyDescent="0.35">
      <c r="C7971" s="82"/>
    </row>
    <row r="7972" spans="1:9" x14ac:dyDescent="0.35">
      <c r="C7972" s="82"/>
    </row>
    <row r="7973" spans="1:9" x14ac:dyDescent="0.35">
      <c r="C7973" s="82"/>
    </row>
    <row r="7974" spans="1:9" x14ac:dyDescent="0.35">
      <c r="C7974" s="82"/>
    </row>
    <row r="7975" spans="1:9" x14ac:dyDescent="0.35">
      <c r="C7975" s="82"/>
    </row>
    <row r="7976" spans="1:9" x14ac:dyDescent="0.35">
      <c r="C7976" s="82"/>
    </row>
    <row r="7977" spans="1:9" x14ac:dyDescent="0.35">
      <c r="C7977" s="82"/>
    </row>
    <row r="7978" spans="1:9" x14ac:dyDescent="0.35">
      <c r="C7978" s="82"/>
    </row>
    <row r="7979" spans="1:9" x14ac:dyDescent="0.35">
      <c r="C7979" s="82"/>
    </row>
    <row r="7980" spans="1:9" x14ac:dyDescent="0.35">
      <c r="C7980" s="82"/>
    </row>
    <row r="7981" spans="1:9" x14ac:dyDescent="0.35">
      <c r="C7981" s="82"/>
    </row>
    <row r="7982" spans="1:9" s="83" customFormat="1" x14ac:dyDescent="0.35">
      <c r="A7982" s="77"/>
      <c r="B7982" s="64"/>
      <c r="C7982" s="82"/>
      <c r="D7982" s="64"/>
      <c r="E7982" s="96"/>
      <c r="F7982" s="64"/>
      <c r="G7982" s="70"/>
      <c r="H7982" s="84"/>
      <c r="I7982" s="84"/>
    </row>
    <row r="7983" spans="1:9" s="83" customFormat="1" x14ac:dyDescent="0.35">
      <c r="A7983" s="77"/>
      <c r="B7983" s="64"/>
      <c r="C7983" s="82"/>
      <c r="D7983" s="64"/>
      <c r="E7983" s="96"/>
      <c r="F7983" s="64"/>
      <c r="G7983" s="70"/>
      <c r="H7983" s="84"/>
      <c r="I7983" s="84"/>
    </row>
    <row r="7984" spans="1:9" s="83" customFormat="1" x14ac:dyDescent="0.35">
      <c r="A7984" s="77"/>
      <c r="B7984" s="64"/>
      <c r="C7984" s="82"/>
      <c r="D7984" s="64"/>
      <c r="E7984" s="96"/>
      <c r="F7984" s="64"/>
      <c r="G7984" s="70"/>
      <c r="H7984" s="84"/>
      <c r="I7984" s="84"/>
    </row>
    <row r="7985" spans="1:9" s="83" customFormat="1" x14ac:dyDescent="0.35">
      <c r="A7985" s="77"/>
      <c r="B7985" s="64"/>
      <c r="C7985" s="82"/>
      <c r="D7985" s="64"/>
      <c r="E7985" s="96"/>
      <c r="F7985" s="64"/>
      <c r="G7985" s="70"/>
      <c r="H7985" s="84"/>
      <c r="I7985" s="84"/>
    </row>
    <row r="7986" spans="1:9" s="83" customFormat="1" x14ac:dyDescent="0.35">
      <c r="A7986" s="77"/>
      <c r="B7986" s="64"/>
      <c r="C7986" s="82"/>
      <c r="D7986" s="64"/>
      <c r="E7986" s="96"/>
      <c r="F7986" s="64"/>
      <c r="G7986" s="70"/>
      <c r="H7986" s="84"/>
      <c r="I7986" s="84"/>
    </row>
    <row r="7987" spans="1:9" s="83" customFormat="1" x14ac:dyDescent="0.35">
      <c r="A7987" s="77"/>
      <c r="B7987" s="64"/>
      <c r="C7987" s="82"/>
      <c r="D7987" s="64"/>
      <c r="E7987" s="96"/>
      <c r="F7987" s="64"/>
      <c r="G7987" s="70"/>
      <c r="H7987" s="84"/>
      <c r="I7987" s="84"/>
    </row>
    <row r="7988" spans="1:9" s="83" customFormat="1" x14ac:dyDescent="0.35">
      <c r="A7988" s="77"/>
      <c r="B7988" s="64"/>
      <c r="C7988" s="82"/>
      <c r="D7988" s="64"/>
      <c r="E7988" s="96"/>
      <c r="F7988" s="64"/>
      <c r="G7988" s="70"/>
      <c r="H7988" s="84"/>
      <c r="I7988" s="84"/>
    </row>
    <row r="7989" spans="1:9" s="83" customFormat="1" x14ac:dyDescent="0.35">
      <c r="A7989" s="77"/>
      <c r="B7989" s="64"/>
      <c r="C7989" s="82"/>
      <c r="D7989" s="64"/>
      <c r="E7989" s="96"/>
      <c r="F7989" s="64"/>
      <c r="G7989" s="70"/>
      <c r="H7989" s="84"/>
      <c r="I7989" s="84"/>
    </row>
    <row r="7990" spans="1:9" s="83" customFormat="1" x14ac:dyDescent="0.35">
      <c r="A7990" s="77"/>
      <c r="B7990" s="64"/>
      <c r="C7990" s="82"/>
      <c r="D7990" s="64"/>
      <c r="E7990" s="96"/>
      <c r="F7990" s="64"/>
      <c r="G7990" s="70"/>
      <c r="H7990" s="84"/>
      <c r="I7990" s="84"/>
    </row>
    <row r="7991" spans="1:9" s="83" customFormat="1" x14ac:dyDescent="0.35">
      <c r="A7991" s="77"/>
      <c r="B7991" s="64"/>
      <c r="C7991" s="82"/>
      <c r="D7991" s="64"/>
      <c r="E7991" s="96"/>
      <c r="F7991" s="64"/>
      <c r="G7991" s="70"/>
      <c r="H7991" s="84"/>
      <c r="I7991" s="84"/>
    </row>
    <row r="7992" spans="1:9" s="83" customFormat="1" x14ac:dyDescent="0.35">
      <c r="A7992" s="77"/>
      <c r="B7992" s="64"/>
      <c r="C7992" s="82"/>
      <c r="D7992" s="64"/>
      <c r="E7992" s="96"/>
      <c r="F7992" s="64"/>
      <c r="G7992" s="70"/>
      <c r="H7992" s="84"/>
      <c r="I7992" s="84"/>
    </row>
    <row r="7993" spans="1:9" s="83" customFormat="1" x14ac:dyDescent="0.35">
      <c r="A7993" s="77"/>
      <c r="B7993" s="64"/>
      <c r="C7993" s="82"/>
      <c r="D7993" s="64"/>
      <c r="E7993" s="96"/>
      <c r="F7993" s="64"/>
      <c r="G7993" s="70"/>
      <c r="H7993" s="84"/>
      <c r="I7993" s="84"/>
    </row>
    <row r="7994" spans="1:9" s="83" customFormat="1" x14ac:dyDescent="0.35">
      <c r="A7994" s="77"/>
      <c r="B7994" s="64"/>
      <c r="C7994" s="82"/>
      <c r="D7994" s="64"/>
      <c r="E7994" s="96"/>
      <c r="F7994" s="64"/>
      <c r="G7994" s="70"/>
      <c r="H7994" s="84"/>
      <c r="I7994" s="84"/>
    </row>
    <row r="7995" spans="1:9" s="83" customFormat="1" x14ac:dyDescent="0.35">
      <c r="A7995" s="77"/>
      <c r="B7995" s="64"/>
      <c r="C7995" s="82"/>
      <c r="D7995" s="64"/>
      <c r="E7995" s="96"/>
      <c r="F7995" s="64"/>
      <c r="G7995" s="70"/>
      <c r="H7995" s="84"/>
      <c r="I7995" s="84"/>
    </row>
    <row r="7996" spans="1:9" s="83" customFormat="1" x14ac:dyDescent="0.35">
      <c r="A7996" s="77"/>
      <c r="B7996" s="64"/>
      <c r="C7996" s="82"/>
      <c r="D7996" s="64"/>
      <c r="E7996" s="96"/>
      <c r="F7996" s="64"/>
      <c r="G7996" s="70"/>
      <c r="H7996" s="84"/>
      <c r="I7996" s="84"/>
    </row>
    <row r="7997" spans="1:9" s="83" customFormat="1" x14ac:dyDescent="0.35">
      <c r="A7997" s="77"/>
      <c r="B7997" s="64"/>
      <c r="C7997" s="87"/>
      <c r="D7997" s="86"/>
      <c r="E7997" s="96"/>
      <c r="F7997" s="64"/>
      <c r="G7997" s="70"/>
      <c r="H7997" s="84"/>
      <c r="I7997" s="84"/>
    </row>
    <row r="7998" spans="1:9" x14ac:dyDescent="0.35">
      <c r="C7998" s="82"/>
    </row>
    <row r="7999" spans="1:9" x14ac:dyDescent="0.35">
      <c r="C7999" s="82"/>
    </row>
    <row r="8000" spans="1:9" x14ac:dyDescent="0.35">
      <c r="C8000" s="82"/>
    </row>
    <row r="8001" spans="1:9" x14ac:dyDescent="0.35">
      <c r="C8001" s="82"/>
    </row>
    <row r="8002" spans="1:9" x14ac:dyDescent="0.35">
      <c r="C8002" s="82"/>
    </row>
    <row r="8003" spans="1:9" x14ac:dyDescent="0.35">
      <c r="C8003" s="82"/>
    </row>
    <row r="8004" spans="1:9" x14ac:dyDescent="0.35">
      <c r="C8004" s="82"/>
    </row>
    <row r="8005" spans="1:9" x14ac:dyDescent="0.35">
      <c r="C8005" s="82"/>
    </row>
    <row r="8006" spans="1:9" x14ac:dyDescent="0.35">
      <c r="C8006" s="82"/>
    </row>
    <row r="8007" spans="1:9" x14ac:dyDescent="0.35">
      <c r="C8007" s="82"/>
    </row>
    <row r="8008" spans="1:9" x14ac:dyDescent="0.35">
      <c r="C8008" s="82"/>
    </row>
    <row r="8009" spans="1:9" x14ac:dyDescent="0.35">
      <c r="C8009" s="82"/>
    </row>
    <row r="8010" spans="1:9" x14ac:dyDescent="0.35">
      <c r="C8010" s="82"/>
    </row>
    <row r="8011" spans="1:9" x14ac:dyDescent="0.35">
      <c r="C8011" s="82"/>
    </row>
    <row r="8012" spans="1:9" x14ac:dyDescent="0.35">
      <c r="C8012" s="82"/>
    </row>
    <row r="8013" spans="1:9" x14ac:dyDescent="0.35">
      <c r="C8013" s="82"/>
    </row>
    <row r="8014" spans="1:9" s="83" customFormat="1" x14ac:dyDescent="0.35">
      <c r="A8014" s="77"/>
      <c r="B8014" s="64"/>
      <c r="C8014" s="82"/>
      <c r="D8014" s="64"/>
      <c r="E8014" s="96"/>
      <c r="F8014" s="64"/>
      <c r="G8014" s="70"/>
      <c r="H8014" s="84"/>
      <c r="I8014" s="84"/>
    </row>
    <row r="8015" spans="1:9" s="83" customFormat="1" x14ac:dyDescent="0.35">
      <c r="A8015" s="77"/>
      <c r="B8015" s="64"/>
      <c r="C8015" s="82"/>
      <c r="D8015" s="64"/>
      <c r="E8015" s="96"/>
      <c r="F8015" s="64"/>
      <c r="G8015" s="70"/>
      <c r="H8015" s="84"/>
      <c r="I8015" s="84"/>
    </row>
    <row r="8016" spans="1:9" s="83" customFormat="1" x14ac:dyDescent="0.35">
      <c r="A8016" s="77"/>
      <c r="B8016" s="64"/>
      <c r="C8016" s="82"/>
      <c r="D8016" s="64"/>
      <c r="E8016" s="96"/>
      <c r="F8016" s="64"/>
      <c r="G8016" s="70"/>
      <c r="H8016" s="84"/>
      <c r="I8016" s="84"/>
    </row>
    <row r="8017" spans="1:9" s="83" customFormat="1" x14ac:dyDescent="0.35">
      <c r="A8017" s="77"/>
      <c r="B8017" s="64"/>
      <c r="C8017" s="82"/>
      <c r="D8017" s="86"/>
      <c r="E8017" s="96"/>
      <c r="F8017" s="64"/>
      <c r="G8017" s="70"/>
      <c r="H8017" s="84"/>
      <c r="I8017" s="84"/>
    </row>
    <row r="8018" spans="1:9" s="83" customFormat="1" x14ac:dyDescent="0.35">
      <c r="A8018" s="77"/>
      <c r="B8018" s="64"/>
      <c r="C8018" s="82"/>
      <c r="D8018" s="86"/>
      <c r="E8018" s="96"/>
      <c r="F8018" s="64"/>
      <c r="G8018" s="70"/>
      <c r="H8018" s="84"/>
      <c r="I8018" s="84"/>
    </row>
    <row r="8019" spans="1:9" s="83" customFormat="1" x14ac:dyDescent="0.35">
      <c r="A8019" s="77"/>
      <c r="B8019" s="64"/>
      <c r="C8019" s="82"/>
      <c r="D8019" s="64"/>
      <c r="E8019" s="96"/>
      <c r="F8019" s="64"/>
      <c r="G8019" s="70"/>
      <c r="H8019" s="84"/>
      <c r="I8019" s="84"/>
    </row>
    <row r="8020" spans="1:9" s="83" customFormat="1" x14ac:dyDescent="0.35">
      <c r="A8020" s="77"/>
      <c r="B8020" s="64"/>
      <c r="C8020" s="82"/>
      <c r="D8020" s="64"/>
      <c r="E8020" s="96"/>
      <c r="F8020" s="64"/>
      <c r="G8020" s="70"/>
      <c r="H8020" s="84"/>
      <c r="I8020" s="84"/>
    </row>
    <row r="8021" spans="1:9" s="83" customFormat="1" x14ac:dyDescent="0.35">
      <c r="A8021" s="77"/>
      <c r="B8021" s="64"/>
      <c r="C8021" s="82"/>
      <c r="D8021" s="64"/>
      <c r="E8021" s="96"/>
      <c r="F8021" s="64"/>
      <c r="G8021" s="70"/>
      <c r="H8021" s="84"/>
      <c r="I8021" s="84"/>
    </row>
    <row r="8022" spans="1:9" s="83" customFormat="1" x14ac:dyDescent="0.35">
      <c r="A8022" s="77"/>
      <c r="B8022" s="64"/>
      <c r="C8022" s="82"/>
      <c r="D8022" s="64"/>
      <c r="E8022" s="96"/>
      <c r="F8022" s="64"/>
      <c r="G8022" s="70"/>
      <c r="H8022" s="84"/>
      <c r="I8022" s="84"/>
    </row>
    <row r="8023" spans="1:9" s="83" customFormat="1" x14ac:dyDescent="0.35">
      <c r="A8023" s="77"/>
      <c r="B8023" s="64"/>
      <c r="C8023" s="82"/>
      <c r="D8023" s="64"/>
      <c r="E8023" s="96"/>
      <c r="F8023" s="64"/>
      <c r="G8023" s="70"/>
      <c r="H8023" s="84"/>
      <c r="I8023" s="84"/>
    </row>
    <row r="8024" spans="1:9" s="83" customFormat="1" x14ac:dyDescent="0.35">
      <c r="A8024" s="77"/>
      <c r="B8024" s="64"/>
      <c r="C8024" s="82"/>
      <c r="D8024" s="64"/>
      <c r="E8024" s="96"/>
      <c r="F8024" s="64"/>
      <c r="G8024" s="70"/>
      <c r="H8024" s="84"/>
      <c r="I8024" s="84"/>
    </row>
    <row r="8025" spans="1:9" s="83" customFormat="1" x14ac:dyDescent="0.35">
      <c r="A8025" s="77"/>
      <c r="B8025" s="64"/>
      <c r="C8025" s="82"/>
      <c r="D8025" s="64"/>
      <c r="E8025" s="96"/>
      <c r="F8025" s="64"/>
      <c r="G8025" s="70"/>
      <c r="H8025" s="84"/>
      <c r="I8025" s="84"/>
    </row>
    <row r="8026" spans="1:9" s="83" customFormat="1" x14ac:dyDescent="0.35">
      <c r="A8026" s="77"/>
      <c r="B8026" s="64"/>
      <c r="C8026" s="82"/>
      <c r="D8026" s="64"/>
      <c r="E8026" s="96"/>
      <c r="F8026" s="64"/>
      <c r="G8026" s="70"/>
      <c r="H8026" s="84"/>
      <c r="I8026" s="84"/>
    </row>
    <row r="8027" spans="1:9" s="83" customFormat="1" x14ac:dyDescent="0.35">
      <c r="A8027" s="77"/>
      <c r="B8027" s="64"/>
      <c r="C8027" s="82"/>
      <c r="D8027" s="64"/>
      <c r="E8027" s="96"/>
      <c r="F8027" s="64"/>
      <c r="G8027" s="70"/>
      <c r="H8027" s="84"/>
      <c r="I8027" s="84"/>
    </row>
    <row r="8028" spans="1:9" s="83" customFormat="1" x14ac:dyDescent="0.35">
      <c r="A8028" s="77"/>
      <c r="B8028" s="64"/>
      <c r="C8028" s="82"/>
      <c r="D8028" s="64"/>
      <c r="E8028" s="96"/>
      <c r="F8028" s="64"/>
      <c r="G8028" s="70"/>
      <c r="H8028" s="84"/>
      <c r="I8028" s="84"/>
    </row>
    <row r="8029" spans="1:9" s="83" customFormat="1" x14ac:dyDescent="0.35">
      <c r="A8029" s="77"/>
      <c r="B8029" s="64"/>
      <c r="C8029" s="82"/>
      <c r="D8029" s="64"/>
      <c r="E8029" s="96"/>
      <c r="F8029" s="64"/>
      <c r="G8029" s="70"/>
      <c r="H8029" s="84"/>
      <c r="I8029" s="84"/>
    </row>
    <row r="8030" spans="1:9" s="83" customFormat="1" x14ac:dyDescent="0.35">
      <c r="A8030" s="77"/>
      <c r="B8030" s="64"/>
      <c r="C8030" s="82"/>
      <c r="D8030" s="64"/>
      <c r="E8030" s="96"/>
      <c r="F8030" s="64"/>
      <c r="G8030" s="70"/>
      <c r="H8030" s="84"/>
      <c r="I8030" s="84"/>
    </row>
    <row r="8031" spans="1:9" s="83" customFormat="1" x14ac:dyDescent="0.35">
      <c r="A8031" s="77"/>
      <c r="B8031" s="64"/>
      <c r="C8031" s="82"/>
      <c r="D8031" s="64"/>
      <c r="E8031" s="96"/>
      <c r="F8031" s="64"/>
      <c r="G8031" s="70"/>
      <c r="H8031" s="84"/>
      <c r="I8031" s="84"/>
    </row>
    <row r="8032" spans="1:9" s="83" customFormat="1" x14ac:dyDescent="0.35">
      <c r="A8032" s="77"/>
      <c r="B8032" s="64"/>
      <c r="C8032" s="82"/>
      <c r="D8032" s="86"/>
      <c r="E8032" s="96"/>
      <c r="F8032" s="64"/>
      <c r="G8032" s="70"/>
      <c r="H8032" s="84"/>
      <c r="I8032" s="84"/>
    </row>
    <row r="8033" spans="1:9" s="83" customFormat="1" x14ac:dyDescent="0.35">
      <c r="A8033" s="77"/>
      <c r="B8033" s="64"/>
      <c r="C8033" s="82"/>
      <c r="D8033" s="64"/>
      <c r="E8033" s="96"/>
      <c r="F8033" s="64"/>
      <c r="G8033" s="70"/>
      <c r="H8033" s="84"/>
      <c r="I8033" s="84"/>
    </row>
    <row r="8034" spans="1:9" s="83" customFormat="1" x14ac:dyDescent="0.35">
      <c r="A8034" s="77"/>
      <c r="B8034" s="64"/>
      <c r="C8034" s="82"/>
      <c r="D8034" s="64"/>
      <c r="E8034" s="96"/>
      <c r="F8034" s="64"/>
      <c r="G8034" s="70"/>
      <c r="H8034" s="84"/>
      <c r="I8034" s="84"/>
    </row>
    <row r="8035" spans="1:9" s="83" customFormat="1" x14ac:dyDescent="0.35">
      <c r="A8035" s="77"/>
      <c r="B8035" s="64"/>
      <c r="C8035" s="82"/>
      <c r="D8035" s="64"/>
      <c r="E8035" s="96"/>
      <c r="F8035" s="64"/>
      <c r="G8035" s="70"/>
      <c r="H8035" s="84"/>
      <c r="I8035" s="84"/>
    </row>
    <row r="8036" spans="1:9" s="83" customFormat="1" x14ac:dyDescent="0.35">
      <c r="A8036" s="77"/>
      <c r="B8036" s="64"/>
      <c r="C8036" s="82"/>
      <c r="D8036" s="64"/>
      <c r="E8036" s="96"/>
      <c r="F8036" s="64"/>
      <c r="G8036" s="70"/>
      <c r="H8036" s="84"/>
      <c r="I8036" s="84"/>
    </row>
    <row r="8037" spans="1:9" s="83" customFormat="1" x14ac:dyDescent="0.35">
      <c r="A8037" s="77"/>
      <c r="B8037" s="64"/>
      <c r="C8037" s="82"/>
      <c r="D8037" s="64"/>
      <c r="E8037" s="96"/>
      <c r="F8037" s="64"/>
      <c r="G8037" s="70"/>
      <c r="H8037" s="84"/>
      <c r="I8037" s="84"/>
    </row>
    <row r="8038" spans="1:9" s="83" customFormat="1" x14ac:dyDescent="0.35">
      <c r="A8038" s="77"/>
      <c r="B8038" s="64"/>
      <c r="C8038" s="82"/>
      <c r="D8038" s="64"/>
      <c r="E8038" s="96"/>
      <c r="F8038" s="64"/>
      <c r="G8038" s="70"/>
      <c r="H8038" s="84"/>
      <c r="I8038" s="84"/>
    </row>
    <row r="8039" spans="1:9" s="83" customFormat="1" x14ac:dyDescent="0.35">
      <c r="A8039" s="77"/>
      <c r="B8039" s="64"/>
      <c r="C8039" s="82"/>
      <c r="D8039" s="64"/>
      <c r="E8039" s="96"/>
      <c r="F8039" s="64"/>
      <c r="G8039" s="70"/>
      <c r="H8039" s="84"/>
      <c r="I8039" s="84"/>
    </row>
    <row r="8040" spans="1:9" s="83" customFormat="1" x14ac:dyDescent="0.35">
      <c r="A8040" s="77"/>
      <c r="B8040" s="64"/>
      <c r="C8040" s="82"/>
      <c r="D8040" s="64"/>
      <c r="E8040" s="96"/>
      <c r="F8040" s="64"/>
      <c r="G8040" s="70"/>
      <c r="H8040" s="84"/>
      <c r="I8040" s="84"/>
    </row>
    <row r="8041" spans="1:9" s="83" customFormat="1" x14ac:dyDescent="0.35">
      <c r="A8041" s="77"/>
      <c r="B8041" s="64"/>
      <c r="C8041" s="82"/>
      <c r="D8041" s="64"/>
      <c r="E8041" s="96"/>
      <c r="F8041" s="64"/>
      <c r="G8041" s="70"/>
      <c r="H8041" s="84"/>
      <c r="I8041" s="84"/>
    </row>
    <row r="8042" spans="1:9" s="83" customFormat="1" x14ac:dyDescent="0.35">
      <c r="A8042" s="77"/>
      <c r="B8042" s="64"/>
      <c r="C8042" s="82"/>
      <c r="D8042" s="64"/>
      <c r="E8042" s="96"/>
      <c r="F8042" s="64"/>
      <c r="G8042" s="70"/>
      <c r="H8042" s="84"/>
      <c r="I8042" s="84"/>
    </row>
    <row r="8043" spans="1:9" s="83" customFormat="1" x14ac:dyDescent="0.35">
      <c r="A8043" s="77"/>
      <c r="B8043" s="64"/>
      <c r="C8043" s="82"/>
      <c r="D8043" s="64"/>
      <c r="E8043" s="96"/>
      <c r="F8043" s="64"/>
      <c r="G8043" s="70"/>
      <c r="H8043" s="84"/>
      <c r="I8043" s="84"/>
    </row>
    <row r="8044" spans="1:9" s="83" customFormat="1" x14ac:dyDescent="0.35">
      <c r="A8044" s="77"/>
      <c r="B8044" s="64"/>
      <c r="C8044" s="82"/>
      <c r="D8044" s="64"/>
      <c r="E8044" s="96"/>
      <c r="F8044" s="64"/>
      <c r="G8044" s="70"/>
      <c r="H8044" s="84"/>
      <c r="I8044" s="84"/>
    </row>
    <row r="8045" spans="1:9" s="83" customFormat="1" x14ac:dyDescent="0.35">
      <c r="A8045" s="77"/>
      <c r="B8045" s="64"/>
      <c r="C8045" s="82"/>
      <c r="D8045" s="64"/>
      <c r="E8045" s="96"/>
      <c r="F8045" s="64"/>
      <c r="G8045" s="70"/>
      <c r="H8045" s="84"/>
      <c r="I8045" s="84"/>
    </row>
    <row r="8046" spans="1:9" x14ac:dyDescent="0.35">
      <c r="C8046" s="82"/>
    </row>
    <row r="8047" spans="1:9" x14ac:dyDescent="0.35">
      <c r="C8047" s="82"/>
    </row>
    <row r="8048" spans="1:9" x14ac:dyDescent="0.35">
      <c r="C8048" s="82"/>
    </row>
    <row r="8049" spans="1:7" x14ac:dyDescent="0.35">
      <c r="C8049" s="82"/>
    </row>
    <row r="8050" spans="1:7" x14ac:dyDescent="0.35">
      <c r="C8050" s="82"/>
    </row>
    <row r="8051" spans="1:7" x14ac:dyDescent="0.35">
      <c r="C8051" s="82"/>
    </row>
    <row r="8052" spans="1:7" x14ac:dyDescent="0.35">
      <c r="C8052" s="82"/>
    </row>
    <row r="8053" spans="1:7" x14ac:dyDescent="0.35">
      <c r="C8053" s="82"/>
    </row>
    <row r="8054" spans="1:7" x14ac:dyDescent="0.35">
      <c r="C8054" s="82"/>
    </row>
    <row r="8055" spans="1:7" x14ac:dyDescent="0.35">
      <c r="C8055" s="82"/>
    </row>
    <row r="8056" spans="1:7" x14ac:dyDescent="0.35">
      <c r="C8056" s="82"/>
    </row>
    <row r="8057" spans="1:7" x14ac:dyDescent="0.35">
      <c r="C8057" s="82"/>
    </row>
    <row r="8058" spans="1:7" x14ac:dyDescent="0.35">
      <c r="C8058" s="82"/>
    </row>
    <row r="8059" spans="1:7" x14ac:dyDescent="0.35">
      <c r="C8059" s="82"/>
    </row>
    <row r="8060" spans="1:7" x14ac:dyDescent="0.35">
      <c r="C8060" s="82"/>
    </row>
    <row r="8061" spans="1:7" x14ac:dyDescent="0.35">
      <c r="C8061" s="82"/>
    </row>
    <row r="8062" spans="1:7" s="84" customFormat="1" x14ac:dyDescent="0.35">
      <c r="A8062" s="77"/>
      <c r="B8062" s="64"/>
      <c r="C8062" s="82"/>
      <c r="D8062" s="64"/>
      <c r="E8062" s="96"/>
      <c r="F8062" s="64"/>
      <c r="G8062" s="70"/>
    </row>
    <row r="8063" spans="1:7" s="84" customFormat="1" x14ac:dyDescent="0.35">
      <c r="A8063" s="77"/>
      <c r="B8063" s="64"/>
      <c r="C8063" s="82"/>
      <c r="D8063" s="64"/>
      <c r="E8063" s="96"/>
      <c r="F8063" s="64"/>
      <c r="G8063" s="70"/>
    </row>
    <row r="8064" spans="1:7" s="84" customFormat="1" x14ac:dyDescent="0.35">
      <c r="A8064" s="77"/>
      <c r="B8064" s="64"/>
      <c r="C8064" s="82"/>
      <c r="D8064" s="64"/>
      <c r="E8064" s="96"/>
      <c r="F8064" s="64"/>
      <c r="G8064" s="70"/>
    </row>
    <row r="8065" spans="1:7" s="84" customFormat="1" x14ac:dyDescent="0.35">
      <c r="A8065" s="77"/>
      <c r="B8065" s="64"/>
      <c r="C8065" s="82"/>
      <c r="D8065" s="64"/>
      <c r="E8065" s="96"/>
      <c r="F8065" s="64"/>
      <c r="G8065" s="70"/>
    </row>
    <row r="8066" spans="1:7" s="84" customFormat="1" x14ac:dyDescent="0.35">
      <c r="A8066" s="77"/>
      <c r="B8066" s="64"/>
      <c r="C8066" s="82"/>
      <c r="D8066" s="64"/>
      <c r="E8066" s="96"/>
      <c r="F8066" s="64"/>
      <c r="G8066" s="85"/>
    </row>
    <row r="8067" spans="1:7" s="84" customFormat="1" x14ac:dyDescent="0.35">
      <c r="A8067" s="77"/>
      <c r="B8067" s="64"/>
      <c r="C8067" s="82"/>
      <c r="D8067" s="64"/>
      <c r="E8067" s="96"/>
      <c r="F8067" s="64"/>
      <c r="G8067" s="70"/>
    </row>
    <row r="8068" spans="1:7" s="84" customFormat="1" x14ac:dyDescent="0.35">
      <c r="A8068" s="77"/>
      <c r="B8068" s="64"/>
      <c r="C8068" s="82"/>
      <c r="D8068" s="64"/>
      <c r="E8068" s="96"/>
      <c r="F8068" s="64"/>
      <c r="G8068" s="70"/>
    </row>
    <row r="8069" spans="1:7" s="84" customFormat="1" x14ac:dyDescent="0.35">
      <c r="A8069" s="77"/>
      <c r="B8069" s="64"/>
      <c r="C8069" s="82"/>
      <c r="D8069" s="64"/>
      <c r="E8069" s="96"/>
      <c r="F8069" s="64"/>
      <c r="G8069" s="70"/>
    </row>
    <row r="8070" spans="1:7" s="84" customFormat="1" x14ac:dyDescent="0.35">
      <c r="A8070" s="77"/>
      <c r="B8070" s="64"/>
      <c r="C8070" s="82"/>
      <c r="D8070" s="64"/>
      <c r="E8070" s="96"/>
      <c r="F8070" s="64"/>
      <c r="G8070" s="70"/>
    </row>
    <row r="8071" spans="1:7" s="84" customFormat="1" x14ac:dyDescent="0.35">
      <c r="A8071" s="77"/>
      <c r="B8071" s="64"/>
      <c r="C8071" s="82"/>
      <c r="D8071" s="64"/>
      <c r="E8071" s="96"/>
      <c r="F8071" s="64"/>
      <c r="G8071" s="70"/>
    </row>
    <row r="8072" spans="1:7" s="84" customFormat="1" x14ac:dyDescent="0.35">
      <c r="A8072" s="77"/>
      <c r="B8072" s="64"/>
      <c r="C8072" s="82"/>
      <c r="D8072" s="64"/>
      <c r="E8072" s="96"/>
      <c r="F8072" s="64"/>
      <c r="G8072" s="70"/>
    </row>
    <row r="8073" spans="1:7" s="84" customFormat="1" x14ac:dyDescent="0.35">
      <c r="A8073" s="77"/>
      <c r="B8073" s="64"/>
      <c r="C8073" s="82"/>
      <c r="D8073" s="64"/>
      <c r="E8073" s="96"/>
      <c r="F8073" s="64"/>
      <c r="G8073" s="70"/>
    </row>
    <row r="8074" spans="1:7" s="84" customFormat="1" x14ac:dyDescent="0.35">
      <c r="A8074" s="77"/>
      <c r="B8074" s="64"/>
      <c r="C8074" s="82"/>
      <c r="D8074" s="64"/>
      <c r="E8074" s="96"/>
      <c r="F8074" s="64"/>
      <c r="G8074" s="70"/>
    </row>
    <row r="8075" spans="1:7" s="84" customFormat="1" x14ac:dyDescent="0.35">
      <c r="A8075" s="77"/>
      <c r="B8075" s="64"/>
      <c r="C8075" s="82"/>
      <c r="D8075" s="64"/>
      <c r="E8075" s="96"/>
      <c r="F8075" s="64"/>
      <c r="G8075" s="70"/>
    </row>
    <row r="8076" spans="1:7" s="84" customFormat="1" x14ac:dyDescent="0.35">
      <c r="A8076" s="77"/>
      <c r="B8076" s="64"/>
      <c r="C8076" s="82"/>
      <c r="D8076" s="64"/>
      <c r="E8076" s="96"/>
      <c r="F8076" s="64"/>
      <c r="G8076" s="70"/>
    </row>
    <row r="8077" spans="1:7" s="84" customFormat="1" x14ac:dyDescent="0.35">
      <c r="A8077" s="77"/>
      <c r="B8077" s="64"/>
      <c r="C8077" s="82"/>
      <c r="D8077" s="64"/>
      <c r="E8077" s="96"/>
      <c r="F8077" s="64"/>
      <c r="G8077" s="70"/>
    </row>
    <row r="8078" spans="1:7" x14ac:dyDescent="0.35">
      <c r="C8078" s="82"/>
    </row>
    <row r="8079" spans="1:7" x14ac:dyDescent="0.35">
      <c r="C8079" s="82"/>
    </row>
    <row r="8080" spans="1:7" x14ac:dyDescent="0.35">
      <c r="C8080" s="82"/>
    </row>
    <row r="8081" spans="3:3" x14ac:dyDescent="0.35">
      <c r="C8081" s="82"/>
    </row>
    <row r="8082" spans="3:3" x14ac:dyDescent="0.35">
      <c r="C8082" s="82"/>
    </row>
    <row r="8083" spans="3:3" x14ac:dyDescent="0.35">
      <c r="C8083" s="82"/>
    </row>
    <row r="8084" spans="3:3" x14ac:dyDescent="0.35">
      <c r="C8084" s="82"/>
    </row>
    <row r="8085" spans="3:3" x14ac:dyDescent="0.35">
      <c r="C8085" s="82"/>
    </row>
    <row r="8086" spans="3:3" x14ac:dyDescent="0.35">
      <c r="C8086" s="82"/>
    </row>
    <row r="8087" spans="3:3" x14ac:dyDescent="0.35">
      <c r="C8087" s="82"/>
    </row>
    <row r="8088" spans="3:3" x14ac:dyDescent="0.35">
      <c r="C8088" s="82"/>
    </row>
    <row r="8089" spans="3:3" x14ac:dyDescent="0.35">
      <c r="C8089" s="82"/>
    </row>
    <row r="8090" spans="3:3" x14ac:dyDescent="0.35">
      <c r="C8090" s="82"/>
    </row>
    <row r="8091" spans="3:3" x14ac:dyDescent="0.35">
      <c r="C8091" s="82"/>
    </row>
    <row r="8092" spans="3:3" x14ac:dyDescent="0.35">
      <c r="C8092" s="82"/>
    </row>
    <row r="8093" spans="3:3" x14ac:dyDescent="0.35">
      <c r="C8093" s="82"/>
    </row>
    <row r="8094" spans="3:3" x14ac:dyDescent="0.35">
      <c r="C8094" s="82"/>
    </row>
    <row r="8095" spans="3:3" x14ac:dyDescent="0.35">
      <c r="C8095" s="82"/>
    </row>
    <row r="8096" spans="3:3" x14ac:dyDescent="0.35">
      <c r="C8096" s="82"/>
    </row>
    <row r="8097" spans="3:3" x14ac:dyDescent="0.35">
      <c r="C8097" s="82"/>
    </row>
    <row r="8098" spans="3:3" x14ac:dyDescent="0.35">
      <c r="C8098" s="82"/>
    </row>
    <row r="8099" spans="3:3" x14ac:dyDescent="0.35">
      <c r="C8099" s="82"/>
    </row>
    <row r="8100" spans="3:3" x14ac:dyDescent="0.35">
      <c r="C8100" s="82"/>
    </row>
    <row r="8101" spans="3:3" x14ac:dyDescent="0.35">
      <c r="C8101" s="82"/>
    </row>
    <row r="8102" spans="3:3" x14ac:dyDescent="0.35">
      <c r="C8102" s="82"/>
    </row>
    <row r="8103" spans="3:3" x14ac:dyDescent="0.35">
      <c r="C8103" s="82"/>
    </row>
    <row r="8104" spans="3:3" x14ac:dyDescent="0.35">
      <c r="C8104" s="82"/>
    </row>
    <row r="8105" spans="3:3" x14ac:dyDescent="0.35">
      <c r="C8105" s="82"/>
    </row>
    <row r="8106" spans="3:3" x14ac:dyDescent="0.35">
      <c r="C8106" s="82"/>
    </row>
    <row r="8107" spans="3:3" x14ac:dyDescent="0.35">
      <c r="C8107" s="82"/>
    </row>
    <row r="8108" spans="3:3" x14ac:dyDescent="0.35">
      <c r="C8108" s="82"/>
    </row>
    <row r="8109" spans="3:3" x14ac:dyDescent="0.35">
      <c r="C8109" s="82"/>
    </row>
    <row r="8110" spans="3:3" x14ac:dyDescent="0.35">
      <c r="C8110" s="82"/>
    </row>
    <row r="8111" spans="3:3" x14ac:dyDescent="0.35">
      <c r="C8111" s="82"/>
    </row>
    <row r="8112" spans="3:3" x14ac:dyDescent="0.35">
      <c r="C8112" s="82"/>
    </row>
    <row r="8113" spans="1:9" x14ac:dyDescent="0.35">
      <c r="C8113" s="82"/>
    </row>
    <row r="8114" spans="1:9" x14ac:dyDescent="0.35">
      <c r="C8114" s="82"/>
    </row>
    <row r="8115" spans="1:9" x14ac:dyDescent="0.35">
      <c r="C8115" s="82"/>
    </row>
    <row r="8116" spans="1:9" x14ac:dyDescent="0.35">
      <c r="C8116" s="82"/>
    </row>
    <row r="8117" spans="1:9" x14ac:dyDescent="0.35">
      <c r="C8117" s="82"/>
    </row>
    <row r="8118" spans="1:9" x14ac:dyDescent="0.35">
      <c r="C8118" s="82"/>
    </row>
    <row r="8119" spans="1:9" x14ac:dyDescent="0.35">
      <c r="C8119" s="82"/>
    </row>
    <row r="8120" spans="1:9" x14ac:dyDescent="0.35">
      <c r="C8120" s="82"/>
    </row>
    <row r="8121" spans="1:9" x14ac:dyDescent="0.35">
      <c r="C8121" s="82"/>
    </row>
    <row r="8122" spans="1:9" x14ac:dyDescent="0.35">
      <c r="C8122" s="82"/>
    </row>
    <row r="8123" spans="1:9" x14ac:dyDescent="0.35">
      <c r="C8123" s="82"/>
    </row>
    <row r="8124" spans="1:9" x14ac:dyDescent="0.35">
      <c r="C8124" s="82"/>
    </row>
    <row r="8125" spans="1:9" x14ac:dyDescent="0.35">
      <c r="C8125" s="82"/>
    </row>
    <row r="8126" spans="1:9" s="83" customFormat="1" x14ac:dyDescent="0.35">
      <c r="A8126" s="77"/>
      <c r="B8126" s="64"/>
      <c r="C8126" s="82"/>
      <c r="D8126" s="64"/>
      <c r="E8126" s="96"/>
      <c r="F8126" s="64"/>
      <c r="G8126" s="70"/>
      <c r="H8126" s="84"/>
      <c r="I8126" s="84"/>
    </row>
    <row r="8127" spans="1:9" s="83" customFormat="1" x14ac:dyDescent="0.35">
      <c r="A8127" s="77"/>
      <c r="B8127" s="64"/>
      <c r="C8127" s="82"/>
      <c r="D8127" s="64"/>
      <c r="E8127" s="96"/>
      <c r="F8127" s="64"/>
      <c r="G8127" s="70"/>
      <c r="H8127" s="84"/>
      <c r="I8127" s="84"/>
    </row>
    <row r="8128" spans="1:9" s="83" customFormat="1" x14ac:dyDescent="0.35">
      <c r="A8128" s="77"/>
      <c r="B8128" s="64"/>
      <c r="C8128" s="82"/>
      <c r="D8128" s="64"/>
      <c r="E8128" s="96"/>
      <c r="F8128" s="64"/>
      <c r="G8128" s="70"/>
      <c r="H8128" s="84"/>
      <c r="I8128" s="84"/>
    </row>
    <row r="8129" spans="1:9" s="83" customFormat="1" x14ac:dyDescent="0.35">
      <c r="A8129" s="77"/>
      <c r="B8129" s="64"/>
      <c r="C8129" s="82"/>
      <c r="D8129" s="64"/>
      <c r="E8129" s="96"/>
      <c r="F8129" s="64"/>
      <c r="G8129" s="70"/>
      <c r="H8129" s="84"/>
      <c r="I8129" s="84"/>
    </row>
    <row r="8130" spans="1:9" s="83" customFormat="1" x14ac:dyDescent="0.35">
      <c r="A8130" s="77"/>
      <c r="B8130" s="64"/>
      <c r="C8130" s="82"/>
      <c r="D8130" s="64"/>
      <c r="E8130" s="96"/>
      <c r="F8130" s="64"/>
      <c r="G8130" s="70"/>
      <c r="H8130" s="84"/>
      <c r="I8130" s="84"/>
    </row>
    <row r="8131" spans="1:9" s="83" customFormat="1" x14ac:dyDescent="0.35">
      <c r="A8131" s="77"/>
      <c r="B8131" s="64"/>
      <c r="C8131" s="82"/>
      <c r="D8131" s="64"/>
      <c r="E8131" s="96"/>
      <c r="F8131" s="64"/>
      <c r="G8131" s="70"/>
      <c r="H8131" s="84"/>
      <c r="I8131" s="84"/>
    </row>
    <row r="8132" spans="1:9" s="83" customFormat="1" x14ac:dyDescent="0.35">
      <c r="A8132" s="77"/>
      <c r="B8132" s="64"/>
      <c r="C8132" s="82"/>
      <c r="D8132" s="64"/>
      <c r="E8132" s="96"/>
      <c r="F8132" s="64"/>
      <c r="G8132" s="70"/>
      <c r="H8132" s="84"/>
      <c r="I8132" s="84"/>
    </row>
    <row r="8133" spans="1:9" s="83" customFormat="1" x14ac:dyDescent="0.35">
      <c r="A8133" s="77"/>
      <c r="B8133" s="64"/>
      <c r="C8133" s="82"/>
      <c r="D8133" s="64"/>
      <c r="E8133" s="96"/>
      <c r="F8133" s="64"/>
      <c r="G8133" s="70"/>
      <c r="H8133" s="84"/>
      <c r="I8133" s="84"/>
    </row>
    <row r="8134" spans="1:9" s="83" customFormat="1" x14ac:dyDescent="0.35">
      <c r="A8134" s="77"/>
      <c r="B8134" s="64"/>
      <c r="C8134" s="82"/>
      <c r="D8134" s="64"/>
      <c r="E8134" s="96"/>
      <c r="F8134" s="64"/>
      <c r="G8134" s="70"/>
      <c r="H8134" s="84"/>
      <c r="I8134" s="84"/>
    </row>
    <row r="8135" spans="1:9" s="83" customFormat="1" x14ac:dyDescent="0.35">
      <c r="A8135" s="77"/>
      <c r="B8135" s="64"/>
      <c r="C8135" s="82"/>
      <c r="D8135" s="86"/>
      <c r="E8135" s="96"/>
      <c r="F8135" s="64"/>
      <c r="G8135" s="70"/>
      <c r="H8135" s="84"/>
      <c r="I8135" s="84"/>
    </row>
    <row r="8136" spans="1:9" s="83" customFormat="1" x14ac:dyDescent="0.35">
      <c r="A8136" s="77"/>
      <c r="B8136" s="64"/>
      <c r="C8136" s="82"/>
      <c r="D8136" s="64"/>
      <c r="E8136" s="96"/>
      <c r="F8136" s="64"/>
      <c r="G8136" s="70"/>
      <c r="H8136" s="84"/>
      <c r="I8136" s="84"/>
    </row>
    <row r="8137" spans="1:9" s="83" customFormat="1" x14ac:dyDescent="0.35">
      <c r="A8137" s="77"/>
      <c r="B8137" s="64"/>
      <c r="C8137" s="82"/>
      <c r="D8137" s="64"/>
      <c r="E8137" s="96"/>
      <c r="F8137" s="64"/>
      <c r="G8137" s="70"/>
      <c r="H8137" s="84"/>
      <c r="I8137" s="84"/>
    </row>
    <row r="8138" spans="1:9" s="83" customFormat="1" x14ac:dyDescent="0.35">
      <c r="A8138" s="77"/>
      <c r="B8138" s="64"/>
      <c r="C8138" s="82"/>
      <c r="D8138" s="64"/>
      <c r="E8138" s="96"/>
      <c r="F8138" s="64"/>
      <c r="G8138" s="70"/>
      <c r="H8138" s="84"/>
      <c r="I8138" s="84"/>
    </row>
    <row r="8139" spans="1:9" s="83" customFormat="1" x14ac:dyDescent="0.35">
      <c r="A8139" s="77"/>
      <c r="B8139" s="64"/>
      <c r="C8139" s="82"/>
      <c r="D8139" s="64"/>
      <c r="E8139" s="96"/>
      <c r="F8139" s="64"/>
      <c r="G8139" s="70"/>
      <c r="H8139" s="84"/>
      <c r="I8139" s="84"/>
    </row>
    <row r="8140" spans="1:9" s="83" customFormat="1" x14ac:dyDescent="0.35">
      <c r="A8140" s="77"/>
      <c r="B8140" s="64"/>
      <c r="C8140" s="82"/>
      <c r="D8140" s="64"/>
      <c r="E8140" s="96"/>
      <c r="F8140" s="64"/>
      <c r="G8140" s="70"/>
      <c r="H8140" s="84"/>
      <c r="I8140" s="84"/>
    </row>
    <row r="8141" spans="1:9" s="83" customFormat="1" x14ac:dyDescent="0.35">
      <c r="A8141" s="77"/>
      <c r="B8141" s="64"/>
      <c r="C8141" s="82"/>
      <c r="D8141" s="64"/>
      <c r="E8141" s="96"/>
      <c r="F8141" s="64"/>
      <c r="G8141" s="70"/>
      <c r="H8141" s="84"/>
      <c r="I8141" s="84"/>
    </row>
    <row r="8142" spans="1:9" s="83" customFormat="1" x14ac:dyDescent="0.35">
      <c r="A8142" s="77"/>
      <c r="B8142" s="64"/>
      <c r="C8142" s="82"/>
      <c r="D8142" s="64"/>
      <c r="E8142" s="96"/>
      <c r="F8142" s="64"/>
      <c r="G8142" s="70"/>
      <c r="H8142" s="84"/>
      <c r="I8142" s="84"/>
    </row>
    <row r="8143" spans="1:9" s="83" customFormat="1" x14ac:dyDescent="0.35">
      <c r="A8143" s="77"/>
      <c r="B8143" s="64"/>
      <c r="C8143" s="82"/>
      <c r="D8143" s="64"/>
      <c r="E8143" s="96"/>
      <c r="F8143" s="64"/>
      <c r="G8143" s="70"/>
      <c r="H8143" s="84"/>
      <c r="I8143" s="84"/>
    </row>
    <row r="8144" spans="1:9" s="83" customFormat="1" x14ac:dyDescent="0.35">
      <c r="A8144" s="77"/>
      <c r="B8144" s="64"/>
      <c r="C8144" s="82"/>
      <c r="D8144" s="64"/>
      <c r="E8144" s="96"/>
      <c r="F8144" s="64"/>
      <c r="G8144" s="70"/>
      <c r="H8144" s="84"/>
      <c r="I8144" s="84"/>
    </row>
    <row r="8145" spans="1:9" s="83" customFormat="1" x14ac:dyDescent="0.35">
      <c r="A8145" s="77"/>
      <c r="B8145" s="64"/>
      <c r="C8145" s="82"/>
      <c r="D8145" s="64"/>
      <c r="E8145" s="96"/>
      <c r="F8145" s="64"/>
      <c r="G8145" s="70"/>
      <c r="H8145" s="84"/>
      <c r="I8145" s="84"/>
    </row>
    <row r="8146" spans="1:9" s="83" customFormat="1" x14ac:dyDescent="0.35">
      <c r="A8146" s="77"/>
      <c r="B8146" s="64"/>
      <c r="C8146" s="82"/>
      <c r="D8146" s="64"/>
      <c r="E8146" s="96"/>
      <c r="F8146" s="64"/>
      <c r="G8146" s="70"/>
      <c r="H8146" s="84"/>
      <c r="I8146" s="84"/>
    </row>
    <row r="8147" spans="1:9" s="83" customFormat="1" x14ac:dyDescent="0.35">
      <c r="A8147" s="77"/>
      <c r="B8147" s="64"/>
      <c r="C8147" s="82"/>
      <c r="D8147" s="64"/>
      <c r="E8147" s="96"/>
      <c r="F8147" s="64"/>
      <c r="G8147" s="70"/>
      <c r="H8147" s="84"/>
      <c r="I8147" s="84"/>
    </row>
    <row r="8148" spans="1:9" s="83" customFormat="1" x14ac:dyDescent="0.35">
      <c r="A8148" s="77"/>
      <c r="B8148" s="64"/>
      <c r="C8148" s="82"/>
      <c r="D8148" s="64"/>
      <c r="E8148" s="96"/>
      <c r="F8148" s="64"/>
      <c r="G8148" s="70"/>
      <c r="H8148" s="84"/>
      <c r="I8148" s="84"/>
    </row>
    <row r="8149" spans="1:9" s="83" customFormat="1" x14ac:dyDescent="0.35">
      <c r="A8149" s="77"/>
      <c r="B8149" s="64"/>
      <c r="C8149" s="82"/>
      <c r="D8149" s="64"/>
      <c r="E8149" s="96"/>
      <c r="F8149" s="64"/>
      <c r="G8149" s="70"/>
      <c r="H8149" s="84"/>
      <c r="I8149" s="84"/>
    </row>
    <row r="8150" spans="1:9" s="83" customFormat="1" x14ac:dyDescent="0.35">
      <c r="A8150" s="77"/>
      <c r="B8150" s="64"/>
      <c r="C8150" s="82"/>
      <c r="D8150" s="64"/>
      <c r="E8150" s="96"/>
      <c r="F8150" s="64"/>
      <c r="G8150" s="70"/>
      <c r="H8150" s="84"/>
      <c r="I8150" s="84"/>
    </row>
    <row r="8151" spans="1:9" s="83" customFormat="1" x14ac:dyDescent="0.35">
      <c r="A8151" s="77"/>
      <c r="B8151" s="64"/>
      <c r="C8151" s="82"/>
      <c r="D8151" s="64"/>
      <c r="E8151" s="96"/>
      <c r="F8151" s="64"/>
      <c r="G8151" s="70"/>
      <c r="H8151" s="84"/>
      <c r="I8151" s="84"/>
    </row>
    <row r="8152" spans="1:9" s="83" customFormat="1" x14ac:dyDescent="0.35">
      <c r="A8152" s="77"/>
      <c r="B8152" s="64"/>
      <c r="C8152" s="82"/>
      <c r="D8152" s="86"/>
      <c r="E8152" s="96"/>
      <c r="F8152" s="64"/>
      <c r="G8152" s="70"/>
      <c r="H8152" s="84"/>
      <c r="I8152" s="84"/>
    </row>
    <row r="8153" spans="1:9" s="83" customFormat="1" x14ac:dyDescent="0.35">
      <c r="A8153" s="77"/>
      <c r="B8153" s="64"/>
      <c r="C8153" s="87"/>
      <c r="D8153" s="86"/>
      <c r="E8153" s="96"/>
      <c r="F8153" s="64"/>
      <c r="G8153" s="70"/>
      <c r="H8153" s="84"/>
      <c r="I8153" s="84"/>
    </row>
    <row r="8154" spans="1:9" s="83" customFormat="1" x14ac:dyDescent="0.35">
      <c r="A8154" s="77"/>
      <c r="B8154" s="64"/>
      <c r="C8154" s="87"/>
      <c r="D8154" s="86"/>
      <c r="E8154" s="96"/>
      <c r="F8154" s="64"/>
      <c r="G8154" s="70"/>
      <c r="H8154" s="84"/>
      <c r="I8154" s="84"/>
    </row>
    <row r="8155" spans="1:9" s="83" customFormat="1" x14ac:dyDescent="0.35">
      <c r="A8155" s="77"/>
      <c r="B8155" s="64"/>
      <c r="C8155" s="82"/>
      <c r="D8155" s="86"/>
      <c r="E8155" s="96"/>
      <c r="F8155" s="64"/>
      <c r="G8155" s="70"/>
      <c r="H8155" s="84"/>
      <c r="I8155" s="84"/>
    </row>
    <row r="8156" spans="1:9" s="83" customFormat="1" x14ac:dyDescent="0.35">
      <c r="A8156" s="77"/>
      <c r="B8156" s="64"/>
      <c r="C8156" s="82"/>
      <c r="D8156" s="64"/>
      <c r="E8156" s="96"/>
      <c r="F8156" s="64"/>
      <c r="G8156" s="70"/>
      <c r="H8156" s="84"/>
      <c r="I8156" s="84"/>
    </row>
    <row r="8157" spans="1:9" s="83" customFormat="1" x14ac:dyDescent="0.35">
      <c r="A8157" s="77"/>
      <c r="B8157" s="64"/>
      <c r="C8157" s="82"/>
      <c r="D8157" s="64"/>
      <c r="E8157" s="96"/>
      <c r="F8157" s="64"/>
      <c r="G8157" s="70"/>
      <c r="H8157" s="84"/>
      <c r="I8157" s="84"/>
    </row>
    <row r="8158" spans="1:9" s="83" customFormat="1" x14ac:dyDescent="0.35">
      <c r="A8158" s="77"/>
      <c r="B8158" s="64"/>
      <c r="C8158" s="82"/>
      <c r="D8158" s="64"/>
      <c r="E8158" s="96"/>
      <c r="F8158" s="64"/>
      <c r="G8158" s="70"/>
      <c r="H8158" s="84"/>
      <c r="I8158" s="84"/>
    </row>
    <row r="8159" spans="1:9" s="83" customFormat="1" x14ac:dyDescent="0.35">
      <c r="A8159" s="77"/>
      <c r="B8159" s="64"/>
      <c r="C8159" s="82"/>
      <c r="D8159" s="86"/>
      <c r="E8159" s="96"/>
      <c r="F8159" s="64"/>
      <c r="G8159" s="70"/>
      <c r="H8159" s="84"/>
      <c r="I8159" s="84"/>
    </row>
    <row r="8160" spans="1:9" s="83" customFormat="1" x14ac:dyDescent="0.35">
      <c r="A8160" s="77"/>
      <c r="B8160" s="64"/>
      <c r="C8160" s="82"/>
      <c r="D8160" s="86"/>
      <c r="E8160" s="96"/>
      <c r="F8160" s="64"/>
      <c r="G8160" s="70"/>
      <c r="H8160" s="84"/>
      <c r="I8160" s="84"/>
    </row>
    <row r="8161" spans="1:9" s="83" customFormat="1" x14ac:dyDescent="0.35">
      <c r="A8161" s="77"/>
      <c r="B8161" s="64"/>
      <c r="C8161" s="82"/>
      <c r="D8161" s="64"/>
      <c r="E8161" s="96"/>
      <c r="F8161" s="64"/>
      <c r="G8161" s="70"/>
      <c r="H8161" s="84"/>
      <c r="I8161" s="84"/>
    </row>
    <row r="8162" spans="1:9" s="83" customFormat="1" x14ac:dyDescent="0.35">
      <c r="A8162" s="77"/>
      <c r="B8162" s="64"/>
      <c r="C8162" s="82"/>
      <c r="D8162" s="64"/>
      <c r="E8162" s="96"/>
      <c r="F8162" s="64"/>
      <c r="G8162" s="70"/>
      <c r="H8162" s="84"/>
      <c r="I8162" s="84"/>
    </row>
    <row r="8163" spans="1:9" s="83" customFormat="1" x14ac:dyDescent="0.35">
      <c r="A8163" s="77"/>
      <c r="B8163" s="64"/>
      <c r="C8163" s="82"/>
      <c r="D8163" s="64"/>
      <c r="E8163" s="96"/>
      <c r="F8163" s="64"/>
      <c r="G8163" s="70"/>
      <c r="H8163" s="84"/>
      <c r="I8163" s="84"/>
    </row>
    <row r="8164" spans="1:9" s="83" customFormat="1" x14ac:dyDescent="0.35">
      <c r="A8164" s="77"/>
      <c r="B8164" s="64"/>
      <c r="C8164" s="82"/>
      <c r="D8164" s="64"/>
      <c r="E8164" s="96"/>
      <c r="F8164" s="64"/>
      <c r="G8164" s="70"/>
      <c r="H8164" s="84"/>
      <c r="I8164" s="84"/>
    </row>
    <row r="8165" spans="1:9" s="83" customFormat="1" x14ac:dyDescent="0.35">
      <c r="A8165" s="77"/>
      <c r="B8165" s="64"/>
      <c r="C8165" s="82"/>
      <c r="D8165" s="64"/>
      <c r="E8165" s="96"/>
      <c r="F8165" s="64"/>
      <c r="G8165" s="70"/>
      <c r="H8165" s="84"/>
      <c r="I8165" s="84"/>
    </row>
    <row r="8166" spans="1:9" s="83" customFormat="1" x14ac:dyDescent="0.35">
      <c r="A8166" s="77"/>
      <c r="B8166" s="64"/>
      <c r="C8166" s="82"/>
      <c r="D8166" s="64"/>
      <c r="E8166" s="96"/>
      <c r="F8166" s="64"/>
      <c r="G8166" s="70"/>
      <c r="H8166" s="84"/>
      <c r="I8166" s="84"/>
    </row>
    <row r="8167" spans="1:9" s="83" customFormat="1" x14ac:dyDescent="0.35">
      <c r="A8167" s="77"/>
      <c r="B8167" s="64"/>
      <c r="C8167" s="82"/>
      <c r="D8167" s="64"/>
      <c r="E8167" s="96"/>
      <c r="F8167" s="64"/>
      <c r="G8167" s="70"/>
      <c r="H8167" s="84"/>
      <c r="I8167" s="84"/>
    </row>
    <row r="8168" spans="1:9" s="83" customFormat="1" x14ac:dyDescent="0.35">
      <c r="A8168" s="77"/>
      <c r="B8168" s="64"/>
      <c r="C8168" s="82"/>
      <c r="D8168" s="64"/>
      <c r="E8168" s="96"/>
      <c r="F8168" s="64"/>
      <c r="G8168" s="70"/>
      <c r="H8168" s="84"/>
      <c r="I8168" s="84"/>
    </row>
    <row r="8169" spans="1:9" s="83" customFormat="1" x14ac:dyDescent="0.35">
      <c r="A8169" s="77"/>
      <c r="B8169" s="64"/>
      <c r="C8169" s="82"/>
      <c r="D8169" s="64"/>
      <c r="E8169" s="96"/>
      <c r="F8169" s="64"/>
      <c r="G8169" s="70"/>
      <c r="H8169" s="84"/>
      <c r="I8169" s="84"/>
    </row>
    <row r="8170" spans="1:9" s="83" customFormat="1" x14ac:dyDescent="0.35">
      <c r="A8170" s="77"/>
      <c r="B8170" s="64"/>
      <c r="C8170" s="82"/>
      <c r="D8170" s="64"/>
      <c r="E8170" s="96"/>
      <c r="F8170" s="64"/>
      <c r="G8170" s="70"/>
      <c r="H8170" s="84"/>
      <c r="I8170" s="84"/>
    </row>
    <row r="8171" spans="1:9" s="83" customFormat="1" x14ac:dyDescent="0.35">
      <c r="A8171" s="77"/>
      <c r="B8171" s="64"/>
      <c r="C8171" s="82"/>
      <c r="D8171" s="64"/>
      <c r="E8171" s="96"/>
      <c r="F8171" s="64"/>
      <c r="G8171" s="70"/>
      <c r="H8171" s="84"/>
      <c r="I8171" s="84"/>
    </row>
    <row r="8172" spans="1:9" s="83" customFormat="1" x14ac:dyDescent="0.35">
      <c r="A8172" s="77"/>
      <c r="B8172" s="64"/>
      <c r="C8172" s="82"/>
      <c r="D8172" s="64"/>
      <c r="E8172" s="96"/>
      <c r="F8172" s="64"/>
      <c r="G8172" s="70"/>
      <c r="H8172" s="84"/>
      <c r="I8172" s="84"/>
    </row>
    <row r="8173" spans="1:9" s="83" customFormat="1" x14ac:dyDescent="0.35">
      <c r="A8173" s="77"/>
      <c r="B8173" s="64"/>
      <c r="C8173" s="82"/>
      <c r="D8173" s="64"/>
      <c r="E8173" s="96"/>
      <c r="F8173" s="64"/>
      <c r="G8173" s="70"/>
      <c r="H8173" s="84"/>
      <c r="I8173" s="84"/>
    </row>
    <row r="8174" spans="1:9" x14ac:dyDescent="0.35">
      <c r="C8174" s="82"/>
    </row>
    <row r="8175" spans="1:9" x14ac:dyDescent="0.35">
      <c r="C8175" s="82"/>
    </row>
    <row r="8176" spans="1:9" x14ac:dyDescent="0.35">
      <c r="C8176" s="82"/>
    </row>
    <row r="8177" spans="3:3" x14ac:dyDescent="0.35">
      <c r="C8177" s="82"/>
    </row>
    <row r="8178" spans="3:3" x14ac:dyDescent="0.35">
      <c r="C8178" s="82"/>
    </row>
    <row r="8179" spans="3:3" x14ac:dyDescent="0.35">
      <c r="C8179" s="82"/>
    </row>
    <row r="8180" spans="3:3" x14ac:dyDescent="0.35">
      <c r="C8180" s="82"/>
    </row>
    <row r="8181" spans="3:3" x14ac:dyDescent="0.35">
      <c r="C8181" s="82"/>
    </row>
    <row r="8182" spans="3:3" x14ac:dyDescent="0.35">
      <c r="C8182" s="82"/>
    </row>
    <row r="8183" spans="3:3" x14ac:dyDescent="0.35">
      <c r="C8183" s="82"/>
    </row>
    <row r="8184" spans="3:3" x14ac:dyDescent="0.35">
      <c r="C8184" s="82"/>
    </row>
    <row r="8185" spans="3:3" x14ac:dyDescent="0.35">
      <c r="C8185" s="82"/>
    </row>
    <row r="8186" spans="3:3" x14ac:dyDescent="0.35">
      <c r="C8186" s="82"/>
    </row>
    <row r="8187" spans="3:3" x14ac:dyDescent="0.35">
      <c r="C8187" s="82"/>
    </row>
    <row r="8188" spans="3:3" x14ac:dyDescent="0.35">
      <c r="C8188" s="82"/>
    </row>
    <row r="8189" spans="3:3" x14ac:dyDescent="0.35">
      <c r="C8189" s="82"/>
    </row>
    <row r="8190" spans="3:3" x14ac:dyDescent="0.35">
      <c r="C8190" s="82"/>
    </row>
    <row r="8191" spans="3:3" x14ac:dyDescent="0.35">
      <c r="C8191" s="82"/>
    </row>
    <row r="8192" spans="3:3" x14ac:dyDescent="0.35">
      <c r="C8192" s="82"/>
    </row>
    <row r="8193" spans="1:7" x14ac:dyDescent="0.35">
      <c r="C8193" s="82"/>
    </row>
    <row r="8194" spans="1:7" x14ac:dyDescent="0.35">
      <c r="C8194" s="82"/>
    </row>
    <row r="8195" spans="1:7" x14ac:dyDescent="0.35">
      <c r="C8195" s="82"/>
    </row>
    <row r="8196" spans="1:7" x14ac:dyDescent="0.35">
      <c r="C8196" s="82"/>
    </row>
    <row r="8197" spans="1:7" x14ac:dyDescent="0.35">
      <c r="C8197" s="82"/>
    </row>
    <row r="8198" spans="1:7" x14ac:dyDescent="0.35">
      <c r="C8198" s="82"/>
    </row>
    <row r="8199" spans="1:7" x14ac:dyDescent="0.35">
      <c r="C8199" s="82"/>
    </row>
    <row r="8200" spans="1:7" x14ac:dyDescent="0.35">
      <c r="C8200" s="82"/>
    </row>
    <row r="8201" spans="1:7" x14ac:dyDescent="0.35">
      <c r="C8201" s="82"/>
    </row>
    <row r="8202" spans="1:7" x14ac:dyDescent="0.35">
      <c r="C8202" s="82"/>
    </row>
    <row r="8203" spans="1:7" x14ac:dyDescent="0.35">
      <c r="C8203" s="82"/>
    </row>
    <row r="8204" spans="1:7" x14ac:dyDescent="0.35">
      <c r="C8204" s="82"/>
    </row>
    <row r="8205" spans="1:7" x14ac:dyDescent="0.35">
      <c r="C8205" s="82"/>
    </row>
    <row r="8206" spans="1:7" s="84" customFormat="1" x14ac:dyDescent="0.35">
      <c r="A8206" s="77"/>
      <c r="B8206" s="64"/>
      <c r="C8206" s="82"/>
      <c r="D8206" s="64"/>
      <c r="E8206" s="96"/>
      <c r="F8206" s="64"/>
      <c r="G8206" s="70"/>
    </row>
    <row r="8207" spans="1:7" s="84" customFormat="1" x14ac:dyDescent="0.35">
      <c r="A8207" s="77"/>
      <c r="B8207" s="64"/>
      <c r="C8207" s="82"/>
      <c r="D8207" s="64"/>
      <c r="E8207" s="96"/>
      <c r="F8207" s="64"/>
      <c r="G8207" s="70"/>
    </row>
    <row r="8208" spans="1:7" s="84" customFormat="1" x14ac:dyDescent="0.35">
      <c r="A8208" s="77"/>
      <c r="B8208" s="64"/>
      <c r="C8208" s="82"/>
      <c r="D8208" s="64"/>
      <c r="E8208" s="96"/>
      <c r="F8208" s="64"/>
      <c r="G8208" s="70"/>
    </row>
    <row r="8209" spans="1:9" s="84" customFormat="1" x14ac:dyDescent="0.35">
      <c r="A8209" s="77"/>
      <c r="B8209" s="64"/>
      <c r="C8209" s="82"/>
      <c r="D8209" s="64"/>
      <c r="E8209" s="96"/>
      <c r="F8209" s="64"/>
      <c r="G8209" s="70"/>
    </row>
    <row r="8210" spans="1:9" s="84" customFormat="1" x14ac:dyDescent="0.35">
      <c r="A8210" s="77"/>
      <c r="B8210" s="64"/>
      <c r="C8210" s="82"/>
      <c r="D8210" s="64"/>
      <c r="E8210" s="96"/>
      <c r="F8210" s="64"/>
      <c r="G8210" s="70"/>
    </row>
    <row r="8211" spans="1:9" s="84" customFormat="1" x14ac:dyDescent="0.35">
      <c r="A8211" s="77"/>
      <c r="B8211" s="64"/>
      <c r="C8211" s="82"/>
      <c r="D8211" s="64"/>
      <c r="E8211" s="96"/>
      <c r="F8211" s="64"/>
      <c r="G8211" s="70"/>
    </row>
    <row r="8212" spans="1:9" s="84" customFormat="1" x14ac:dyDescent="0.35">
      <c r="A8212" s="77"/>
      <c r="B8212" s="64"/>
      <c r="C8212" s="82"/>
      <c r="D8212" s="64"/>
      <c r="E8212" s="96"/>
      <c r="F8212" s="64"/>
      <c r="G8212" s="85"/>
    </row>
    <row r="8213" spans="1:9" s="84" customFormat="1" x14ac:dyDescent="0.35">
      <c r="A8213" s="77"/>
      <c r="B8213" s="64"/>
      <c r="C8213" s="82"/>
      <c r="D8213" s="64"/>
      <c r="E8213" s="96"/>
      <c r="F8213" s="64"/>
      <c r="G8213" s="70"/>
    </row>
    <row r="8214" spans="1:9" s="84" customFormat="1" x14ac:dyDescent="0.35">
      <c r="A8214" s="77"/>
      <c r="B8214" s="64"/>
      <c r="C8214" s="82"/>
      <c r="D8214" s="64"/>
      <c r="E8214" s="96"/>
      <c r="F8214" s="64"/>
      <c r="G8214" s="70"/>
    </row>
    <row r="8215" spans="1:9" s="84" customFormat="1" x14ac:dyDescent="0.35">
      <c r="A8215" s="77"/>
      <c r="B8215" s="64"/>
      <c r="C8215" s="82"/>
      <c r="D8215" s="64"/>
      <c r="E8215" s="96"/>
      <c r="F8215" s="64"/>
      <c r="G8215" s="70"/>
    </row>
    <row r="8216" spans="1:9" s="84" customFormat="1" x14ac:dyDescent="0.35">
      <c r="A8216" s="77"/>
      <c r="B8216" s="64"/>
      <c r="C8216" s="82"/>
      <c r="D8216" s="64"/>
      <c r="E8216" s="96"/>
      <c r="F8216" s="64"/>
      <c r="G8216" s="70"/>
    </row>
    <row r="8217" spans="1:9" s="84" customFormat="1" x14ac:dyDescent="0.35">
      <c r="A8217" s="77"/>
      <c r="B8217" s="64"/>
      <c r="C8217" s="82"/>
      <c r="D8217" s="64"/>
      <c r="E8217" s="96"/>
      <c r="F8217" s="64"/>
      <c r="G8217" s="70"/>
    </row>
    <row r="8218" spans="1:9" s="84" customFormat="1" x14ac:dyDescent="0.35">
      <c r="A8218" s="77"/>
      <c r="B8218" s="64"/>
      <c r="C8218" s="82"/>
      <c r="D8218" s="64"/>
      <c r="E8218" s="96"/>
      <c r="F8218" s="64"/>
      <c r="G8218" s="70"/>
    </row>
    <row r="8219" spans="1:9" s="84" customFormat="1" x14ac:dyDescent="0.35">
      <c r="A8219" s="77"/>
      <c r="B8219" s="64"/>
      <c r="C8219" s="82"/>
      <c r="D8219" s="64"/>
      <c r="E8219" s="96"/>
      <c r="F8219" s="64"/>
      <c r="G8219" s="70"/>
    </row>
    <row r="8220" spans="1:9" s="84" customFormat="1" x14ac:dyDescent="0.35">
      <c r="A8220" s="77"/>
      <c r="B8220" s="64"/>
      <c r="C8220" s="82"/>
      <c r="D8220" s="64"/>
      <c r="E8220" s="96"/>
      <c r="F8220" s="64"/>
      <c r="G8220" s="70"/>
    </row>
    <row r="8221" spans="1:9" s="84" customFormat="1" x14ac:dyDescent="0.35">
      <c r="A8221" s="77"/>
      <c r="B8221" s="64"/>
      <c r="C8221" s="82"/>
      <c r="D8221" s="64"/>
      <c r="E8221" s="96"/>
      <c r="F8221" s="64"/>
      <c r="G8221" s="70"/>
    </row>
    <row r="8222" spans="1:9" s="83" customFormat="1" x14ac:dyDescent="0.35">
      <c r="A8222" s="77"/>
      <c r="B8222" s="64"/>
      <c r="C8222" s="82"/>
      <c r="D8222" s="64"/>
      <c r="E8222" s="96"/>
      <c r="F8222" s="64"/>
      <c r="G8222" s="70"/>
      <c r="H8222" s="84"/>
      <c r="I8222" s="84"/>
    </row>
    <row r="8223" spans="1:9" s="83" customFormat="1" x14ac:dyDescent="0.35">
      <c r="A8223" s="77"/>
      <c r="B8223" s="64"/>
      <c r="C8223" s="82"/>
      <c r="D8223" s="64"/>
      <c r="E8223" s="96"/>
      <c r="F8223" s="64"/>
      <c r="G8223" s="70"/>
      <c r="H8223" s="84"/>
      <c r="I8223" s="84"/>
    </row>
    <row r="8224" spans="1:9" s="83" customFormat="1" x14ac:dyDescent="0.35">
      <c r="A8224" s="77"/>
      <c r="B8224" s="64"/>
      <c r="C8224" s="82"/>
      <c r="D8224" s="64"/>
      <c r="E8224" s="96"/>
      <c r="F8224" s="64"/>
      <c r="G8224" s="70"/>
      <c r="H8224" s="84"/>
      <c r="I8224" s="84"/>
    </row>
    <row r="8225" spans="1:9" s="83" customFormat="1" x14ac:dyDescent="0.35">
      <c r="A8225" s="77"/>
      <c r="B8225" s="64"/>
      <c r="C8225" s="82"/>
      <c r="D8225" s="64"/>
      <c r="E8225" s="96"/>
      <c r="F8225" s="64"/>
      <c r="G8225" s="70"/>
      <c r="H8225" s="84"/>
      <c r="I8225" s="84"/>
    </row>
    <row r="8226" spans="1:9" s="83" customFormat="1" x14ac:dyDescent="0.35">
      <c r="A8226" s="77"/>
      <c r="B8226" s="64"/>
      <c r="C8226" s="82"/>
      <c r="D8226" s="64"/>
      <c r="E8226" s="96"/>
      <c r="F8226" s="64"/>
      <c r="G8226" s="70"/>
      <c r="H8226" s="84"/>
      <c r="I8226" s="84"/>
    </row>
    <row r="8227" spans="1:9" s="83" customFormat="1" x14ac:dyDescent="0.35">
      <c r="A8227" s="77"/>
      <c r="B8227" s="64"/>
      <c r="C8227" s="82"/>
      <c r="D8227" s="64"/>
      <c r="E8227" s="96"/>
      <c r="F8227" s="64"/>
      <c r="G8227" s="70"/>
      <c r="H8227" s="84"/>
      <c r="I8227" s="84"/>
    </row>
    <row r="8228" spans="1:9" s="83" customFormat="1" x14ac:dyDescent="0.35">
      <c r="A8228" s="77"/>
      <c r="B8228" s="64"/>
      <c r="C8228" s="82"/>
      <c r="D8228" s="64"/>
      <c r="E8228" s="96"/>
      <c r="F8228" s="64"/>
      <c r="G8228" s="70"/>
      <c r="H8228" s="84"/>
      <c r="I8228" s="84"/>
    </row>
    <row r="8229" spans="1:9" s="83" customFormat="1" x14ac:dyDescent="0.35">
      <c r="A8229" s="77"/>
      <c r="B8229" s="64"/>
      <c r="C8229" s="82"/>
      <c r="D8229" s="64"/>
      <c r="E8229" s="96"/>
      <c r="F8229" s="64"/>
      <c r="G8229" s="70"/>
      <c r="H8229" s="84"/>
      <c r="I8229" s="84"/>
    </row>
    <row r="8230" spans="1:9" s="83" customFormat="1" x14ac:dyDescent="0.35">
      <c r="A8230" s="77"/>
      <c r="B8230" s="64"/>
      <c r="C8230" s="82"/>
      <c r="D8230" s="64"/>
      <c r="E8230" s="96"/>
      <c r="F8230" s="64"/>
      <c r="G8230" s="70"/>
      <c r="H8230" s="84"/>
      <c r="I8230" s="84"/>
    </row>
    <row r="8231" spans="1:9" s="83" customFormat="1" x14ac:dyDescent="0.35">
      <c r="A8231" s="77"/>
      <c r="B8231" s="64"/>
      <c r="C8231" s="82"/>
      <c r="D8231" s="64"/>
      <c r="E8231" s="96"/>
      <c r="F8231" s="64"/>
      <c r="G8231" s="70"/>
      <c r="H8231" s="84"/>
      <c r="I8231" s="84"/>
    </row>
    <row r="8232" spans="1:9" s="83" customFormat="1" x14ac:dyDescent="0.35">
      <c r="A8232" s="77"/>
      <c r="B8232" s="64"/>
      <c r="C8232" s="82"/>
      <c r="D8232" s="64"/>
      <c r="E8232" s="96"/>
      <c r="F8232" s="64"/>
      <c r="G8232" s="70"/>
      <c r="H8232" s="84"/>
      <c r="I8232" s="84"/>
    </row>
    <row r="8233" spans="1:9" s="83" customFormat="1" x14ac:dyDescent="0.35">
      <c r="A8233" s="77"/>
      <c r="B8233" s="64"/>
      <c r="C8233" s="82"/>
      <c r="D8233" s="86"/>
      <c r="E8233" s="96"/>
      <c r="F8233" s="64"/>
      <c r="G8233" s="70"/>
      <c r="H8233" s="84"/>
      <c r="I8233" s="84"/>
    </row>
    <row r="8234" spans="1:9" s="83" customFormat="1" x14ac:dyDescent="0.35">
      <c r="A8234" s="77"/>
      <c r="B8234" s="64"/>
      <c r="C8234" s="82"/>
      <c r="D8234" s="64"/>
      <c r="E8234" s="96"/>
      <c r="F8234" s="64"/>
      <c r="G8234" s="70"/>
      <c r="H8234" s="84"/>
      <c r="I8234" s="84"/>
    </row>
    <row r="8235" spans="1:9" s="83" customFormat="1" x14ac:dyDescent="0.35">
      <c r="A8235" s="77"/>
      <c r="B8235" s="64"/>
      <c r="C8235" s="82"/>
      <c r="D8235" s="64"/>
      <c r="E8235" s="96"/>
      <c r="F8235" s="64"/>
      <c r="G8235" s="70"/>
      <c r="H8235" s="84"/>
      <c r="I8235" s="84"/>
    </row>
    <row r="8236" spans="1:9" s="83" customFormat="1" x14ac:dyDescent="0.35">
      <c r="A8236" s="77"/>
      <c r="B8236" s="64"/>
      <c r="C8236" s="82"/>
      <c r="D8236" s="64"/>
      <c r="E8236" s="96"/>
      <c r="F8236" s="64"/>
      <c r="G8236" s="70"/>
      <c r="H8236" s="84"/>
      <c r="I8236" s="84"/>
    </row>
    <row r="8237" spans="1:9" s="83" customFormat="1" x14ac:dyDescent="0.35">
      <c r="A8237" s="77"/>
      <c r="B8237" s="64"/>
      <c r="C8237" s="82"/>
      <c r="D8237" s="64"/>
      <c r="E8237" s="96"/>
      <c r="F8237" s="64"/>
      <c r="G8237" s="70"/>
      <c r="H8237" s="84"/>
      <c r="I8237" s="84"/>
    </row>
    <row r="8238" spans="1:9" s="83" customFormat="1" x14ac:dyDescent="0.35">
      <c r="A8238" s="77"/>
      <c r="B8238" s="64"/>
      <c r="C8238" s="82"/>
      <c r="D8238" s="64"/>
      <c r="E8238" s="96"/>
      <c r="F8238" s="64"/>
      <c r="G8238" s="70"/>
      <c r="H8238" s="84"/>
      <c r="I8238" s="84"/>
    </row>
    <row r="8239" spans="1:9" s="83" customFormat="1" x14ac:dyDescent="0.35">
      <c r="A8239" s="77"/>
      <c r="B8239" s="64"/>
      <c r="C8239" s="82"/>
      <c r="D8239" s="64"/>
      <c r="E8239" s="96"/>
      <c r="F8239" s="64"/>
      <c r="G8239" s="70"/>
      <c r="H8239" s="84"/>
      <c r="I8239" s="84"/>
    </row>
    <row r="8240" spans="1:9" s="83" customFormat="1" x14ac:dyDescent="0.35">
      <c r="A8240" s="77"/>
      <c r="B8240" s="64"/>
      <c r="C8240" s="82"/>
      <c r="D8240" s="64"/>
      <c r="E8240" s="96"/>
      <c r="F8240" s="64"/>
      <c r="G8240" s="70"/>
      <c r="H8240" s="84"/>
      <c r="I8240" s="84"/>
    </row>
    <row r="8241" spans="1:9" s="83" customFormat="1" x14ac:dyDescent="0.35">
      <c r="A8241" s="77"/>
      <c r="B8241" s="64"/>
      <c r="C8241" s="82"/>
      <c r="D8241" s="64"/>
      <c r="E8241" s="96"/>
      <c r="F8241" s="64"/>
      <c r="G8241" s="70"/>
      <c r="H8241" s="84"/>
      <c r="I8241" s="84"/>
    </row>
    <row r="8242" spans="1:9" s="83" customFormat="1" x14ac:dyDescent="0.35">
      <c r="A8242" s="77"/>
      <c r="B8242" s="64"/>
      <c r="C8242" s="82"/>
      <c r="D8242" s="64"/>
      <c r="E8242" s="96"/>
      <c r="F8242" s="64"/>
      <c r="G8242" s="70"/>
      <c r="H8242" s="84"/>
      <c r="I8242" s="84"/>
    </row>
    <row r="8243" spans="1:9" s="83" customFormat="1" x14ac:dyDescent="0.35">
      <c r="A8243" s="77"/>
      <c r="B8243" s="64"/>
      <c r="C8243" s="82"/>
      <c r="D8243" s="64"/>
      <c r="E8243" s="96"/>
      <c r="F8243" s="64"/>
      <c r="G8243" s="70"/>
      <c r="H8243" s="84"/>
      <c r="I8243" s="84"/>
    </row>
    <row r="8244" spans="1:9" s="83" customFormat="1" x14ac:dyDescent="0.35">
      <c r="A8244" s="77"/>
      <c r="B8244" s="64"/>
      <c r="C8244" s="82"/>
      <c r="D8244" s="64"/>
      <c r="E8244" s="96"/>
      <c r="F8244" s="64"/>
      <c r="G8244" s="70"/>
      <c r="H8244" s="84"/>
      <c r="I8244" s="84"/>
    </row>
    <row r="8245" spans="1:9" s="83" customFormat="1" x14ac:dyDescent="0.35">
      <c r="A8245" s="77"/>
      <c r="B8245" s="64"/>
      <c r="C8245" s="82"/>
      <c r="D8245" s="64"/>
      <c r="E8245" s="96"/>
      <c r="F8245" s="64"/>
      <c r="G8245" s="70"/>
      <c r="H8245" s="84"/>
      <c r="I8245" s="84"/>
    </row>
    <row r="8246" spans="1:9" s="83" customFormat="1" x14ac:dyDescent="0.35">
      <c r="A8246" s="77"/>
      <c r="B8246" s="64"/>
      <c r="C8246" s="82"/>
      <c r="D8246" s="86"/>
      <c r="E8246" s="96"/>
      <c r="F8246" s="64"/>
      <c r="G8246" s="70"/>
      <c r="H8246" s="84"/>
      <c r="I8246" s="84"/>
    </row>
    <row r="8247" spans="1:9" s="83" customFormat="1" x14ac:dyDescent="0.35">
      <c r="A8247" s="77"/>
      <c r="B8247" s="64"/>
      <c r="C8247" s="82"/>
      <c r="D8247" s="86"/>
      <c r="E8247" s="96"/>
      <c r="F8247" s="64"/>
      <c r="G8247" s="70"/>
      <c r="H8247" s="84"/>
      <c r="I8247" s="84"/>
    </row>
    <row r="8248" spans="1:9" s="83" customFormat="1" x14ac:dyDescent="0.35">
      <c r="A8248" s="77"/>
      <c r="B8248" s="64"/>
      <c r="C8248" s="82"/>
      <c r="D8248" s="64"/>
      <c r="E8248" s="96"/>
      <c r="F8248" s="64"/>
      <c r="G8248" s="70"/>
      <c r="H8248" s="84"/>
      <c r="I8248" s="84"/>
    </row>
    <row r="8249" spans="1:9" s="83" customFormat="1" x14ac:dyDescent="0.35">
      <c r="A8249" s="77"/>
      <c r="B8249" s="64"/>
      <c r="C8249" s="82"/>
      <c r="D8249" s="64"/>
      <c r="E8249" s="96"/>
      <c r="F8249" s="64"/>
      <c r="G8249" s="70"/>
      <c r="H8249" s="84"/>
      <c r="I8249" s="84"/>
    </row>
    <row r="8250" spans="1:9" s="83" customFormat="1" x14ac:dyDescent="0.35">
      <c r="A8250" s="77"/>
      <c r="B8250" s="64"/>
      <c r="C8250" s="82"/>
      <c r="D8250" s="64"/>
      <c r="E8250" s="96"/>
      <c r="F8250" s="64"/>
      <c r="G8250" s="70"/>
      <c r="H8250" s="84"/>
      <c r="I8250" s="84"/>
    </row>
    <row r="8251" spans="1:9" s="83" customFormat="1" x14ac:dyDescent="0.35">
      <c r="A8251" s="77"/>
      <c r="B8251" s="64"/>
      <c r="C8251" s="82"/>
      <c r="D8251" s="64"/>
      <c r="E8251" s="96"/>
      <c r="F8251" s="64"/>
      <c r="G8251" s="70"/>
      <c r="H8251" s="84"/>
      <c r="I8251" s="84"/>
    </row>
    <row r="8252" spans="1:9" s="83" customFormat="1" x14ac:dyDescent="0.35">
      <c r="A8252" s="77"/>
      <c r="B8252" s="64"/>
      <c r="C8252" s="82"/>
      <c r="D8252" s="64"/>
      <c r="E8252" s="96"/>
      <c r="F8252" s="64"/>
      <c r="G8252" s="70"/>
      <c r="H8252" s="84"/>
      <c r="I8252" s="84"/>
    </row>
    <row r="8253" spans="1:9" s="83" customFormat="1" x14ac:dyDescent="0.35">
      <c r="A8253" s="77"/>
      <c r="B8253" s="64"/>
      <c r="C8253" s="82"/>
      <c r="D8253" s="64"/>
      <c r="E8253" s="96"/>
      <c r="F8253" s="64"/>
      <c r="G8253" s="70"/>
      <c r="H8253" s="84"/>
      <c r="I8253" s="84"/>
    </row>
    <row r="8254" spans="1:9" x14ac:dyDescent="0.35">
      <c r="C8254" s="82"/>
    </row>
    <row r="8255" spans="1:9" x14ac:dyDescent="0.35">
      <c r="C8255" s="82"/>
    </row>
    <row r="8256" spans="1:9" x14ac:dyDescent="0.35">
      <c r="C8256" s="82"/>
    </row>
    <row r="8257" spans="3:3" x14ac:dyDescent="0.35">
      <c r="C8257" s="82"/>
    </row>
    <row r="8258" spans="3:3" x14ac:dyDescent="0.35">
      <c r="C8258" s="82"/>
    </row>
    <row r="8259" spans="3:3" x14ac:dyDescent="0.35">
      <c r="C8259" s="82"/>
    </row>
    <row r="8260" spans="3:3" x14ac:dyDescent="0.35">
      <c r="C8260" s="82"/>
    </row>
    <row r="8261" spans="3:3" x14ac:dyDescent="0.35">
      <c r="C8261" s="82"/>
    </row>
    <row r="8262" spans="3:3" x14ac:dyDescent="0.35">
      <c r="C8262" s="82"/>
    </row>
    <row r="8263" spans="3:3" x14ac:dyDescent="0.35">
      <c r="C8263" s="82"/>
    </row>
    <row r="8264" spans="3:3" x14ac:dyDescent="0.35">
      <c r="C8264" s="82"/>
    </row>
    <row r="8265" spans="3:3" x14ac:dyDescent="0.35">
      <c r="C8265" s="82"/>
    </row>
    <row r="8266" spans="3:3" x14ac:dyDescent="0.35">
      <c r="C8266" s="82"/>
    </row>
    <row r="8267" spans="3:3" x14ac:dyDescent="0.35">
      <c r="C8267" s="82"/>
    </row>
    <row r="8268" spans="3:3" x14ac:dyDescent="0.35">
      <c r="C8268" s="82"/>
    </row>
    <row r="8269" spans="3:3" x14ac:dyDescent="0.35">
      <c r="C8269" s="82"/>
    </row>
    <row r="8270" spans="3:3" x14ac:dyDescent="0.35">
      <c r="C8270" s="82"/>
    </row>
    <row r="8271" spans="3:3" x14ac:dyDescent="0.35">
      <c r="C8271" s="82"/>
    </row>
    <row r="8272" spans="3:3" x14ac:dyDescent="0.35">
      <c r="C8272" s="82"/>
    </row>
    <row r="8273" spans="1:7" x14ac:dyDescent="0.35">
      <c r="C8273" s="82"/>
    </row>
    <row r="8274" spans="1:7" x14ac:dyDescent="0.35">
      <c r="C8274" s="82"/>
    </row>
    <row r="8275" spans="1:7" x14ac:dyDescent="0.35">
      <c r="C8275" s="82"/>
    </row>
    <row r="8276" spans="1:7" x14ac:dyDescent="0.35">
      <c r="C8276" s="82"/>
    </row>
    <row r="8277" spans="1:7" x14ac:dyDescent="0.35">
      <c r="C8277" s="82"/>
    </row>
    <row r="8278" spans="1:7" x14ac:dyDescent="0.35">
      <c r="C8278" s="82"/>
    </row>
    <row r="8279" spans="1:7" x14ac:dyDescent="0.35">
      <c r="C8279" s="82"/>
    </row>
    <row r="8280" spans="1:7" x14ac:dyDescent="0.35">
      <c r="C8280" s="82"/>
    </row>
    <row r="8281" spans="1:7" x14ac:dyDescent="0.35">
      <c r="C8281" s="82"/>
    </row>
    <row r="8282" spans="1:7" x14ac:dyDescent="0.35">
      <c r="C8282" s="82"/>
    </row>
    <row r="8283" spans="1:7" x14ac:dyDescent="0.35">
      <c r="C8283" s="82"/>
    </row>
    <row r="8284" spans="1:7" x14ac:dyDescent="0.35">
      <c r="C8284" s="82"/>
    </row>
    <row r="8285" spans="1:7" x14ac:dyDescent="0.35">
      <c r="C8285" s="82"/>
    </row>
    <row r="8286" spans="1:7" s="84" customFormat="1" x14ac:dyDescent="0.35">
      <c r="A8286" s="77"/>
      <c r="B8286" s="64"/>
      <c r="C8286" s="82"/>
      <c r="D8286" s="64"/>
      <c r="E8286" s="96"/>
      <c r="F8286" s="64"/>
      <c r="G8286" s="70"/>
    </row>
    <row r="8287" spans="1:7" s="84" customFormat="1" x14ac:dyDescent="0.35">
      <c r="A8287" s="77"/>
      <c r="B8287" s="64"/>
      <c r="C8287" s="82"/>
      <c r="D8287" s="64"/>
      <c r="E8287" s="96"/>
      <c r="F8287" s="64"/>
      <c r="G8287" s="70"/>
    </row>
    <row r="8288" spans="1:7" s="84" customFormat="1" x14ac:dyDescent="0.35">
      <c r="A8288" s="77"/>
      <c r="B8288" s="64"/>
      <c r="C8288" s="82"/>
      <c r="D8288" s="64"/>
      <c r="E8288" s="96"/>
      <c r="F8288" s="64"/>
      <c r="G8288" s="70"/>
    </row>
    <row r="8289" spans="1:7" s="84" customFormat="1" x14ac:dyDescent="0.35">
      <c r="A8289" s="77"/>
      <c r="B8289" s="64"/>
      <c r="C8289" s="87"/>
      <c r="D8289" s="64"/>
      <c r="E8289" s="96"/>
      <c r="F8289" s="64"/>
      <c r="G8289" s="85"/>
    </row>
    <row r="8290" spans="1:7" s="84" customFormat="1" x14ac:dyDescent="0.35">
      <c r="A8290" s="77"/>
      <c r="B8290" s="64"/>
      <c r="C8290" s="82"/>
      <c r="D8290" s="64"/>
      <c r="E8290" s="96"/>
      <c r="F8290" s="64"/>
      <c r="G8290" s="70"/>
    </row>
    <row r="8291" spans="1:7" s="84" customFormat="1" x14ac:dyDescent="0.35">
      <c r="A8291" s="77"/>
      <c r="B8291" s="64"/>
      <c r="C8291" s="82"/>
      <c r="D8291" s="64"/>
      <c r="E8291" s="96"/>
      <c r="F8291" s="64"/>
      <c r="G8291" s="70"/>
    </row>
    <row r="8292" spans="1:7" s="84" customFormat="1" x14ac:dyDescent="0.35">
      <c r="A8292" s="77"/>
      <c r="B8292" s="64"/>
      <c r="C8292" s="82"/>
      <c r="D8292" s="64"/>
      <c r="E8292" s="96"/>
      <c r="F8292" s="64"/>
      <c r="G8292" s="70"/>
    </row>
    <row r="8293" spans="1:7" s="84" customFormat="1" x14ac:dyDescent="0.35">
      <c r="A8293" s="77"/>
      <c r="B8293" s="64"/>
      <c r="C8293" s="82"/>
      <c r="D8293" s="64"/>
      <c r="E8293" s="96"/>
      <c r="F8293" s="64"/>
      <c r="G8293" s="70"/>
    </row>
    <row r="8294" spans="1:7" s="84" customFormat="1" x14ac:dyDescent="0.35">
      <c r="A8294" s="77"/>
      <c r="B8294" s="64"/>
      <c r="C8294" s="82"/>
      <c r="D8294" s="64"/>
      <c r="E8294" s="96"/>
      <c r="F8294" s="64"/>
      <c r="G8294" s="70"/>
    </row>
    <row r="8295" spans="1:7" s="84" customFormat="1" x14ac:dyDescent="0.35">
      <c r="A8295" s="77"/>
      <c r="B8295" s="64"/>
      <c r="C8295" s="82"/>
      <c r="D8295" s="64"/>
      <c r="E8295" s="96"/>
      <c r="F8295" s="64"/>
      <c r="G8295" s="70"/>
    </row>
    <row r="8296" spans="1:7" s="84" customFormat="1" x14ac:dyDescent="0.35">
      <c r="A8296" s="77"/>
      <c r="B8296" s="64"/>
      <c r="C8296" s="82"/>
      <c r="D8296" s="64"/>
      <c r="E8296" s="96"/>
      <c r="F8296" s="64"/>
      <c r="G8296" s="70"/>
    </row>
    <row r="8297" spans="1:7" s="84" customFormat="1" x14ac:dyDescent="0.35">
      <c r="A8297" s="77"/>
      <c r="B8297" s="64"/>
      <c r="C8297" s="82"/>
      <c r="D8297" s="64"/>
      <c r="E8297" s="96"/>
      <c r="F8297" s="64"/>
      <c r="G8297" s="70"/>
    </row>
    <row r="8298" spans="1:7" s="84" customFormat="1" x14ac:dyDescent="0.35">
      <c r="A8298" s="77"/>
      <c r="B8298" s="64"/>
      <c r="C8298" s="82"/>
      <c r="D8298" s="64"/>
      <c r="E8298" s="96"/>
      <c r="F8298" s="64"/>
      <c r="G8298" s="70"/>
    </row>
    <row r="8299" spans="1:7" s="84" customFormat="1" x14ac:dyDescent="0.35">
      <c r="A8299" s="77"/>
      <c r="B8299" s="64"/>
      <c r="C8299" s="82"/>
      <c r="D8299" s="64"/>
      <c r="E8299" s="96"/>
      <c r="F8299" s="64"/>
      <c r="G8299" s="70"/>
    </row>
    <row r="8300" spans="1:7" s="84" customFormat="1" x14ac:dyDescent="0.35">
      <c r="A8300" s="77"/>
      <c r="B8300" s="64"/>
      <c r="C8300" s="82"/>
      <c r="D8300" s="64"/>
      <c r="E8300" s="96"/>
      <c r="F8300" s="64"/>
      <c r="G8300" s="70"/>
    </row>
    <row r="8301" spans="1:7" s="84" customFormat="1" x14ac:dyDescent="0.35">
      <c r="A8301" s="77"/>
      <c r="B8301" s="64"/>
      <c r="C8301" s="82"/>
      <c r="D8301" s="64"/>
      <c r="E8301" s="96"/>
      <c r="F8301" s="64"/>
      <c r="G8301" s="70"/>
    </row>
    <row r="8302" spans="1:7" x14ac:dyDescent="0.35">
      <c r="C8302" s="82"/>
    </row>
    <row r="8303" spans="1:7" x14ac:dyDescent="0.35">
      <c r="C8303" s="82"/>
    </row>
    <row r="8304" spans="1:7" x14ac:dyDescent="0.35">
      <c r="C8304" s="82"/>
    </row>
    <row r="8305" spans="3:3" x14ac:dyDescent="0.35">
      <c r="C8305" s="82"/>
    </row>
    <row r="8306" spans="3:3" x14ac:dyDescent="0.35">
      <c r="C8306" s="82"/>
    </row>
    <row r="8307" spans="3:3" x14ac:dyDescent="0.35">
      <c r="C8307" s="82"/>
    </row>
    <row r="8308" spans="3:3" x14ac:dyDescent="0.35">
      <c r="C8308" s="82"/>
    </row>
    <row r="8309" spans="3:3" x14ac:dyDescent="0.35">
      <c r="C8309" s="82"/>
    </row>
    <row r="8310" spans="3:3" x14ac:dyDescent="0.35">
      <c r="C8310" s="82"/>
    </row>
    <row r="8311" spans="3:3" x14ac:dyDescent="0.35">
      <c r="C8311" s="82"/>
    </row>
    <row r="8312" spans="3:3" x14ac:dyDescent="0.35">
      <c r="C8312" s="82"/>
    </row>
    <row r="8313" spans="3:3" x14ac:dyDescent="0.35">
      <c r="C8313" s="82"/>
    </row>
    <row r="8314" spans="3:3" x14ac:dyDescent="0.35">
      <c r="C8314" s="82"/>
    </row>
    <row r="8315" spans="3:3" x14ac:dyDescent="0.35">
      <c r="C8315" s="82"/>
    </row>
    <row r="8316" spans="3:3" x14ac:dyDescent="0.35">
      <c r="C8316" s="82"/>
    </row>
    <row r="8317" spans="3:3" x14ac:dyDescent="0.35">
      <c r="C8317" s="82"/>
    </row>
    <row r="8318" spans="3:3" x14ac:dyDescent="0.35">
      <c r="C8318" s="82"/>
    </row>
    <row r="8319" spans="3:3" x14ac:dyDescent="0.35">
      <c r="C8319" s="82"/>
    </row>
    <row r="8320" spans="3:3" x14ac:dyDescent="0.35">
      <c r="C8320" s="82"/>
    </row>
    <row r="8321" spans="3:3" x14ac:dyDescent="0.35">
      <c r="C8321" s="82"/>
    </row>
    <row r="8322" spans="3:3" x14ac:dyDescent="0.35">
      <c r="C8322" s="82"/>
    </row>
    <row r="8323" spans="3:3" x14ac:dyDescent="0.35">
      <c r="C8323" s="82"/>
    </row>
    <row r="8324" spans="3:3" x14ac:dyDescent="0.35">
      <c r="C8324" s="82"/>
    </row>
    <row r="8325" spans="3:3" x14ac:dyDescent="0.35">
      <c r="C8325" s="82"/>
    </row>
    <row r="8326" spans="3:3" x14ac:dyDescent="0.35">
      <c r="C8326" s="82"/>
    </row>
    <row r="8327" spans="3:3" x14ac:dyDescent="0.35">
      <c r="C8327" s="82"/>
    </row>
    <row r="8328" spans="3:3" x14ac:dyDescent="0.35">
      <c r="C8328" s="82"/>
    </row>
    <row r="8329" spans="3:3" x14ac:dyDescent="0.35">
      <c r="C8329" s="82"/>
    </row>
    <row r="8330" spans="3:3" x14ac:dyDescent="0.35">
      <c r="C8330" s="82"/>
    </row>
    <row r="8331" spans="3:3" x14ac:dyDescent="0.35">
      <c r="C8331" s="82"/>
    </row>
    <row r="8332" spans="3:3" x14ac:dyDescent="0.35">
      <c r="C8332" s="82"/>
    </row>
    <row r="8333" spans="3:3" x14ac:dyDescent="0.35">
      <c r="C8333" s="82"/>
    </row>
    <row r="8334" spans="3:3" x14ac:dyDescent="0.35">
      <c r="C8334" s="82"/>
    </row>
    <row r="8335" spans="3:3" x14ac:dyDescent="0.35">
      <c r="C8335" s="82"/>
    </row>
    <row r="8336" spans="3:3" x14ac:dyDescent="0.35">
      <c r="C8336" s="82"/>
    </row>
    <row r="8337" spans="3:3" x14ac:dyDescent="0.35">
      <c r="C8337" s="82"/>
    </row>
    <row r="8338" spans="3:3" x14ac:dyDescent="0.35">
      <c r="C8338" s="82"/>
    </row>
    <row r="8339" spans="3:3" x14ac:dyDescent="0.35">
      <c r="C8339" s="82"/>
    </row>
    <row r="8340" spans="3:3" x14ac:dyDescent="0.35">
      <c r="C8340" s="82"/>
    </row>
    <row r="8341" spans="3:3" x14ac:dyDescent="0.35">
      <c r="C8341" s="82"/>
    </row>
    <row r="8342" spans="3:3" x14ac:dyDescent="0.35">
      <c r="C8342" s="82"/>
    </row>
    <row r="8343" spans="3:3" x14ac:dyDescent="0.35">
      <c r="C8343" s="82"/>
    </row>
    <row r="8344" spans="3:3" x14ac:dyDescent="0.35">
      <c r="C8344" s="82"/>
    </row>
    <row r="8345" spans="3:3" x14ac:dyDescent="0.35">
      <c r="C8345" s="82"/>
    </row>
    <row r="8346" spans="3:3" x14ac:dyDescent="0.35">
      <c r="C8346" s="82"/>
    </row>
    <row r="8347" spans="3:3" x14ac:dyDescent="0.35">
      <c r="C8347" s="82"/>
    </row>
    <row r="8348" spans="3:3" x14ac:dyDescent="0.35">
      <c r="C8348" s="82"/>
    </row>
    <row r="8349" spans="3:3" x14ac:dyDescent="0.35">
      <c r="C8349" s="82"/>
    </row>
    <row r="8350" spans="3:3" x14ac:dyDescent="0.35">
      <c r="C8350" s="82"/>
    </row>
    <row r="8351" spans="3:3" x14ac:dyDescent="0.35">
      <c r="C8351" s="82"/>
    </row>
    <row r="8352" spans="3:3" x14ac:dyDescent="0.35">
      <c r="C8352" s="82"/>
    </row>
    <row r="8353" spans="3:3" x14ac:dyDescent="0.35">
      <c r="C8353" s="82"/>
    </row>
    <row r="8354" spans="3:3" x14ac:dyDescent="0.35">
      <c r="C8354" s="82"/>
    </row>
    <row r="8355" spans="3:3" x14ac:dyDescent="0.35">
      <c r="C8355" s="82"/>
    </row>
    <row r="8356" spans="3:3" x14ac:dyDescent="0.35">
      <c r="C8356" s="82"/>
    </row>
    <row r="8357" spans="3:3" x14ac:dyDescent="0.35">
      <c r="C8357" s="82"/>
    </row>
    <row r="8358" spans="3:3" x14ac:dyDescent="0.35">
      <c r="C8358" s="82"/>
    </row>
    <row r="8359" spans="3:3" x14ac:dyDescent="0.35">
      <c r="C8359" s="82"/>
    </row>
    <row r="8360" spans="3:3" x14ac:dyDescent="0.35">
      <c r="C8360" s="82"/>
    </row>
    <row r="8361" spans="3:3" x14ac:dyDescent="0.35">
      <c r="C8361" s="82"/>
    </row>
    <row r="8362" spans="3:3" x14ac:dyDescent="0.35">
      <c r="C8362" s="82"/>
    </row>
    <row r="8363" spans="3:3" x14ac:dyDescent="0.35">
      <c r="C8363" s="82"/>
    </row>
    <row r="8364" spans="3:3" x14ac:dyDescent="0.35">
      <c r="C8364" s="82"/>
    </row>
    <row r="8365" spans="3:3" x14ac:dyDescent="0.35">
      <c r="C8365" s="82"/>
    </row>
    <row r="8366" spans="3:3" x14ac:dyDescent="0.35">
      <c r="C8366" s="82"/>
    </row>
    <row r="8367" spans="3:3" x14ac:dyDescent="0.35">
      <c r="C8367" s="82"/>
    </row>
    <row r="8368" spans="3:3" x14ac:dyDescent="0.35">
      <c r="C8368" s="82"/>
    </row>
    <row r="8369" spans="3:3" x14ac:dyDescent="0.35">
      <c r="C8369" s="82"/>
    </row>
    <row r="8370" spans="3:3" x14ac:dyDescent="0.35">
      <c r="C8370" s="82"/>
    </row>
    <row r="8371" spans="3:3" x14ac:dyDescent="0.35">
      <c r="C8371" s="82"/>
    </row>
    <row r="8372" spans="3:3" x14ac:dyDescent="0.35">
      <c r="C8372" s="82"/>
    </row>
    <row r="8373" spans="3:3" x14ac:dyDescent="0.35">
      <c r="C8373" s="82"/>
    </row>
    <row r="8374" spans="3:3" x14ac:dyDescent="0.35">
      <c r="C8374" s="82"/>
    </row>
    <row r="8375" spans="3:3" x14ac:dyDescent="0.35">
      <c r="C8375" s="82"/>
    </row>
    <row r="8376" spans="3:3" x14ac:dyDescent="0.35">
      <c r="C8376" s="82"/>
    </row>
    <row r="8377" spans="3:3" x14ac:dyDescent="0.35">
      <c r="C8377" s="82"/>
    </row>
    <row r="8378" spans="3:3" x14ac:dyDescent="0.35">
      <c r="C8378" s="82"/>
    </row>
    <row r="8379" spans="3:3" x14ac:dyDescent="0.35">
      <c r="C8379" s="82"/>
    </row>
    <row r="8380" spans="3:3" x14ac:dyDescent="0.35">
      <c r="C8380" s="82"/>
    </row>
    <row r="8381" spans="3:3" x14ac:dyDescent="0.35">
      <c r="C8381" s="82"/>
    </row>
    <row r="8382" spans="3:3" x14ac:dyDescent="0.35">
      <c r="C8382" s="82"/>
    </row>
    <row r="8383" spans="3:3" x14ac:dyDescent="0.35">
      <c r="C8383" s="82"/>
    </row>
    <row r="8384" spans="3:3" x14ac:dyDescent="0.35">
      <c r="C8384" s="82"/>
    </row>
    <row r="8385" spans="1:7" x14ac:dyDescent="0.35">
      <c r="C8385" s="82"/>
    </row>
    <row r="8386" spans="1:7" x14ac:dyDescent="0.35">
      <c r="C8386" s="82"/>
    </row>
    <row r="8387" spans="1:7" x14ac:dyDescent="0.35">
      <c r="C8387" s="82"/>
    </row>
    <row r="8388" spans="1:7" x14ac:dyDescent="0.35">
      <c r="C8388" s="82"/>
    </row>
    <row r="8389" spans="1:7" x14ac:dyDescent="0.35">
      <c r="C8389" s="82"/>
    </row>
    <row r="8390" spans="1:7" x14ac:dyDescent="0.35">
      <c r="C8390" s="82"/>
    </row>
    <row r="8391" spans="1:7" x14ac:dyDescent="0.35">
      <c r="C8391" s="82"/>
    </row>
    <row r="8392" spans="1:7" x14ac:dyDescent="0.35">
      <c r="C8392" s="82"/>
    </row>
    <row r="8393" spans="1:7" x14ac:dyDescent="0.35">
      <c r="C8393" s="82"/>
    </row>
    <row r="8394" spans="1:7" x14ac:dyDescent="0.35">
      <c r="C8394" s="82"/>
    </row>
    <row r="8395" spans="1:7" x14ac:dyDescent="0.35">
      <c r="C8395" s="82"/>
    </row>
    <row r="8396" spans="1:7" x14ac:dyDescent="0.35">
      <c r="C8396" s="82"/>
    </row>
    <row r="8397" spans="1:7" x14ac:dyDescent="0.35">
      <c r="C8397" s="82"/>
    </row>
    <row r="8398" spans="1:7" s="84" customFormat="1" x14ac:dyDescent="0.35">
      <c r="A8398" s="77"/>
      <c r="B8398" s="64"/>
      <c r="C8398" s="82"/>
      <c r="D8398" s="64"/>
      <c r="E8398" s="96"/>
      <c r="F8398" s="64"/>
      <c r="G8398" s="70"/>
    </row>
    <row r="8399" spans="1:7" s="84" customFormat="1" x14ac:dyDescent="0.35">
      <c r="A8399" s="77"/>
      <c r="B8399" s="64"/>
      <c r="C8399" s="82"/>
      <c r="D8399" s="64"/>
      <c r="E8399" s="96"/>
      <c r="F8399" s="64"/>
      <c r="G8399" s="70"/>
    </row>
    <row r="8400" spans="1:7" s="84" customFormat="1" x14ac:dyDescent="0.35">
      <c r="A8400" s="77"/>
      <c r="B8400" s="64"/>
      <c r="C8400" s="82"/>
      <c r="D8400" s="64"/>
      <c r="E8400" s="96"/>
      <c r="F8400" s="64"/>
      <c r="G8400" s="70"/>
    </row>
    <row r="8401" spans="1:7" s="84" customFormat="1" x14ac:dyDescent="0.35">
      <c r="A8401" s="77"/>
      <c r="B8401" s="64"/>
      <c r="C8401" s="82"/>
      <c r="D8401" s="64"/>
      <c r="E8401" s="96"/>
      <c r="F8401" s="64"/>
      <c r="G8401" s="70"/>
    </row>
    <row r="8402" spans="1:7" s="84" customFormat="1" x14ac:dyDescent="0.35">
      <c r="A8402" s="77"/>
      <c r="B8402" s="64"/>
      <c r="C8402" s="82"/>
      <c r="D8402" s="64"/>
      <c r="E8402" s="96"/>
      <c r="F8402" s="64"/>
      <c r="G8402" s="70"/>
    </row>
    <row r="8403" spans="1:7" s="84" customFormat="1" x14ac:dyDescent="0.35">
      <c r="A8403" s="77"/>
      <c r="B8403" s="64"/>
      <c r="C8403" s="82"/>
      <c r="D8403" s="64"/>
      <c r="E8403" s="96"/>
      <c r="F8403" s="64"/>
      <c r="G8403" s="70"/>
    </row>
    <row r="8404" spans="1:7" s="84" customFormat="1" x14ac:dyDescent="0.35">
      <c r="A8404" s="77"/>
      <c r="B8404" s="64"/>
      <c r="C8404" s="82"/>
      <c r="D8404" s="64"/>
      <c r="E8404" s="96"/>
      <c r="F8404" s="64"/>
      <c r="G8404" s="70"/>
    </row>
    <row r="8405" spans="1:7" s="84" customFormat="1" x14ac:dyDescent="0.35">
      <c r="A8405" s="77"/>
      <c r="B8405" s="64"/>
      <c r="C8405" s="82"/>
      <c r="D8405" s="64"/>
      <c r="E8405" s="96"/>
      <c r="F8405" s="64"/>
      <c r="G8405" s="85"/>
    </row>
    <row r="8406" spans="1:7" s="84" customFormat="1" x14ac:dyDescent="0.35">
      <c r="A8406" s="77"/>
      <c r="B8406" s="64"/>
      <c r="C8406" s="82"/>
      <c r="D8406" s="64"/>
      <c r="E8406" s="96"/>
      <c r="F8406" s="64"/>
      <c r="G8406" s="70"/>
    </row>
    <row r="8407" spans="1:7" s="84" customFormat="1" x14ac:dyDescent="0.35">
      <c r="A8407" s="77"/>
      <c r="B8407" s="64"/>
      <c r="C8407" s="82"/>
      <c r="D8407" s="64"/>
      <c r="E8407" s="96"/>
      <c r="F8407" s="64"/>
      <c r="G8407" s="70"/>
    </row>
    <row r="8408" spans="1:7" s="84" customFormat="1" x14ac:dyDescent="0.35">
      <c r="A8408" s="77"/>
      <c r="B8408" s="64"/>
      <c r="C8408" s="82"/>
      <c r="D8408" s="64"/>
      <c r="E8408" s="96"/>
      <c r="F8408" s="64"/>
      <c r="G8408" s="70"/>
    </row>
    <row r="8409" spans="1:7" s="84" customFormat="1" x14ac:dyDescent="0.35">
      <c r="A8409" s="77"/>
      <c r="B8409" s="64"/>
      <c r="C8409" s="82"/>
      <c r="D8409" s="64"/>
      <c r="E8409" s="96"/>
      <c r="F8409" s="64"/>
      <c r="G8409" s="70"/>
    </row>
    <row r="8410" spans="1:7" s="84" customFormat="1" x14ac:dyDescent="0.35">
      <c r="A8410" s="77"/>
      <c r="B8410" s="64"/>
      <c r="C8410" s="82"/>
      <c r="D8410" s="64"/>
      <c r="E8410" s="96"/>
      <c r="F8410" s="64"/>
      <c r="G8410" s="70"/>
    </row>
    <row r="8411" spans="1:7" s="84" customFormat="1" x14ac:dyDescent="0.35">
      <c r="A8411" s="77"/>
      <c r="B8411" s="64"/>
      <c r="C8411" s="82"/>
      <c r="D8411" s="64"/>
      <c r="E8411" s="96"/>
      <c r="F8411" s="64"/>
      <c r="G8411" s="70"/>
    </row>
    <row r="8412" spans="1:7" s="84" customFormat="1" x14ac:dyDescent="0.35">
      <c r="A8412" s="77"/>
      <c r="B8412" s="64"/>
      <c r="C8412" s="82"/>
      <c r="D8412" s="64"/>
      <c r="E8412" s="96"/>
      <c r="F8412" s="64"/>
      <c r="G8412" s="70"/>
    </row>
    <row r="8413" spans="1:7" s="84" customFormat="1" x14ac:dyDescent="0.35">
      <c r="A8413" s="77"/>
      <c r="B8413" s="64"/>
      <c r="C8413" s="82"/>
      <c r="D8413" s="64"/>
      <c r="E8413" s="96"/>
      <c r="F8413" s="64"/>
      <c r="G8413" s="70"/>
    </row>
    <row r="8414" spans="1:7" x14ac:dyDescent="0.35">
      <c r="C8414" s="82"/>
    </row>
    <row r="8415" spans="1:7" x14ac:dyDescent="0.35">
      <c r="C8415" s="82"/>
    </row>
    <row r="8416" spans="1:7" x14ac:dyDescent="0.35">
      <c r="C8416" s="82"/>
    </row>
    <row r="8417" spans="1:9" x14ac:dyDescent="0.35">
      <c r="C8417" s="82"/>
    </row>
    <row r="8418" spans="1:9" x14ac:dyDescent="0.35">
      <c r="C8418" s="82"/>
    </row>
    <row r="8419" spans="1:9" x14ac:dyDescent="0.35">
      <c r="C8419" s="82"/>
    </row>
    <row r="8420" spans="1:9" x14ac:dyDescent="0.35">
      <c r="C8420" s="82"/>
    </row>
    <row r="8421" spans="1:9" x14ac:dyDescent="0.35">
      <c r="C8421" s="82"/>
    </row>
    <row r="8422" spans="1:9" x14ac:dyDescent="0.35">
      <c r="C8422" s="82"/>
    </row>
    <row r="8423" spans="1:9" x14ac:dyDescent="0.35">
      <c r="C8423" s="82"/>
    </row>
    <row r="8424" spans="1:9" x14ac:dyDescent="0.35">
      <c r="C8424" s="82"/>
    </row>
    <row r="8425" spans="1:9" x14ac:dyDescent="0.35">
      <c r="C8425" s="82"/>
    </row>
    <row r="8426" spans="1:9" x14ac:dyDescent="0.35">
      <c r="C8426" s="82"/>
    </row>
    <row r="8427" spans="1:9" x14ac:dyDescent="0.35">
      <c r="C8427" s="82"/>
    </row>
    <row r="8428" spans="1:9" x14ac:dyDescent="0.35">
      <c r="C8428" s="82"/>
    </row>
    <row r="8429" spans="1:9" x14ac:dyDescent="0.35">
      <c r="C8429" s="82"/>
    </row>
    <row r="8430" spans="1:9" s="83" customFormat="1" x14ac:dyDescent="0.35">
      <c r="A8430" s="77"/>
      <c r="B8430" s="64"/>
      <c r="C8430" s="82"/>
      <c r="D8430" s="86"/>
      <c r="E8430" s="96"/>
      <c r="F8430" s="64"/>
      <c r="G8430" s="70"/>
      <c r="H8430" s="84"/>
      <c r="I8430" s="84"/>
    </row>
    <row r="8431" spans="1:9" s="83" customFormat="1" x14ac:dyDescent="0.35">
      <c r="A8431" s="77"/>
      <c r="B8431" s="64"/>
      <c r="C8431" s="82"/>
      <c r="D8431" s="64"/>
      <c r="E8431" s="96"/>
      <c r="F8431" s="64"/>
      <c r="G8431" s="70"/>
      <c r="H8431" s="84"/>
      <c r="I8431" s="84"/>
    </row>
    <row r="8432" spans="1:9" s="83" customFormat="1" x14ac:dyDescent="0.35">
      <c r="A8432" s="77"/>
      <c r="B8432" s="64"/>
      <c r="C8432" s="82"/>
      <c r="D8432" s="64"/>
      <c r="E8432" s="96"/>
      <c r="F8432" s="64"/>
      <c r="G8432" s="70"/>
      <c r="H8432" s="84"/>
      <c r="I8432" s="84"/>
    </row>
    <row r="8433" spans="1:9" s="83" customFormat="1" x14ac:dyDescent="0.35">
      <c r="A8433" s="77"/>
      <c r="B8433" s="64"/>
      <c r="C8433" s="82"/>
      <c r="D8433" s="64"/>
      <c r="E8433" s="96"/>
      <c r="F8433" s="64"/>
      <c r="G8433" s="70"/>
      <c r="H8433" s="84"/>
      <c r="I8433" s="84"/>
    </row>
    <row r="8434" spans="1:9" s="83" customFormat="1" x14ac:dyDescent="0.35">
      <c r="A8434" s="77"/>
      <c r="B8434" s="64"/>
      <c r="C8434" s="82"/>
      <c r="D8434" s="64"/>
      <c r="E8434" s="96"/>
      <c r="F8434" s="64"/>
      <c r="G8434" s="70"/>
      <c r="H8434" s="84"/>
      <c r="I8434" s="84"/>
    </row>
    <row r="8435" spans="1:9" s="83" customFormat="1" x14ac:dyDescent="0.35">
      <c r="A8435" s="77"/>
      <c r="B8435" s="64"/>
      <c r="C8435" s="82"/>
      <c r="D8435" s="64"/>
      <c r="E8435" s="96"/>
      <c r="F8435" s="64"/>
      <c r="G8435" s="70"/>
      <c r="H8435" s="84"/>
      <c r="I8435" s="84"/>
    </row>
    <row r="8436" spans="1:9" s="83" customFormat="1" x14ac:dyDescent="0.35">
      <c r="A8436" s="77"/>
      <c r="B8436" s="64"/>
      <c r="C8436" s="82"/>
      <c r="D8436" s="64"/>
      <c r="E8436" s="96"/>
      <c r="F8436" s="64"/>
      <c r="G8436" s="70"/>
      <c r="H8436" s="84"/>
      <c r="I8436" s="84"/>
    </row>
    <row r="8437" spans="1:9" s="83" customFormat="1" x14ac:dyDescent="0.35">
      <c r="A8437" s="77"/>
      <c r="B8437" s="64"/>
      <c r="C8437" s="82"/>
      <c r="D8437" s="64"/>
      <c r="E8437" s="96"/>
      <c r="F8437" s="64"/>
      <c r="G8437" s="70"/>
      <c r="H8437" s="84"/>
      <c r="I8437" s="84"/>
    </row>
    <row r="8438" spans="1:9" s="83" customFormat="1" x14ac:dyDescent="0.35">
      <c r="A8438" s="77"/>
      <c r="B8438" s="64"/>
      <c r="C8438" s="82"/>
      <c r="D8438" s="64"/>
      <c r="E8438" s="96"/>
      <c r="F8438" s="64"/>
      <c r="G8438" s="70"/>
      <c r="H8438" s="84"/>
      <c r="I8438" s="84"/>
    </row>
    <row r="8439" spans="1:9" s="83" customFormat="1" x14ac:dyDescent="0.35">
      <c r="A8439" s="77"/>
      <c r="B8439" s="64"/>
      <c r="C8439" s="82"/>
      <c r="D8439" s="64"/>
      <c r="E8439" s="96"/>
      <c r="F8439" s="64"/>
      <c r="G8439" s="70"/>
      <c r="H8439" s="84"/>
      <c r="I8439" s="84"/>
    </row>
    <row r="8440" spans="1:9" s="83" customFormat="1" x14ac:dyDescent="0.35">
      <c r="A8440" s="77"/>
      <c r="B8440" s="64"/>
      <c r="C8440" s="82"/>
      <c r="D8440" s="64"/>
      <c r="E8440" s="96"/>
      <c r="F8440" s="64"/>
      <c r="G8440" s="70"/>
      <c r="H8440" s="84"/>
      <c r="I8440" s="84"/>
    </row>
    <row r="8441" spans="1:9" s="83" customFormat="1" x14ac:dyDescent="0.35">
      <c r="A8441" s="77"/>
      <c r="B8441" s="64"/>
      <c r="C8441" s="82"/>
      <c r="D8441" s="64"/>
      <c r="E8441" s="96"/>
      <c r="F8441" s="64"/>
      <c r="G8441" s="70"/>
      <c r="H8441" s="84"/>
      <c r="I8441" s="84"/>
    </row>
    <row r="8442" spans="1:9" s="83" customFormat="1" x14ac:dyDescent="0.35">
      <c r="A8442" s="77"/>
      <c r="B8442" s="64"/>
      <c r="C8442" s="82"/>
      <c r="D8442" s="64"/>
      <c r="E8442" s="96"/>
      <c r="F8442" s="64"/>
      <c r="G8442" s="70"/>
      <c r="H8442" s="84"/>
      <c r="I8442" s="84"/>
    </row>
    <row r="8443" spans="1:9" s="83" customFormat="1" x14ac:dyDescent="0.35">
      <c r="A8443" s="77"/>
      <c r="B8443" s="64"/>
      <c r="C8443" s="82"/>
      <c r="D8443" s="64"/>
      <c r="E8443" s="96"/>
      <c r="F8443" s="64"/>
      <c r="G8443" s="70"/>
      <c r="H8443" s="84"/>
      <c r="I8443" s="84"/>
    </row>
    <row r="8444" spans="1:9" s="83" customFormat="1" x14ac:dyDescent="0.35">
      <c r="A8444" s="77"/>
      <c r="B8444" s="64"/>
      <c r="C8444" s="82"/>
      <c r="D8444" s="64"/>
      <c r="E8444" s="96"/>
      <c r="F8444" s="64"/>
      <c r="G8444" s="70"/>
      <c r="H8444" s="84"/>
      <c r="I8444" s="84"/>
    </row>
    <row r="8445" spans="1:9" s="83" customFormat="1" x14ac:dyDescent="0.35">
      <c r="A8445" s="77"/>
      <c r="B8445" s="64"/>
      <c r="C8445" s="82"/>
      <c r="D8445" s="64"/>
      <c r="E8445" s="96"/>
      <c r="F8445" s="64"/>
      <c r="G8445" s="70"/>
      <c r="H8445" s="84"/>
      <c r="I8445" s="84"/>
    </row>
    <row r="8446" spans="1:9" x14ac:dyDescent="0.35">
      <c r="C8446" s="82"/>
    </row>
    <row r="8447" spans="1:9" x14ac:dyDescent="0.35">
      <c r="C8447" s="82"/>
    </row>
    <row r="8448" spans="1:9" x14ac:dyDescent="0.35">
      <c r="C8448" s="82"/>
    </row>
    <row r="8449" spans="3:3" x14ac:dyDescent="0.35">
      <c r="C8449" s="82"/>
    </row>
    <row r="8450" spans="3:3" x14ac:dyDescent="0.35">
      <c r="C8450" s="82"/>
    </row>
    <row r="8451" spans="3:3" x14ac:dyDescent="0.35">
      <c r="C8451" s="82"/>
    </row>
    <row r="8452" spans="3:3" x14ac:dyDescent="0.35">
      <c r="C8452" s="82"/>
    </row>
    <row r="8453" spans="3:3" x14ac:dyDescent="0.35">
      <c r="C8453" s="82"/>
    </row>
    <row r="8454" spans="3:3" x14ac:dyDescent="0.35">
      <c r="C8454" s="82"/>
    </row>
    <row r="8455" spans="3:3" x14ac:dyDescent="0.35">
      <c r="C8455" s="82"/>
    </row>
    <row r="8456" spans="3:3" x14ac:dyDescent="0.35">
      <c r="C8456" s="82"/>
    </row>
    <row r="8457" spans="3:3" x14ac:dyDescent="0.35">
      <c r="C8457" s="82"/>
    </row>
    <row r="8458" spans="3:3" x14ac:dyDescent="0.35">
      <c r="C8458" s="82"/>
    </row>
    <row r="8459" spans="3:3" x14ac:dyDescent="0.35">
      <c r="C8459" s="82"/>
    </row>
    <row r="8460" spans="3:3" x14ac:dyDescent="0.35">
      <c r="C8460" s="82"/>
    </row>
    <row r="8461" spans="3:3" x14ac:dyDescent="0.35">
      <c r="C8461" s="82"/>
    </row>
    <row r="8462" spans="3:3" x14ac:dyDescent="0.35">
      <c r="C8462" s="82"/>
    </row>
    <row r="8463" spans="3:3" x14ac:dyDescent="0.35">
      <c r="C8463" s="82"/>
    </row>
    <row r="8464" spans="3:3" x14ac:dyDescent="0.35">
      <c r="C8464" s="82"/>
    </row>
    <row r="8465" spans="3:3" x14ac:dyDescent="0.35">
      <c r="C8465" s="82"/>
    </row>
    <row r="8466" spans="3:3" x14ac:dyDescent="0.35">
      <c r="C8466" s="82"/>
    </row>
    <row r="8467" spans="3:3" x14ac:dyDescent="0.35">
      <c r="C8467" s="82"/>
    </row>
    <row r="8468" spans="3:3" x14ac:dyDescent="0.35">
      <c r="C8468" s="82"/>
    </row>
    <row r="8469" spans="3:3" x14ac:dyDescent="0.35">
      <c r="C8469" s="82"/>
    </row>
    <row r="8470" spans="3:3" x14ac:dyDescent="0.35">
      <c r="C8470" s="82"/>
    </row>
    <row r="8471" spans="3:3" x14ac:dyDescent="0.35">
      <c r="C8471" s="82"/>
    </row>
    <row r="8472" spans="3:3" x14ac:dyDescent="0.35">
      <c r="C8472" s="82"/>
    </row>
    <row r="8473" spans="3:3" x14ac:dyDescent="0.35">
      <c r="C8473" s="82"/>
    </row>
    <row r="8474" spans="3:3" x14ac:dyDescent="0.35">
      <c r="C8474" s="82"/>
    </row>
    <row r="8475" spans="3:3" x14ac:dyDescent="0.35">
      <c r="C8475" s="82"/>
    </row>
    <row r="8476" spans="3:3" x14ac:dyDescent="0.35">
      <c r="C8476" s="82"/>
    </row>
    <row r="8477" spans="3:3" x14ac:dyDescent="0.35">
      <c r="C8477" s="82"/>
    </row>
    <row r="8478" spans="3:3" x14ac:dyDescent="0.35">
      <c r="C8478" s="82"/>
    </row>
    <row r="8479" spans="3:3" x14ac:dyDescent="0.35">
      <c r="C8479" s="82"/>
    </row>
    <row r="8480" spans="3:3" x14ac:dyDescent="0.35">
      <c r="C8480" s="82"/>
    </row>
    <row r="8481" spans="3:3" x14ac:dyDescent="0.35">
      <c r="C8481" s="82"/>
    </row>
    <row r="8482" spans="3:3" x14ac:dyDescent="0.35">
      <c r="C8482" s="82"/>
    </row>
    <row r="8483" spans="3:3" x14ac:dyDescent="0.35">
      <c r="C8483" s="82"/>
    </row>
    <row r="8484" spans="3:3" x14ac:dyDescent="0.35">
      <c r="C8484" s="82"/>
    </row>
    <row r="8485" spans="3:3" x14ac:dyDescent="0.35">
      <c r="C8485" s="82"/>
    </row>
    <row r="8486" spans="3:3" x14ac:dyDescent="0.35">
      <c r="C8486" s="82"/>
    </row>
    <row r="8487" spans="3:3" x14ac:dyDescent="0.35">
      <c r="C8487" s="82"/>
    </row>
    <row r="8488" spans="3:3" x14ac:dyDescent="0.35">
      <c r="C8488" s="82"/>
    </row>
    <row r="8489" spans="3:3" x14ac:dyDescent="0.35">
      <c r="C8489" s="82"/>
    </row>
    <row r="8490" spans="3:3" x14ac:dyDescent="0.35">
      <c r="C8490" s="82"/>
    </row>
    <row r="8491" spans="3:3" x14ac:dyDescent="0.35">
      <c r="C8491" s="82"/>
    </row>
    <row r="8492" spans="3:3" x14ac:dyDescent="0.35">
      <c r="C8492" s="82"/>
    </row>
    <row r="8493" spans="3:3" x14ac:dyDescent="0.35">
      <c r="C8493" s="82"/>
    </row>
    <row r="8494" spans="3:3" x14ac:dyDescent="0.35">
      <c r="C8494" s="82"/>
    </row>
    <row r="8495" spans="3:3" x14ac:dyDescent="0.35">
      <c r="C8495" s="82"/>
    </row>
    <row r="8496" spans="3:3" x14ac:dyDescent="0.35">
      <c r="C8496" s="82"/>
    </row>
    <row r="8497" spans="1:7" x14ac:dyDescent="0.35">
      <c r="C8497" s="82"/>
    </row>
    <row r="8498" spans="1:7" x14ac:dyDescent="0.35">
      <c r="C8498" s="82"/>
    </row>
    <row r="8499" spans="1:7" x14ac:dyDescent="0.35">
      <c r="C8499" s="82"/>
    </row>
    <row r="8500" spans="1:7" x14ac:dyDescent="0.35">
      <c r="C8500" s="82"/>
    </row>
    <row r="8501" spans="1:7" x14ac:dyDescent="0.35">
      <c r="C8501" s="82"/>
    </row>
    <row r="8502" spans="1:7" x14ac:dyDescent="0.35">
      <c r="C8502" s="82"/>
    </row>
    <row r="8503" spans="1:7" x14ac:dyDescent="0.35">
      <c r="C8503" s="82"/>
    </row>
    <row r="8504" spans="1:7" x14ac:dyDescent="0.35">
      <c r="C8504" s="82"/>
    </row>
    <row r="8505" spans="1:7" x14ac:dyDescent="0.35">
      <c r="C8505" s="82"/>
    </row>
    <row r="8506" spans="1:7" x14ac:dyDescent="0.35">
      <c r="C8506" s="82"/>
    </row>
    <row r="8507" spans="1:7" x14ac:dyDescent="0.35">
      <c r="C8507" s="82"/>
    </row>
    <row r="8508" spans="1:7" x14ac:dyDescent="0.35">
      <c r="C8508" s="82"/>
    </row>
    <row r="8509" spans="1:7" x14ac:dyDescent="0.35">
      <c r="C8509" s="82"/>
    </row>
    <row r="8510" spans="1:7" s="84" customFormat="1" x14ac:dyDescent="0.35">
      <c r="A8510" s="77"/>
      <c r="B8510" s="64"/>
      <c r="C8510" s="82"/>
      <c r="D8510" s="64"/>
      <c r="E8510" s="96"/>
      <c r="F8510" s="64"/>
      <c r="G8510" s="70"/>
    </row>
    <row r="8511" spans="1:7" s="84" customFormat="1" x14ac:dyDescent="0.35">
      <c r="A8511" s="77"/>
      <c r="B8511" s="64"/>
      <c r="C8511" s="82"/>
      <c r="D8511" s="64"/>
      <c r="E8511" s="96"/>
      <c r="F8511" s="64"/>
      <c r="G8511" s="70"/>
    </row>
    <row r="8512" spans="1:7" s="84" customFormat="1" x14ac:dyDescent="0.35">
      <c r="A8512" s="77"/>
      <c r="B8512" s="64"/>
      <c r="C8512" s="82"/>
      <c r="D8512" s="64"/>
      <c r="E8512" s="96"/>
      <c r="F8512" s="64"/>
      <c r="G8512" s="70"/>
    </row>
    <row r="8513" spans="1:7" s="84" customFormat="1" x14ac:dyDescent="0.35">
      <c r="A8513" s="77"/>
      <c r="B8513" s="64"/>
      <c r="C8513" s="82"/>
      <c r="D8513" s="64"/>
      <c r="E8513" s="96"/>
      <c r="F8513" s="64"/>
      <c r="G8513" s="70"/>
    </row>
    <row r="8514" spans="1:7" s="84" customFormat="1" x14ac:dyDescent="0.35">
      <c r="A8514" s="77"/>
      <c r="B8514" s="64"/>
      <c r="C8514" s="82"/>
      <c r="D8514" s="64"/>
      <c r="E8514" s="96"/>
      <c r="F8514" s="64"/>
      <c r="G8514" s="70"/>
    </row>
    <row r="8515" spans="1:7" s="84" customFormat="1" x14ac:dyDescent="0.35">
      <c r="A8515" s="77"/>
      <c r="B8515" s="64"/>
      <c r="C8515" s="82"/>
      <c r="D8515" s="64"/>
      <c r="E8515" s="96"/>
      <c r="F8515" s="64"/>
      <c r="G8515" s="70"/>
    </row>
    <row r="8516" spans="1:7" s="84" customFormat="1" x14ac:dyDescent="0.35">
      <c r="A8516" s="77"/>
      <c r="B8516" s="64"/>
      <c r="C8516" s="82"/>
      <c r="D8516" s="64"/>
      <c r="E8516" s="96"/>
      <c r="F8516" s="64"/>
      <c r="G8516" s="85"/>
    </row>
    <row r="8517" spans="1:7" s="84" customFormat="1" x14ac:dyDescent="0.35">
      <c r="A8517" s="77"/>
      <c r="B8517" s="64"/>
      <c r="C8517" s="82"/>
      <c r="D8517" s="64"/>
      <c r="E8517" s="96"/>
      <c r="F8517" s="64"/>
      <c r="G8517" s="70"/>
    </row>
    <row r="8518" spans="1:7" s="84" customFormat="1" x14ac:dyDescent="0.35">
      <c r="A8518" s="77"/>
      <c r="B8518" s="64"/>
      <c r="C8518" s="82"/>
      <c r="D8518" s="64"/>
      <c r="E8518" s="96"/>
      <c r="F8518" s="64"/>
      <c r="G8518" s="70"/>
    </row>
    <row r="8519" spans="1:7" s="84" customFormat="1" x14ac:dyDescent="0.35">
      <c r="A8519" s="77"/>
      <c r="B8519" s="64"/>
      <c r="C8519" s="82"/>
      <c r="D8519" s="64"/>
      <c r="E8519" s="96"/>
      <c r="F8519" s="64"/>
      <c r="G8519" s="70"/>
    </row>
    <row r="8520" spans="1:7" s="84" customFormat="1" x14ac:dyDescent="0.35">
      <c r="A8520" s="77"/>
      <c r="B8520" s="64"/>
      <c r="C8520" s="82"/>
      <c r="D8520" s="64"/>
      <c r="E8520" s="96"/>
      <c r="F8520" s="64"/>
      <c r="G8520" s="70"/>
    </row>
    <row r="8521" spans="1:7" s="84" customFormat="1" x14ac:dyDescent="0.35">
      <c r="A8521" s="77"/>
      <c r="B8521" s="64"/>
      <c r="C8521" s="82"/>
      <c r="D8521" s="64"/>
      <c r="E8521" s="96"/>
      <c r="F8521" s="64"/>
      <c r="G8521" s="70"/>
    </row>
    <row r="8522" spans="1:7" s="84" customFormat="1" x14ac:dyDescent="0.35">
      <c r="A8522" s="77"/>
      <c r="B8522" s="64"/>
      <c r="C8522" s="82"/>
      <c r="D8522" s="64"/>
      <c r="E8522" s="96"/>
      <c r="F8522" s="64"/>
      <c r="G8522" s="70"/>
    </row>
    <row r="8523" spans="1:7" s="84" customFormat="1" x14ac:dyDescent="0.35">
      <c r="A8523" s="77"/>
      <c r="B8523" s="64"/>
      <c r="C8523" s="82"/>
      <c r="D8523" s="64"/>
      <c r="E8523" s="96"/>
      <c r="F8523" s="64"/>
      <c r="G8523" s="70"/>
    </row>
    <row r="8524" spans="1:7" s="84" customFormat="1" x14ac:dyDescent="0.35">
      <c r="A8524" s="77"/>
      <c r="B8524" s="64"/>
      <c r="C8524" s="82"/>
      <c r="D8524" s="64"/>
      <c r="E8524" s="96"/>
      <c r="F8524" s="64"/>
      <c r="G8524" s="70"/>
    </row>
    <row r="8525" spans="1:7" s="84" customFormat="1" x14ac:dyDescent="0.35">
      <c r="A8525" s="77"/>
      <c r="B8525" s="64"/>
      <c r="C8525" s="87"/>
      <c r="D8525" s="64"/>
      <c r="E8525" s="97"/>
      <c r="F8525" s="64"/>
      <c r="G8525" s="70"/>
    </row>
    <row r="8526" spans="1:7" x14ac:dyDescent="0.35">
      <c r="C8526" s="82"/>
    </row>
    <row r="8527" spans="1:7" x14ac:dyDescent="0.35">
      <c r="C8527" s="82"/>
    </row>
    <row r="8528" spans="1:7" x14ac:dyDescent="0.35">
      <c r="C8528" s="82"/>
    </row>
    <row r="8529" spans="3:3" x14ac:dyDescent="0.35">
      <c r="C8529" s="82"/>
    </row>
    <row r="8530" spans="3:3" x14ac:dyDescent="0.35">
      <c r="C8530" s="82"/>
    </row>
    <row r="8531" spans="3:3" x14ac:dyDescent="0.35">
      <c r="C8531" s="82"/>
    </row>
    <row r="8532" spans="3:3" x14ac:dyDescent="0.35">
      <c r="C8532" s="82"/>
    </row>
    <row r="8533" spans="3:3" x14ac:dyDescent="0.35">
      <c r="C8533" s="82"/>
    </row>
    <row r="8534" spans="3:3" x14ac:dyDescent="0.35">
      <c r="C8534" s="82"/>
    </row>
    <row r="8535" spans="3:3" x14ac:dyDescent="0.35">
      <c r="C8535" s="82"/>
    </row>
    <row r="8536" spans="3:3" x14ac:dyDescent="0.35">
      <c r="C8536" s="82"/>
    </row>
    <row r="8537" spans="3:3" x14ac:dyDescent="0.35">
      <c r="C8537" s="82"/>
    </row>
    <row r="8538" spans="3:3" x14ac:dyDescent="0.35">
      <c r="C8538" s="82"/>
    </row>
    <row r="8539" spans="3:3" x14ac:dyDescent="0.35">
      <c r="C8539" s="82"/>
    </row>
    <row r="8540" spans="3:3" x14ac:dyDescent="0.35">
      <c r="C8540" s="82"/>
    </row>
    <row r="8541" spans="3:3" x14ac:dyDescent="0.35">
      <c r="C8541" s="82"/>
    </row>
    <row r="8542" spans="3:3" x14ac:dyDescent="0.35">
      <c r="C8542" s="82"/>
    </row>
    <row r="8543" spans="3:3" x14ac:dyDescent="0.35">
      <c r="C8543" s="82"/>
    </row>
    <row r="8544" spans="3:3" x14ac:dyDescent="0.35">
      <c r="C8544" s="82"/>
    </row>
    <row r="8545" spans="3:3" x14ac:dyDescent="0.35">
      <c r="C8545" s="82"/>
    </row>
    <row r="8546" spans="3:3" x14ac:dyDescent="0.35">
      <c r="C8546" s="82"/>
    </row>
    <row r="8547" spans="3:3" x14ac:dyDescent="0.35">
      <c r="C8547" s="82"/>
    </row>
    <row r="8548" spans="3:3" x14ac:dyDescent="0.35">
      <c r="C8548" s="82"/>
    </row>
    <row r="8549" spans="3:3" x14ac:dyDescent="0.35">
      <c r="C8549" s="82"/>
    </row>
    <row r="8550" spans="3:3" x14ac:dyDescent="0.35">
      <c r="C8550" s="82"/>
    </row>
    <row r="8551" spans="3:3" x14ac:dyDescent="0.35">
      <c r="C8551" s="82"/>
    </row>
    <row r="8552" spans="3:3" x14ac:dyDescent="0.35">
      <c r="C8552" s="82"/>
    </row>
    <row r="8553" spans="3:3" x14ac:dyDescent="0.35">
      <c r="C8553" s="82"/>
    </row>
    <row r="8554" spans="3:3" x14ac:dyDescent="0.35">
      <c r="C8554" s="82"/>
    </row>
    <row r="8555" spans="3:3" x14ac:dyDescent="0.35">
      <c r="C8555" s="82"/>
    </row>
    <row r="8556" spans="3:3" x14ac:dyDescent="0.35">
      <c r="C8556" s="82"/>
    </row>
    <row r="8557" spans="3:3" x14ac:dyDescent="0.35">
      <c r="C8557" s="82"/>
    </row>
    <row r="8558" spans="3:3" x14ac:dyDescent="0.35">
      <c r="C8558" s="82"/>
    </row>
    <row r="8559" spans="3:3" x14ac:dyDescent="0.35">
      <c r="C8559" s="82"/>
    </row>
    <row r="8560" spans="3:3" x14ac:dyDescent="0.35">
      <c r="C8560" s="82"/>
    </row>
    <row r="8561" spans="3:3" x14ac:dyDescent="0.35">
      <c r="C8561" s="82"/>
    </row>
    <row r="8562" spans="3:3" x14ac:dyDescent="0.35">
      <c r="C8562" s="82"/>
    </row>
    <row r="8563" spans="3:3" x14ac:dyDescent="0.35">
      <c r="C8563" s="82"/>
    </row>
    <row r="8564" spans="3:3" x14ac:dyDescent="0.35">
      <c r="C8564" s="82"/>
    </row>
    <row r="8565" spans="3:3" x14ac:dyDescent="0.35">
      <c r="C8565" s="82"/>
    </row>
    <row r="8566" spans="3:3" x14ac:dyDescent="0.35">
      <c r="C8566" s="82"/>
    </row>
    <row r="8567" spans="3:3" x14ac:dyDescent="0.35">
      <c r="C8567" s="82"/>
    </row>
    <row r="8568" spans="3:3" x14ac:dyDescent="0.35">
      <c r="C8568" s="82"/>
    </row>
    <row r="8569" spans="3:3" x14ac:dyDescent="0.35">
      <c r="C8569" s="82"/>
    </row>
    <row r="8570" spans="3:3" x14ac:dyDescent="0.35">
      <c r="C8570" s="82"/>
    </row>
    <row r="8571" spans="3:3" x14ac:dyDescent="0.35">
      <c r="C8571" s="82"/>
    </row>
    <row r="8572" spans="3:3" x14ac:dyDescent="0.35">
      <c r="C8572" s="82"/>
    </row>
    <row r="8573" spans="3:3" x14ac:dyDescent="0.35">
      <c r="C8573" s="82"/>
    </row>
    <row r="8574" spans="3:3" x14ac:dyDescent="0.35">
      <c r="C8574" s="82"/>
    </row>
    <row r="8575" spans="3:3" x14ac:dyDescent="0.35">
      <c r="C8575" s="82"/>
    </row>
    <row r="8576" spans="3:3" x14ac:dyDescent="0.35">
      <c r="C8576" s="82"/>
    </row>
    <row r="8577" spans="3:3" x14ac:dyDescent="0.35">
      <c r="C8577" s="82"/>
    </row>
    <row r="8578" spans="3:3" x14ac:dyDescent="0.35">
      <c r="C8578" s="82"/>
    </row>
    <row r="8579" spans="3:3" x14ac:dyDescent="0.35">
      <c r="C8579" s="82"/>
    </row>
    <row r="8580" spans="3:3" x14ac:dyDescent="0.35">
      <c r="C8580" s="82"/>
    </row>
    <row r="8581" spans="3:3" x14ac:dyDescent="0.35">
      <c r="C8581" s="82"/>
    </row>
    <row r="8582" spans="3:3" x14ac:dyDescent="0.35">
      <c r="C8582" s="82"/>
    </row>
    <row r="8583" spans="3:3" x14ac:dyDescent="0.35">
      <c r="C8583" s="82"/>
    </row>
    <row r="8584" spans="3:3" x14ac:dyDescent="0.35">
      <c r="C8584" s="82"/>
    </row>
    <row r="8585" spans="3:3" x14ac:dyDescent="0.35">
      <c r="C8585" s="82"/>
    </row>
    <row r="8586" spans="3:3" x14ac:dyDescent="0.35">
      <c r="C8586" s="82"/>
    </row>
    <row r="8587" spans="3:3" x14ac:dyDescent="0.35">
      <c r="C8587" s="82"/>
    </row>
    <row r="8588" spans="3:3" x14ac:dyDescent="0.35">
      <c r="C8588" s="82"/>
    </row>
    <row r="8589" spans="3:3" x14ac:dyDescent="0.35">
      <c r="C8589" s="82"/>
    </row>
    <row r="8590" spans="3:3" x14ac:dyDescent="0.35">
      <c r="C8590" s="82"/>
    </row>
    <row r="8591" spans="3:3" x14ac:dyDescent="0.35">
      <c r="C8591" s="82"/>
    </row>
    <row r="8592" spans="3:3" x14ac:dyDescent="0.35">
      <c r="C8592" s="82"/>
    </row>
    <row r="8593" spans="3:3" x14ac:dyDescent="0.35">
      <c r="C8593" s="82"/>
    </row>
    <row r="8594" spans="3:3" x14ac:dyDescent="0.35">
      <c r="C8594" s="82"/>
    </row>
    <row r="8595" spans="3:3" x14ac:dyDescent="0.35">
      <c r="C8595" s="82"/>
    </row>
    <row r="8596" spans="3:3" x14ac:dyDescent="0.35">
      <c r="C8596" s="82"/>
    </row>
    <row r="8597" spans="3:3" x14ac:dyDescent="0.35">
      <c r="C8597" s="82"/>
    </row>
    <row r="8598" spans="3:3" x14ac:dyDescent="0.35">
      <c r="C8598" s="82"/>
    </row>
    <row r="8599" spans="3:3" x14ac:dyDescent="0.35">
      <c r="C8599" s="82"/>
    </row>
    <row r="8600" spans="3:3" x14ac:dyDescent="0.35">
      <c r="C8600" s="82"/>
    </row>
    <row r="8601" spans="3:3" x14ac:dyDescent="0.35">
      <c r="C8601" s="82"/>
    </row>
    <row r="8602" spans="3:3" x14ac:dyDescent="0.35">
      <c r="C8602" s="82"/>
    </row>
    <row r="8603" spans="3:3" x14ac:dyDescent="0.35">
      <c r="C8603" s="82"/>
    </row>
    <row r="8604" spans="3:3" x14ac:dyDescent="0.35">
      <c r="C8604" s="82"/>
    </row>
    <row r="8605" spans="3:3" x14ac:dyDescent="0.35">
      <c r="C8605" s="82"/>
    </row>
    <row r="8606" spans="3:3" x14ac:dyDescent="0.35">
      <c r="C8606" s="82"/>
    </row>
    <row r="8607" spans="3:3" x14ac:dyDescent="0.35">
      <c r="C8607" s="82"/>
    </row>
    <row r="8608" spans="3:3" x14ac:dyDescent="0.35">
      <c r="C8608" s="82"/>
    </row>
    <row r="8609" spans="3:3" x14ac:dyDescent="0.35">
      <c r="C8609" s="82"/>
    </row>
    <row r="8610" spans="3:3" x14ac:dyDescent="0.35">
      <c r="C8610" s="82"/>
    </row>
    <row r="8611" spans="3:3" x14ac:dyDescent="0.35">
      <c r="C8611" s="82"/>
    </row>
    <row r="8612" spans="3:3" x14ac:dyDescent="0.35">
      <c r="C8612" s="82"/>
    </row>
    <row r="8613" spans="3:3" x14ac:dyDescent="0.35">
      <c r="C8613" s="82"/>
    </row>
    <row r="8614" spans="3:3" x14ac:dyDescent="0.35">
      <c r="C8614" s="82"/>
    </row>
    <row r="8615" spans="3:3" x14ac:dyDescent="0.35">
      <c r="C8615" s="82"/>
    </row>
    <row r="8616" spans="3:3" x14ac:dyDescent="0.35">
      <c r="C8616" s="82"/>
    </row>
    <row r="8617" spans="3:3" x14ac:dyDescent="0.35">
      <c r="C8617" s="82"/>
    </row>
    <row r="8618" spans="3:3" x14ac:dyDescent="0.35">
      <c r="C8618" s="82"/>
    </row>
    <row r="8619" spans="3:3" x14ac:dyDescent="0.35">
      <c r="C8619" s="82"/>
    </row>
    <row r="8620" spans="3:3" x14ac:dyDescent="0.35">
      <c r="C8620" s="82"/>
    </row>
    <row r="8621" spans="3:3" x14ac:dyDescent="0.35">
      <c r="C8621" s="82"/>
    </row>
    <row r="8622" spans="3:3" x14ac:dyDescent="0.35">
      <c r="C8622" s="82"/>
    </row>
    <row r="8623" spans="3:3" x14ac:dyDescent="0.35">
      <c r="C8623" s="82"/>
    </row>
    <row r="8624" spans="3:3" x14ac:dyDescent="0.35">
      <c r="C8624" s="82"/>
    </row>
    <row r="8625" spans="1:7" x14ac:dyDescent="0.35">
      <c r="C8625" s="82"/>
    </row>
    <row r="8626" spans="1:7" x14ac:dyDescent="0.35">
      <c r="C8626" s="82"/>
    </row>
    <row r="8627" spans="1:7" x14ac:dyDescent="0.35">
      <c r="C8627" s="82"/>
    </row>
    <row r="8628" spans="1:7" x14ac:dyDescent="0.35">
      <c r="C8628" s="82"/>
    </row>
    <row r="8629" spans="1:7" x14ac:dyDescent="0.35">
      <c r="C8629" s="82"/>
    </row>
    <row r="8630" spans="1:7" x14ac:dyDescent="0.35">
      <c r="C8630" s="82"/>
    </row>
    <row r="8631" spans="1:7" x14ac:dyDescent="0.35">
      <c r="C8631" s="82"/>
    </row>
    <row r="8632" spans="1:7" x14ac:dyDescent="0.35">
      <c r="C8632" s="82"/>
    </row>
    <row r="8633" spans="1:7" x14ac:dyDescent="0.35">
      <c r="C8633" s="82"/>
    </row>
    <row r="8634" spans="1:7" x14ac:dyDescent="0.35">
      <c r="C8634" s="82"/>
    </row>
    <row r="8635" spans="1:7" x14ac:dyDescent="0.35">
      <c r="C8635" s="82"/>
    </row>
    <row r="8636" spans="1:7" x14ac:dyDescent="0.35">
      <c r="C8636" s="82"/>
    </row>
    <row r="8637" spans="1:7" x14ac:dyDescent="0.35">
      <c r="C8637" s="82"/>
    </row>
    <row r="8638" spans="1:7" s="84" customFormat="1" x14ac:dyDescent="0.35">
      <c r="A8638" s="77"/>
      <c r="B8638" s="64"/>
      <c r="C8638" s="82"/>
      <c r="D8638" s="64"/>
      <c r="E8638" s="96"/>
      <c r="F8638" s="64"/>
      <c r="G8638" s="85"/>
    </row>
    <row r="8639" spans="1:7" s="84" customFormat="1" x14ac:dyDescent="0.35">
      <c r="A8639" s="77"/>
      <c r="B8639" s="64"/>
      <c r="C8639" s="82"/>
      <c r="D8639" s="64"/>
      <c r="E8639" s="96"/>
      <c r="F8639" s="64"/>
      <c r="G8639" s="70"/>
    </row>
    <row r="8640" spans="1:7" s="84" customFormat="1" x14ac:dyDescent="0.35">
      <c r="A8640" s="77"/>
      <c r="B8640" s="64"/>
      <c r="C8640" s="82"/>
      <c r="D8640" s="64"/>
      <c r="E8640" s="96"/>
      <c r="F8640" s="64"/>
      <c r="G8640" s="70"/>
    </row>
    <row r="8641" spans="1:7" s="84" customFormat="1" x14ac:dyDescent="0.35">
      <c r="A8641" s="77"/>
      <c r="B8641" s="64"/>
      <c r="C8641" s="82"/>
      <c r="D8641" s="64"/>
      <c r="E8641" s="96"/>
      <c r="F8641" s="64"/>
      <c r="G8641" s="70"/>
    </row>
    <row r="8642" spans="1:7" s="84" customFormat="1" x14ac:dyDescent="0.35">
      <c r="A8642" s="77"/>
      <c r="B8642" s="64"/>
      <c r="C8642" s="82"/>
      <c r="D8642" s="64"/>
      <c r="E8642" s="96"/>
      <c r="F8642" s="64"/>
      <c r="G8642" s="70"/>
    </row>
    <row r="8643" spans="1:7" s="84" customFormat="1" x14ac:dyDescent="0.35">
      <c r="A8643" s="77"/>
      <c r="B8643" s="64"/>
      <c r="C8643" s="82"/>
      <c r="D8643" s="64"/>
      <c r="E8643" s="96"/>
      <c r="F8643" s="64"/>
      <c r="G8643" s="70"/>
    </row>
    <row r="8644" spans="1:7" s="84" customFormat="1" x14ac:dyDescent="0.35">
      <c r="A8644" s="77"/>
      <c r="B8644" s="64"/>
      <c r="C8644" s="82"/>
      <c r="D8644" s="64"/>
      <c r="E8644" s="96"/>
      <c r="F8644" s="64"/>
      <c r="G8644" s="70"/>
    </row>
    <row r="8645" spans="1:7" s="84" customFormat="1" x14ac:dyDescent="0.35">
      <c r="A8645" s="77"/>
      <c r="B8645" s="64"/>
      <c r="C8645" s="82"/>
      <c r="D8645" s="64"/>
      <c r="E8645" s="96"/>
      <c r="F8645" s="64"/>
      <c r="G8645" s="70"/>
    </row>
    <row r="8646" spans="1:7" s="84" customFormat="1" x14ac:dyDescent="0.35">
      <c r="A8646" s="77"/>
      <c r="B8646" s="64"/>
      <c r="C8646" s="82"/>
      <c r="D8646" s="64"/>
      <c r="E8646" s="96"/>
      <c r="F8646" s="64"/>
      <c r="G8646" s="70"/>
    </row>
    <row r="8647" spans="1:7" s="84" customFormat="1" x14ac:dyDescent="0.35">
      <c r="A8647" s="77"/>
      <c r="B8647" s="64"/>
      <c r="C8647" s="82"/>
      <c r="D8647" s="64"/>
      <c r="E8647" s="96"/>
      <c r="F8647" s="64"/>
      <c r="G8647" s="70"/>
    </row>
    <row r="8648" spans="1:7" s="84" customFormat="1" x14ac:dyDescent="0.35">
      <c r="A8648" s="77"/>
      <c r="B8648" s="64"/>
      <c r="C8648" s="82"/>
      <c r="D8648" s="64"/>
      <c r="E8648" s="96"/>
      <c r="F8648" s="64"/>
      <c r="G8648" s="70"/>
    </row>
    <row r="8649" spans="1:7" s="84" customFormat="1" x14ac:dyDescent="0.35">
      <c r="A8649" s="77"/>
      <c r="B8649" s="64"/>
      <c r="C8649" s="82"/>
      <c r="D8649" s="64"/>
      <c r="E8649" s="96"/>
      <c r="F8649" s="64"/>
      <c r="G8649" s="70"/>
    </row>
    <row r="8650" spans="1:7" s="84" customFormat="1" x14ac:dyDescent="0.35">
      <c r="A8650" s="77"/>
      <c r="B8650" s="64"/>
      <c r="C8650" s="82"/>
      <c r="D8650" s="64"/>
      <c r="E8650" s="96"/>
      <c r="F8650" s="64"/>
      <c r="G8650" s="70"/>
    </row>
    <row r="8651" spans="1:7" s="84" customFormat="1" x14ac:dyDescent="0.35">
      <c r="A8651" s="77"/>
      <c r="B8651" s="64"/>
      <c r="C8651" s="82"/>
      <c r="D8651" s="64"/>
      <c r="E8651" s="96"/>
      <c r="F8651" s="64"/>
      <c r="G8651" s="70"/>
    </row>
    <row r="8652" spans="1:7" s="84" customFormat="1" x14ac:dyDescent="0.35">
      <c r="A8652" s="77"/>
      <c r="B8652" s="64"/>
      <c r="C8652" s="82"/>
      <c r="D8652" s="64"/>
      <c r="E8652" s="96"/>
      <c r="F8652" s="64"/>
      <c r="G8652" s="70"/>
    </row>
    <row r="8653" spans="1:7" s="84" customFormat="1" x14ac:dyDescent="0.35">
      <c r="A8653" s="77"/>
      <c r="B8653" s="64"/>
      <c r="C8653" s="82"/>
      <c r="D8653" s="64"/>
      <c r="E8653" s="96"/>
      <c r="F8653" s="64"/>
      <c r="G8653" s="70"/>
    </row>
    <row r="8654" spans="1:7" x14ac:dyDescent="0.35">
      <c r="C8654" s="82"/>
    </row>
    <row r="8655" spans="1:7" x14ac:dyDescent="0.35">
      <c r="C8655" s="82"/>
    </row>
    <row r="8656" spans="1:7" x14ac:dyDescent="0.35">
      <c r="C8656" s="82"/>
    </row>
    <row r="8657" spans="3:3" x14ac:dyDescent="0.35">
      <c r="C8657" s="82"/>
    </row>
    <row r="8658" spans="3:3" x14ac:dyDescent="0.35">
      <c r="C8658" s="82"/>
    </row>
    <row r="8659" spans="3:3" x14ac:dyDescent="0.35">
      <c r="C8659" s="82"/>
    </row>
    <row r="8660" spans="3:3" x14ac:dyDescent="0.35">
      <c r="C8660" s="82"/>
    </row>
    <row r="8661" spans="3:3" x14ac:dyDescent="0.35">
      <c r="C8661" s="82"/>
    </row>
    <row r="8662" spans="3:3" x14ac:dyDescent="0.35">
      <c r="C8662" s="82"/>
    </row>
    <row r="8663" spans="3:3" x14ac:dyDescent="0.35">
      <c r="C8663" s="82"/>
    </row>
    <row r="8664" spans="3:3" x14ac:dyDescent="0.35">
      <c r="C8664" s="82"/>
    </row>
    <row r="8665" spans="3:3" x14ac:dyDescent="0.35">
      <c r="C8665" s="82"/>
    </row>
    <row r="8666" spans="3:3" x14ac:dyDescent="0.35">
      <c r="C8666" s="82"/>
    </row>
    <row r="8667" spans="3:3" x14ac:dyDescent="0.35">
      <c r="C8667" s="82"/>
    </row>
    <row r="8668" spans="3:3" x14ac:dyDescent="0.35">
      <c r="C8668" s="82"/>
    </row>
    <row r="8669" spans="3:3" x14ac:dyDescent="0.35">
      <c r="C8669" s="82"/>
    </row>
    <row r="8670" spans="3:3" x14ac:dyDescent="0.35">
      <c r="C8670" s="82"/>
    </row>
    <row r="8671" spans="3:3" x14ac:dyDescent="0.35">
      <c r="C8671" s="82"/>
    </row>
    <row r="8672" spans="3:3" x14ac:dyDescent="0.35">
      <c r="C8672" s="82"/>
    </row>
    <row r="8673" spans="3:3" x14ac:dyDescent="0.35">
      <c r="C8673" s="82"/>
    </row>
    <row r="8674" spans="3:3" x14ac:dyDescent="0.35">
      <c r="C8674" s="82"/>
    </row>
    <row r="8675" spans="3:3" x14ac:dyDescent="0.35">
      <c r="C8675" s="82"/>
    </row>
    <row r="8676" spans="3:3" x14ac:dyDescent="0.35">
      <c r="C8676" s="82"/>
    </row>
    <row r="8677" spans="3:3" x14ac:dyDescent="0.35">
      <c r="C8677" s="82"/>
    </row>
    <row r="8678" spans="3:3" x14ac:dyDescent="0.35">
      <c r="C8678" s="82"/>
    </row>
    <row r="8679" spans="3:3" x14ac:dyDescent="0.35">
      <c r="C8679" s="82"/>
    </row>
    <row r="8680" spans="3:3" x14ac:dyDescent="0.35">
      <c r="C8680" s="82"/>
    </row>
    <row r="8681" spans="3:3" x14ac:dyDescent="0.35">
      <c r="C8681" s="82"/>
    </row>
    <row r="8682" spans="3:3" x14ac:dyDescent="0.35">
      <c r="C8682" s="82"/>
    </row>
    <row r="8683" spans="3:3" x14ac:dyDescent="0.35">
      <c r="C8683" s="82"/>
    </row>
    <row r="8684" spans="3:3" x14ac:dyDescent="0.35">
      <c r="C8684" s="82"/>
    </row>
    <row r="8685" spans="3:3" x14ac:dyDescent="0.35">
      <c r="C8685" s="82"/>
    </row>
    <row r="8686" spans="3:3" x14ac:dyDescent="0.35">
      <c r="C8686" s="82"/>
    </row>
    <row r="8687" spans="3:3" x14ac:dyDescent="0.35">
      <c r="C8687" s="82"/>
    </row>
    <row r="8688" spans="3:3" x14ac:dyDescent="0.35">
      <c r="C8688" s="82"/>
    </row>
    <row r="8689" spans="3:3" x14ac:dyDescent="0.35">
      <c r="C8689" s="82"/>
    </row>
    <row r="8690" spans="3:3" x14ac:dyDescent="0.35">
      <c r="C8690" s="82"/>
    </row>
    <row r="8691" spans="3:3" x14ac:dyDescent="0.35">
      <c r="C8691" s="82"/>
    </row>
    <row r="8692" spans="3:3" x14ac:dyDescent="0.35">
      <c r="C8692" s="82"/>
    </row>
    <row r="8693" spans="3:3" x14ac:dyDescent="0.35">
      <c r="C8693" s="82"/>
    </row>
    <row r="8694" spans="3:3" x14ac:dyDescent="0.35">
      <c r="C8694" s="82"/>
    </row>
    <row r="8695" spans="3:3" x14ac:dyDescent="0.35">
      <c r="C8695" s="82"/>
    </row>
    <row r="8696" spans="3:3" x14ac:dyDescent="0.35">
      <c r="C8696" s="82"/>
    </row>
    <row r="8697" spans="3:3" x14ac:dyDescent="0.35">
      <c r="C8697" s="82"/>
    </row>
    <row r="8698" spans="3:3" x14ac:dyDescent="0.35">
      <c r="C8698" s="82"/>
    </row>
    <row r="8699" spans="3:3" x14ac:dyDescent="0.35">
      <c r="C8699" s="82"/>
    </row>
    <row r="8700" spans="3:3" x14ac:dyDescent="0.35">
      <c r="C8700" s="82"/>
    </row>
    <row r="8701" spans="3:3" x14ac:dyDescent="0.35">
      <c r="C8701" s="82"/>
    </row>
    <row r="8702" spans="3:3" x14ac:dyDescent="0.35">
      <c r="C8702" s="82"/>
    </row>
    <row r="8703" spans="3:3" x14ac:dyDescent="0.35">
      <c r="C8703" s="82"/>
    </row>
    <row r="8704" spans="3:3" x14ac:dyDescent="0.35">
      <c r="C8704" s="82"/>
    </row>
    <row r="8705" spans="3:3" x14ac:dyDescent="0.35">
      <c r="C8705" s="82"/>
    </row>
    <row r="8706" spans="3:3" x14ac:dyDescent="0.35">
      <c r="C8706" s="82"/>
    </row>
    <row r="8707" spans="3:3" x14ac:dyDescent="0.35">
      <c r="C8707" s="82"/>
    </row>
    <row r="8708" spans="3:3" x14ac:dyDescent="0.35">
      <c r="C8708" s="82"/>
    </row>
    <row r="8709" spans="3:3" x14ac:dyDescent="0.35">
      <c r="C8709" s="82"/>
    </row>
    <row r="8710" spans="3:3" x14ac:dyDescent="0.35">
      <c r="C8710" s="82"/>
    </row>
    <row r="8711" spans="3:3" x14ac:dyDescent="0.35">
      <c r="C8711" s="82"/>
    </row>
    <row r="8712" spans="3:3" x14ac:dyDescent="0.35">
      <c r="C8712" s="82"/>
    </row>
    <row r="8713" spans="3:3" x14ac:dyDescent="0.35">
      <c r="C8713" s="82"/>
    </row>
    <row r="8714" spans="3:3" x14ac:dyDescent="0.35">
      <c r="C8714" s="82"/>
    </row>
    <row r="8715" spans="3:3" x14ac:dyDescent="0.35">
      <c r="C8715" s="82"/>
    </row>
    <row r="8716" spans="3:3" x14ac:dyDescent="0.35">
      <c r="C8716" s="82"/>
    </row>
    <row r="8717" spans="3:3" x14ac:dyDescent="0.35">
      <c r="C8717" s="82"/>
    </row>
    <row r="8718" spans="3:3" x14ac:dyDescent="0.35">
      <c r="C8718" s="82"/>
    </row>
    <row r="8719" spans="3:3" x14ac:dyDescent="0.35">
      <c r="C8719" s="82"/>
    </row>
    <row r="8720" spans="3:3" x14ac:dyDescent="0.35">
      <c r="C8720" s="82"/>
    </row>
    <row r="8721" spans="3:3" x14ac:dyDescent="0.35">
      <c r="C8721" s="82"/>
    </row>
    <row r="8722" spans="3:3" x14ac:dyDescent="0.35">
      <c r="C8722" s="82"/>
    </row>
    <row r="8723" spans="3:3" x14ac:dyDescent="0.35">
      <c r="C8723" s="82"/>
    </row>
    <row r="8724" spans="3:3" x14ac:dyDescent="0.35">
      <c r="C8724" s="82"/>
    </row>
    <row r="8725" spans="3:3" x14ac:dyDescent="0.35">
      <c r="C8725" s="82"/>
    </row>
    <row r="8726" spans="3:3" x14ac:dyDescent="0.35">
      <c r="C8726" s="82"/>
    </row>
    <row r="8727" spans="3:3" x14ac:dyDescent="0.35">
      <c r="C8727" s="82"/>
    </row>
    <row r="8728" spans="3:3" x14ac:dyDescent="0.35">
      <c r="C8728" s="82"/>
    </row>
    <row r="8729" spans="3:3" x14ac:dyDescent="0.35">
      <c r="C8729" s="82"/>
    </row>
    <row r="8730" spans="3:3" x14ac:dyDescent="0.35">
      <c r="C8730" s="82"/>
    </row>
    <row r="8731" spans="3:3" x14ac:dyDescent="0.35">
      <c r="C8731" s="82"/>
    </row>
    <row r="8732" spans="3:3" x14ac:dyDescent="0.35">
      <c r="C8732" s="82"/>
    </row>
    <row r="8733" spans="3:3" x14ac:dyDescent="0.35">
      <c r="C8733" s="82"/>
    </row>
    <row r="8734" spans="3:3" x14ac:dyDescent="0.35">
      <c r="C8734" s="82"/>
    </row>
    <row r="8735" spans="3:3" x14ac:dyDescent="0.35">
      <c r="C8735" s="82"/>
    </row>
    <row r="8736" spans="3:3" x14ac:dyDescent="0.35">
      <c r="C8736" s="82"/>
    </row>
    <row r="8737" spans="1:9" x14ac:dyDescent="0.35">
      <c r="C8737" s="82"/>
    </row>
    <row r="8738" spans="1:9" x14ac:dyDescent="0.35">
      <c r="C8738" s="82"/>
    </row>
    <row r="8739" spans="1:9" x14ac:dyDescent="0.35">
      <c r="C8739" s="82"/>
    </row>
    <row r="8740" spans="1:9" x14ac:dyDescent="0.35">
      <c r="C8740" s="82"/>
    </row>
    <row r="8741" spans="1:9" x14ac:dyDescent="0.35">
      <c r="C8741" s="82"/>
    </row>
    <row r="8742" spans="1:9" x14ac:dyDescent="0.35">
      <c r="C8742" s="82"/>
    </row>
    <row r="8743" spans="1:9" x14ac:dyDescent="0.35">
      <c r="C8743" s="82"/>
    </row>
    <row r="8744" spans="1:9" x14ac:dyDescent="0.35">
      <c r="C8744" s="82"/>
    </row>
    <row r="8745" spans="1:9" x14ac:dyDescent="0.35">
      <c r="C8745" s="82"/>
    </row>
    <row r="8746" spans="1:9" x14ac:dyDescent="0.35">
      <c r="C8746" s="82"/>
    </row>
    <row r="8747" spans="1:9" x14ac:dyDescent="0.35">
      <c r="C8747" s="82"/>
    </row>
    <row r="8748" spans="1:9" x14ac:dyDescent="0.35">
      <c r="C8748" s="82"/>
    </row>
    <row r="8749" spans="1:9" x14ac:dyDescent="0.35">
      <c r="C8749" s="82"/>
    </row>
    <row r="8750" spans="1:9" s="83" customFormat="1" x14ac:dyDescent="0.35">
      <c r="A8750" s="77"/>
      <c r="B8750" s="64"/>
      <c r="C8750" s="82"/>
      <c r="D8750" s="64"/>
      <c r="E8750" s="96"/>
      <c r="F8750" s="64"/>
      <c r="G8750" s="70"/>
      <c r="H8750" s="84"/>
      <c r="I8750" s="84"/>
    </row>
    <row r="8751" spans="1:9" s="83" customFormat="1" x14ac:dyDescent="0.35">
      <c r="A8751" s="77"/>
      <c r="B8751" s="64"/>
      <c r="C8751" s="82"/>
      <c r="D8751" s="64"/>
      <c r="E8751" s="96"/>
      <c r="F8751" s="64"/>
      <c r="G8751" s="70"/>
      <c r="H8751" s="84"/>
      <c r="I8751" s="84"/>
    </row>
    <row r="8752" spans="1:9" s="83" customFormat="1" x14ac:dyDescent="0.35">
      <c r="A8752" s="77"/>
      <c r="B8752" s="64"/>
      <c r="C8752" s="82"/>
      <c r="D8752" s="64"/>
      <c r="E8752" s="96"/>
      <c r="F8752" s="64"/>
      <c r="G8752" s="70"/>
      <c r="H8752" s="84"/>
      <c r="I8752" s="84"/>
    </row>
    <row r="8753" spans="1:9" s="83" customFormat="1" x14ac:dyDescent="0.35">
      <c r="A8753" s="77"/>
      <c r="B8753" s="64"/>
      <c r="C8753" s="82"/>
      <c r="D8753" s="64"/>
      <c r="E8753" s="96"/>
      <c r="F8753" s="64"/>
      <c r="G8753" s="70"/>
      <c r="H8753" s="84"/>
      <c r="I8753" s="84"/>
    </row>
    <row r="8754" spans="1:9" s="83" customFormat="1" x14ac:dyDescent="0.35">
      <c r="A8754" s="77"/>
      <c r="B8754" s="64"/>
      <c r="C8754" s="82"/>
      <c r="D8754" s="64"/>
      <c r="E8754" s="96"/>
      <c r="F8754" s="64"/>
      <c r="G8754" s="70"/>
      <c r="H8754" s="84"/>
      <c r="I8754" s="84"/>
    </row>
    <row r="8755" spans="1:9" s="83" customFormat="1" x14ac:dyDescent="0.35">
      <c r="A8755" s="77"/>
      <c r="B8755" s="64"/>
      <c r="C8755" s="82"/>
      <c r="D8755" s="86"/>
      <c r="E8755" s="96"/>
      <c r="F8755" s="64"/>
      <c r="G8755" s="70"/>
      <c r="H8755" s="84"/>
      <c r="I8755" s="84"/>
    </row>
    <row r="8756" spans="1:9" s="83" customFormat="1" x14ac:dyDescent="0.35">
      <c r="A8756" s="77"/>
      <c r="B8756" s="64"/>
      <c r="C8756" s="82"/>
      <c r="D8756" s="64"/>
      <c r="E8756" s="96"/>
      <c r="F8756" s="64"/>
      <c r="G8756" s="70"/>
      <c r="H8756" s="84"/>
      <c r="I8756" s="84"/>
    </row>
    <row r="8757" spans="1:9" s="83" customFormat="1" x14ac:dyDescent="0.35">
      <c r="A8757" s="77"/>
      <c r="B8757" s="64"/>
      <c r="C8757" s="82"/>
      <c r="D8757" s="64"/>
      <c r="E8757" s="96"/>
      <c r="F8757" s="64"/>
      <c r="G8757" s="70"/>
      <c r="H8757" s="84"/>
      <c r="I8757" s="84"/>
    </row>
    <row r="8758" spans="1:9" s="83" customFormat="1" x14ac:dyDescent="0.35">
      <c r="A8758" s="77"/>
      <c r="B8758" s="64"/>
      <c r="C8758" s="82"/>
      <c r="D8758" s="64"/>
      <c r="E8758" s="96"/>
      <c r="F8758" s="64"/>
      <c r="G8758" s="70"/>
      <c r="H8758" s="84"/>
      <c r="I8758" s="84"/>
    </row>
    <row r="8759" spans="1:9" s="83" customFormat="1" x14ac:dyDescent="0.35">
      <c r="A8759" s="77"/>
      <c r="B8759" s="64"/>
      <c r="C8759" s="82"/>
      <c r="D8759" s="64"/>
      <c r="E8759" s="96"/>
      <c r="F8759" s="64"/>
      <c r="G8759" s="70"/>
      <c r="H8759" s="84"/>
      <c r="I8759" s="84"/>
    </row>
    <row r="8760" spans="1:9" s="83" customFormat="1" x14ac:dyDescent="0.35">
      <c r="A8760" s="77"/>
      <c r="B8760" s="64"/>
      <c r="C8760" s="82"/>
      <c r="D8760" s="64"/>
      <c r="E8760" s="96"/>
      <c r="F8760" s="64"/>
      <c r="G8760" s="70"/>
      <c r="H8760" s="84"/>
      <c r="I8760" s="84"/>
    </row>
    <row r="8761" spans="1:9" s="83" customFormat="1" x14ac:dyDescent="0.35">
      <c r="A8761" s="77"/>
      <c r="B8761" s="64"/>
      <c r="C8761" s="82"/>
      <c r="D8761" s="64"/>
      <c r="E8761" s="96"/>
      <c r="F8761" s="64"/>
      <c r="G8761" s="70"/>
      <c r="H8761" s="84"/>
      <c r="I8761" s="84"/>
    </row>
    <row r="8762" spans="1:9" s="83" customFormat="1" x14ac:dyDescent="0.35">
      <c r="A8762" s="77"/>
      <c r="B8762" s="64"/>
      <c r="C8762" s="82"/>
      <c r="D8762" s="64"/>
      <c r="E8762" s="96"/>
      <c r="F8762" s="64"/>
      <c r="G8762" s="70"/>
      <c r="H8762" s="84"/>
      <c r="I8762" s="84"/>
    </row>
    <row r="8763" spans="1:9" s="83" customFormat="1" x14ac:dyDescent="0.35">
      <c r="A8763" s="77"/>
      <c r="B8763" s="64"/>
      <c r="C8763" s="82"/>
      <c r="D8763" s="64"/>
      <c r="E8763" s="96"/>
      <c r="F8763" s="64"/>
      <c r="G8763" s="70"/>
      <c r="H8763" s="84"/>
      <c r="I8763" s="84"/>
    </row>
    <row r="8764" spans="1:9" s="83" customFormat="1" x14ac:dyDescent="0.35">
      <c r="A8764" s="77"/>
      <c r="B8764" s="64"/>
      <c r="C8764" s="82"/>
      <c r="D8764" s="64"/>
      <c r="E8764" s="96"/>
      <c r="F8764" s="64"/>
      <c r="G8764" s="70"/>
      <c r="H8764" s="84"/>
      <c r="I8764" s="84"/>
    </row>
    <row r="8765" spans="1:9" s="83" customFormat="1" x14ac:dyDescent="0.35">
      <c r="A8765" s="77"/>
      <c r="B8765" s="64"/>
      <c r="C8765" s="82"/>
      <c r="D8765" s="64"/>
      <c r="E8765" s="96"/>
      <c r="F8765" s="64"/>
      <c r="G8765" s="70"/>
      <c r="H8765" s="84"/>
      <c r="I8765" s="84"/>
    </row>
    <row r="8766" spans="1:9" x14ac:dyDescent="0.35">
      <c r="C8766" s="82"/>
    </row>
    <row r="8767" spans="1:9" x14ac:dyDescent="0.35">
      <c r="C8767" s="82"/>
    </row>
    <row r="8768" spans="1:9" x14ac:dyDescent="0.35">
      <c r="C8768" s="82"/>
    </row>
    <row r="8769" spans="3:3" x14ac:dyDescent="0.35">
      <c r="C8769" s="82"/>
    </row>
    <row r="8770" spans="3:3" x14ac:dyDescent="0.35">
      <c r="C8770" s="82"/>
    </row>
    <row r="8771" spans="3:3" x14ac:dyDescent="0.35">
      <c r="C8771" s="82"/>
    </row>
    <row r="8772" spans="3:3" x14ac:dyDescent="0.35">
      <c r="C8772" s="82"/>
    </row>
    <row r="8773" spans="3:3" x14ac:dyDescent="0.35">
      <c r="C8773" s="82"/>
    </row>
    <row r="8774" spans="3:3" x14ac:dyDescent="0.35">
      <c r="C8774" s="82"/>
    </row>
    <row r="8775" spans="3:3" x14ac:dyDescent="0.35">
      <c r="C8775" s="82"/>
    </row>
    <row r="8776" spans="3:3" x14ac:dyDescent="0.35">
      <c r="C8776" s="82"/>
    </row>
    <row r="8777" spans="3:3" x14ac:dyDescent="0.35">
      <c r="C8777" s="82"/>
    </row>
    <row r="8778" spans="3:3" x14ac:dyDescent="0.35">
      <c r="C8778" s="82"/>
    </row>
    <row r="8779" spans="3:3" x14ac:dyDescent="0.35">
      <c r="C8779" s="82"/>
    </row>
    <row r="8780" spans="3:3" x14ac:dyDescent="0.35">
      <c r="C8780" s="82"/>
    </row>
    <row r="8781" spans="3:3" x14ac:dyDescent="0.35">
      <c r="C8781" s="82"/>
    </row>
    <row r="8782" spans="3:3" x14ac:dyDescent="0.35">
      <c r="C8782" s="82"/>
    </row>
    <row r="8783" spans="3:3" x14ac:dyDescent="0.35">
      <c r="C8783" s="82"/>
    </row>
    <row r="8784" spans="3:3" x14ac:dyDescent="0.35">
      <c r="C8784" s="82"/>
    </row>
    <row r="8785" spans="3:3" x14ac:dyDescent="0.35">
      <c r="C8785" s="82"/>
    </row>
    <row r="8786" spans="3:3" x14ac:dyDescent="0.35">
      <c r="C8786" s="82"/>
    </row>
    <row r="8787" spans="3:3" x14ac:dyDescent="0.35">
      <c r="C8787" s="82"/>
    </row>
    <row r="8788" spans="3:3" x14ac:dyDescent="0.35">
      <c r="C8788" s="82"/>
    </row>
    <row r="8789" spans="3:3" x14ac:dyDescent="0.35">
      <c r="C8789" s="82"/>
    </row>
    <row r="8790" spans="3:3" x14ac:dyDescent="0.35">
      <c r="C8790" s="82"/>
    </row>
    <row r="8791" spans="3:3" x14ac:dyDescent="0.35">
      <c r="C8791" s="82"/>
    </row>
    <row r="8792" spans="3:3" x14ac:dyDescent="0.35">
      <c r="C8792" s="82"/>
    </row>
    <row r="8793" spans="3:3" x14ac:dyDescent="0.35">
      <c r="C8793" s="82"/>
    </row>
    <row r="8794" spans="3:3" x14ac:dyDescent="0.35">
      <c r="C8794" s="82"/>
    </row>
    <row r="8795" spans="3:3" x14ac:dyDescent="0.35">
      <c r="C8795" s="82"/>
    </row>
    <row r="8796" spans="3:3" x14ac:dyDescent="0.35">
      <c r="C8796" s="82"/>
    </row>
    <row r="8797" spans="3:3" x14ac:dyDescent="0.35">
      <c r="C8797" s="82"/>
    </row>
    <row r="8798" spans="3:3" x14ac:dyDescent="0.35">
      <c r="C8798" s="82"/>
    </row>
    <row r="8799" spans="3:3" x14ac:dyDescent="0.35">
      <c r="C8799" s="82"/>
    </row>
    <row r="8800" spans="3:3" x14ac:dyDescent="0.35">
      <c r="C8800" s="82"/>
    </row>
    <row r="8801" spans="3:3" x14ac:dyDescent="0.35">
      <c r="C8801" s="82"/>
    </row>
    <row r="8802" spans="3:3" x14ac:dyDescent="0.35">
      <c r="C8802" s="82"/>
    </row>
    <row r="8803" spans="3:3" x14ac:dyDescent="0.35">
      <c r="C8803" s="82"/>
    </row>
    <row r="8804" spans="3:3" x14ac:dyDescent="0.35">
      <c r="C8804" s="82"/>
    </row>
    <row r="8805" spans="3:3" x14ac:dyDescent="0.35">
      <c r="C8805" s="82"/>
    </row>
    <row r="8806" spans="3:3" x14ac:dyDescent="0.35">
      <c r="C8806" s="82"/>
    </row>
    <row r="8807" spans="3:3" x14ac:dyDescent="0.35">
      <c r="C8807" s="82"/>
    </row>
    <row r="8808" spans="3:3" x14ac:dyDescent="0.35">
      <c r="C8808" s="82"/>
    </row>
    <row r="8809" spans="3:3" x14ac:dyDescent="0.35">
      <c r="C8809" s="82"/>
    </row>
    <row r="8810" spans="3:3" x14ac:dyDescent="0.35">
      <c r="C8810" s="82"/>
    </row>
    <row r="8811" spans="3:3" x14ac:dyDescent="0.35">
      <c r="C8811" s="82"/>
    </row>
    <row r="8812" spans="3:3" x14ac:dyDescent="0.35">
      <c r="C8812" s="82"/>
    </row>
    <row r="8813" spans="3:3" x14ac:dyDescent="0.35">
      <c r="C8813" s="82"/>
    </row>
    <row r="8814" spans="3:3" x14ac:dyDescent="0.35">
      <c r="C8814" s="82"/>
    </row>
    <row r="8815" spans="3:3" x14ac:dyDescent="0.35">
      <c r="C8815" s="82"/>
    </row>
    <row r="8816" spans="3:3" x14ac:dyDescent="0.35">
      <c r="C8816" s="82"/>
    </row>
    <row r="8817" spans="3:3" x14ac:dyDescent="0.35">
      <c r="C8817" s="82"/>
    </row>
    <row r="8818" spans="3:3" x14ac:dyDescent="0.35">
      <c r="C8818" s="82"/>
    </row>
    <row r="8819" spans="3:3" x14ac:dyDescent="0.35">
      <c r="C8819" s="82"/>
    </row>
    <row r="8820" spans="3:3" x14ac:dyDescent="0.35">
      <c r="C8820" s="82"/>
    </row>
    <row r="8821" spans="3:3" x14ac:dyDescent="0.35">
      <c r="C8821" s="82"/>
    </row>
    <row r="8822" spans="3:3" x14ac:dyDescent="0.35">
      <c r="C8822" s="82"/>
    </row>
    <row r="8823" spans="3:3" x14ac:dyDescent="0.35">
      <c r="C8823" s="82"/>
    </row>
    <row r="8824" spans="3:3" x14ac:dyDescent="0.35">
      <c r="C8824" s="82"/>
    </row>
    <row r="8825" spans="3:3" x14ac:dyDescent="0.35">
      <c r="C8825" s="82"/>
    </row>
    <row r="8826" spans="3:3" x14ac:dyDescent="0.35">
      <c r="C8826" s="82"/>
    </row>
    <row r="8827" spans="3:3" x14ac:dyDescent="0.35">
      <c r="C8827" s="82"/>
    </row>
    <row r="8828" spans="3:3" x14ac:dyDescent="0.35">
      <c r="C8828" s="82"/>
    </row>
    <row r="8829" spans="3:3" x14ac:dyDescent="0.35">
      <c r="C8829" s="82"/>
    </row>
    <row r="8830" spans="3:3" x14ac:dyDescent="0.35">
      <c r="C8830" s="82"/>
    </row>
    <row r="8831" spans="3:3" x14ac:dyDescent="0.35">
      <c r="C8831" s="82"/>
    </row>
    <row r="8832" spans="3:3" x14ac:dyDescent="0.35">
      <c r="C8832" s="82"/>
    </row>
    <row r="8833" spans="3:3" x14ac:dyDescent="0.35">
      <c r="C8833" s="82"/>
    </row>
    <row r="8834" spans="3:3" x14ac:dyDescent="0.35">
      <c r="C8834" s="82"/>
    </row>
    <row r="8835" spans="3:3" x14ac:dyDescent="0.35">
      <c r="C8835" s="82"/>
    </row>
    <row r="8836" spans="3:3" x14ac:dyDescent="0.35">
      <c r="C8836" s="82"/>
    </row>
    <row r="8837" spans="3:3" x14ac:dyDescent="0.35">
      <c r="C8837" s="82"/>
    </row>
    <row r="8838" spans="3:3" x14ac:dyDescent="0.35">
      <c r="C8838" s="82"/>
    </row>
    <row r="8839" spans="3:3" x14ac:dyDescent="0.35">
      <c r="C8839" s="82"/>
    </row>
    <row r="8840" spans="3:3" x14ac:dyDescent="0.35">
      <c r="C8840" s="82"/>
    </row>
    <row r="8841" spans="3:3" x14ac:dyDescent="0.35">
      <c r="C8841" s="82"/>
    </row>
    <row r="8842" spans="3:3" x14ac:dyDescent="0.35">
      <c r="C8842" s="82"/>
    </row>
    <row r="8843" spans="3:3" x14ac:dyDescent="0.35">
      <c r="C8843" s="82"/>
    </row>
    <row r="8844" spans="3:3" x14ac:dyDescent="0.35">
      <c r="C8844" s="82"/>
    </row>
    <row r="8845" spans="3:3" x14ac:dyDescent="0.35">
      <c r="C8845" s="82"/>
    </row>
    <row r="8846" spans="3:3" x14ac:dyDescent="0.35">
      <c r="C8846" s="82"/>
    </row>
    <row r="8847" spans="3:3" x14ac:dyDescent="0.35">
      <c r="C8847" s="82"/>
    </row>
    <row r="8848" spans="3:3" x14ac:dyDescent="0.35">
      <c r="C8848" s="82"/>
    </row>
    <row r="8849" spans="3:3" x14ac:dyDescent="0.35">
      <c r="C8849" s="82"/>
    </row>
    <row r="8850" spans="3:3" x14ac:dyDescent="0.35">
      <c r="C8850" s="82"/>
    </row>
    <row r="8851" spans="3:3" x14ac:dyDescent="0.35">
      <c r="C8851" s="82"/>
    </row>
    <row r="8852" spans="3:3" x14ac:dyDescent="0.35">
      <c r="C8852" s="82"/>
    </row>
    <row r="8853" spans="3:3" x14ac:dyDescent="0.35">
      <c r="C8853" s="82"/>
    </row>
    <row r="8854" spans="3:3" x14ac:dyDescent="0.35">
      <c r="C8854" s="82"/>
    </row>
    <row r="8855" spans="3:3" x14ac:dyDescent="0.35">
      <c r="C8855" s="82"/>
    </row>
    <row r="8856" spans="3:3" x14ac:dyDescent="0.35">
      <c r="C8856" s="82"/>
    </row>
    <row r="8857" spans="3:3" x14ac:dyDescent="0.35">
      <c r="C8857" s="82"/>
    </row>
    <row r="8858" spans="3:3" x14ac:dyDescent="0.35">
      <c r="C8858" s="82"/>
    </row>
    <row r="8859" spans="3:3" x14ac:dyDescent="0.35">
      <c r="C8859" s="82"/>
    </row>
    <row r="8860" spans="3:3" x14ac:dyDescent="0.35">
      <c r="C8860" s="82"/>
    </row>
    <row r="8861" spans="3:3" x14ac:dyDescent="0.35">
      <c r="C8861" s="82"/>
    </row>
    <row r="8862" spans="3:3" x14ac:dyDescent="0.35">
      <c r="C8862" s="82"/>
    </row>
    <row r="8863" spans="3:3" x14ac:dyDescent="0.35">
      <c r="C8863" s="82"/>
    </row>
    <row r="8864" spans="3:3" x14ac:dyDescent="0.35">
      <c r="C8864" s="82"/>
    </row>
    <row r="8865" spans="3:3" x14ac:dyDescent="0.35">
      <c r="C8865" s="82"/>
    </row>
    <row r="8866" spans="3:3" x14ac:dyDescent="0.35">
      <c r="C8866" s="82"/>
    </row>
    <row r="8867" spans="3:3" x14ac:dyDescent="0.35">
      <c r="C8867" s="82"/>
    </row>
    <row r="8868" spans="3:3" x14ac:dyDescent="0.35">
      <c r="C8868" s="82"/>
    </row>
    <row r="8869" spans="3:3" x14ac:dyDescent="0.35">
      <c r="C8869" s="82"/>
    </row>
    <row r="8870" spans="3:3" x14ac:dyDescent="0.35">
      <c r="C8870" s="82"/>
    </row>
    <row r="8871" spans="3:3" x14ac:dyDescent="0.35">
      <c r="C8871" s="82"/>
    </row>
    <row r="8872" spans="3:3" x14ac:dyDescent="0.35">
      <c r="C8872" s="82"/>
    </row>
    <row r="8873" spans="3:3" x14ac:dyDescent="0.35">
      <c r="C8873" s="82"/>
    </row>
    <row r="8874" spans="3:3" x14ac:dyDescent="0.35">
      <c r="C8874" s="82"/>
    </row>
    <row r="8875" spans="3:3" x14ac:dyDescent="0.35">
      <c r="C8875" s="82"/>
    </row>
    <row r="8876" spans="3:3" x14ac:dyDescent="0.35">
      <c r="C8876" s="82"/>
    </row>
    <row r="8877" spans="3:3" x14ac:dyDescent="0.35">
      <c r="C8877" s="82"/>
    </row>
    <row r="8878" spans="3:3" x14ac:dyDescent="0.35">
      <c r="C8878" s="82"/>
    </row>
    <row r="8879" spans="3:3" x14ac:dyDescent="0.35">
      <c r="C8879" s="82"/>
    </row>
    <row r="8880" spans="3:3" x14ac:dyDescent="0.35">
      <c r="C8880" s="82"/>
    </row>
    <row r="8881" spans="3:3" x14ac:dyDescent="0.35">
      <c r="C8881" s="82"/>
    </row>
    <row r="8882" spans="3:3" x14ac:dyDescent="0.35">
      <c r="C8882" s="82"/>
    </row>
    <row r="8883" spans="3:3" x14ac:dyDescent="0.35">
      <c r="C8883" s="82"/>
    </row>
    <row r="8884" spans="3:3" x14ac:dyDescent="0.35">
      <c r="C8884" s="82"/>
    </row>
    <row r="8885" spans="3:3" x14ac:dyDescent="0.35">
      <c r="C8885" s="82"/>
    </row>
    <row r="8886" spans="3:3" x14ac:dyDescent="0.35">
      <c r="C8886" s="82"/>
    </row>
    <row r="8887" spans="3:3" x14ac:dyDescent="0.35">
      <c r="C8887" s="82"/>
    </row>
    <row r="8888" spans="3:3" x14ac:dyDescent="0.35">
      <c r="C8888" s="82"/>
    </row>
    <row r="8889" spans="3:3" x14ac:dyDescent="0.35">
      <c r="C8889" s="82"/>
    </row>
    <row r="8890" spans="3:3" x14ac:dyDescent="0.35">
      <c r="C8890" s="82"/>
    </row>
    <row r="8891" spans="3:3" x14ac:dyDescent="0.35">
      <c r="C8891" s="82"/>
    </row>
    <row r="8892" spans="3:3" x14ac:dyDescent="0.35">
      <c r="C8892" s="82"/>
    </row>
    <row r="8893" spans="3:3" x14ac:dyDescent="0.35">
      <c r="C8893" s="82"/>
    </row>
    <row r="8894" spans="3:3" x14ac:dyDescent="0.35">
      <c r="C8894" s="82"/>
    </row>
    <row r="8895" spans="3:3" x14ac:dyDescent="0.35">
      <c r="C8895" s="82"/>
    </row>
    <row r="8896" spans="3:3" x14ac:dyDescent="0.35">
      <c r="C8896" s="82"/>
    </row>
    <row r="8897" spans="3:3" x14ac:dyDescent="0.35">
      <c r="C8897" s="82"/>
    </row>
    <row r="8898" spans="3:3" x14ac:dyDescent="0.35">
      <c r="C8898" s="82"/>
    </row>
    <row r="8899" spans="3:3" x14ac:dyDescent="0.35">
      <c r="C8899" s="82"/>
    </row>
    <row r="8900" spans="3:3" x14ac:dyDescent="0.35">
      <c r="C8900" s="82"/>
    </row>
    <row r="8901" spans="3:3" x14ac:dyDescent="0.35">
      <c r="C8901" s="82"/>
    </row>
    <row r="8902" spans="3:3" x14ac:dyDescent="0.35">
      <c r="C8902" s="82"/>
    </row>
    <row r="8903" spans="3:3" x14ac:dyDescent="0.35">
      <c r="C8903" s="82"/>
    </row>
    <row r="8904" spans="3:3" x14ac:dyDescent="0.35">
      <c r="C8904" s="82"/>
    </row>
    <row r="8905" spans="3:3" x14ac:dyDescent="0.35">
      <c r="C8905" s="82"/>
    </row>
    <row r="8906" spans="3:3" x14ac:dyDescent="0.35">
      <c r="C8906" s="82"/>
    </row>
    <row r="8907" spans="3:3" x14ac:dyDescent="0.35">
      <c r="C8907" s="82"/>
    </row>
    <row r="8908" spans="3:3" x14ac:dyDescent="0.35">
      <c r="C8908" s="82"/>
    </row>
    <row r="8909" spans="3:3" x14ac:dyDescent="0.35">
      <c r="C8909" s="82"/>
    </row>
    <row r="8910" spans="3:3" x14ac:dyDescent="0.35">
      <c r="C8910" s="82"/>
    </row>
    <row r="8911" spans="3:3" x14ac:dyDescent="0.35">
      <c r="C8911" s="82"/>
    </row>
    <row r="8912" spans="3:3" x14ac:dyDescent="0.35">
      <c r="C8912" s="82"/>
    </row>
    <row r="8913" spans="1:7" x14ac:dyDescent="0.35">
      <c r="C8913" s="82"/>
    </row>
    <row r="8914" spans="1:7" x14ac:dyDescent="0.35">
      <c r="C8914" s="82"/>
    </row>
    <row r="8915" spans="1:7" x14ac:dyDescent="0.35">
      <c r="C8915" s="82"/>
    </row>
    <row r="8916" spans="1:7" x14ac:dyDescent="0.35">
      <c r="C8916" s="82"/>
    </row>
    <row r="8917" spans="1:7" x14ac:dyDescent="0.35">
      <c r="C8917" s="82"/>
    </row>
    <row r="8918" spans="1:7" x14ac:dyDescent="0.35">
      <c r="C8918" s="82"/>
    </row>
    <row r="8919" spans="1:7" x14ac:dyDescent="0.35">
      <c r="C8919" s="82"/>
    </row>
    <row r="8920" spans="1:7" x14ac:dyDescent="0.35">
      <c r="C8920" s="82"/>
    </row>
    <row r="8921" spans="1:7" x14ac:dyDescent="0.35">
      <c r="C8921" s="82"/>
    </row>
    <row r="8922" spans="1:7" x14ac:dyDescent="0.35">
      <c r="C8922" s="82"/>
    </row>
    <row r="8923" spans="1:7" x14ac:dyDescent="0.35">
      <c r="C8923" s="82"/>
    </row>
    <row r="8924" spans="1:7" x14ac:dyDescent="0.35">
      <c r="C8924" s="82"/>
    </row>
    <row r="8925" spans="1:7" x14ac:dyDescent="0.35">
      <c r="C8925" s="82"/>
    </row>
    <row r="8926" spans="1:7" s="84" customFormat="1" x14ac:dyDescent="0.35">
      <c r="A8926" s="77"/>
      <c r="B8926" s="64"/>
      <c r="C8926" s="82"/>
      <c r="D8926" s="64"/>
      <c r="E8926" s="96"/>
      <c r="F8926" s="64"/>
      <c r="G8926" s="70"/>
    </row>
    <row r="8927" spans="1:7" s="84" customFormat="1" x14ac:dyDescent="0.35">
      <c r="A8927" s="77"/>
      <c r="B8927" s="64"/>
      <c r="C8927" s="82"/>
      <c r="D8927" s="64"/>
      <c r="E8927" s="96"/>
      <c r="F8927" s="64"/>
      <c r="G8927" s="70"/>
    </row>
    <row r="8928" spans="1:7" s="84" customFormat="1" x14ac:dyDescent="0.35">
      <c r="A8928" s="77"/>
      <c r="B8928" s="64"/>
      <c r="C8928" s="82"/>
      <c r="D8928" s="64"/>
      <c r="E8928" s="96"/>
      <c r="F8928" s="64"/>
      <c r="G8928" s="70"/>
    </row>
    <row r="8929" spans="1:7" s="84" customFormat="1" x14ac:dyDescent="0.35">
      <c r="A8929" s="77"/>
      <c r="B8929" s="64"/>
      <c r="C8929" s="82"/>
      <c r="D8929" s="64"/>
      <c r="E8929" s="96"/>
      <c r="F8929" s="64"/>
      <c r="G8929" s="70"/>
    </row>
    <row r="8930" spans="1:7" s="84" customFormat="1" x14ac:dyDescent="0.35">
      <c r="A8930" s="77"/>
      <c r="B8930" s="64"/>
      <c r="C8930" s="82"/>
      <c r="D8930" s="64"/>
      <c r="E8930" s="96"/>
      <c r="F8930" s="64"/>
      <c r="G8930" s="70"/>
    </row>
    <row r="8931" spans="1:7" s="84" customFormat="1" x14ac:dyDescent="0.35">
      <c r="A8931" s="77"/>
      <c r="B8931" s="64"/>
      <c r="C8931" s="82"/>
      <c r="D8931" s="64"/>
      <c r="E8931" s="96"/>
      <c r="F8931" s="64"/>
      <c r="G8931" s="70"/>
    </row>
    <row r="8932" spans="1:7" s="84" customFormat="1" x14ac:dyDescent="0.35">
      <c r="A8932" s="77"/>
      <c r="B8932" s="64"/>
      <c r="C8932" s="82"/>
      <c r="D8932" s="64"/>
      <c r="E8932" s="96"/>
      <c r="F8932" s="64"/>
      <c r="G8932" s="70"/>
    </row>
    <row r="8933" spans="1:7" s="84" customFormat="1" x14ac:dyDescent="0.35">
      <c r="A8933" s="77"/>
      <c r="B8933" s="64"/>
      <c r="C8933" s="82"/>
      <c r="D8933" s="64"/>
      <c r="E8933" s="96"/>
      <c r="F8933" s="64"/>
      <c r="G8933" s="70"/>
    </row>
    <row r="8934" spans="1:7" s="84" customFormat="1" x14ac:dyDescent="0.35">
      <c r="A8934" s="77"/>
      <c r="B8934" s="64"/>
      <c r="C8934" s="82"/>
      <c r="D8934" s="64"/>
      <c r="E8934" s="96"/>
      <c r="F8934" s="64"/>
      <c r="G8934" s="70"/>
    </row>
    <row r="8935" spans="1:7" s="84" customFormat="1" x14ac:dyDescent="0.35">
      <c r="A8935" s="77"/>
      <c r="B8935" s="64"/>
      <c r="C8935" s="82"/>
      <c r="D8935" s="64"/>
      <c r="E8935" s="96"/>
      <c r="F8935" s="64"/>
      <c r="G8935" s="70"/>
    </row>
    <row r="8936" spans="1:7" s="84" customFormat="1" x14ac:dyDescent="0.35">
      <c r="A8936" s="77"/>
      <c r="B8936" s="64"/>
      <c r="C8936" s="82"/>
      <c r="D8936" s="64"/>
      <c r="E8936" s="96"/>
      <c r="F8936" s="64"/>
      <c r="G8936" s="70"/>
    </row>
    <row r="8937" spans="1:7" s="84" customFormat="1" x14ac:dyDescent="0.35">
      <c r="A8937" s="77"/>
      <c r="B8937" s="64"/>
      <c r="C8937" s="82"/>
      <c r="D8937" s="64"/>
      <c r="E8937" s="96"/>
      <c r="F8937" s="64"/>
      <c r="G8937" s="85"/>
    </row>
    <row r="8938" spans="1:7" s="84" customFormat="1" x14ac:dyDescent="0.35">
      <c r="A8938" s="77"/>
      <c r="B8938" s="64"/>
      <c r="C8938" s="82"/>
      <c r="D8938" s="64"/>
      <c r="E8938" s="96"/>
      <c r="F8938" s="64"/>
      <c r="G8938" s="70"/>
    </row>
    <row r="8939" spans="1:7" s="84" customFormat="1" x14ac:dyDescent="0.35">
      <c r="A8939" s="77"/>
      <c r="B8939" s="64"/>
      <c r="C8939" s="82"/>
      <c r="D8939" s="64"/>
      <c r="E8939" s="96"/>
      <c r="F8939" s="64"/>
      <c r="G8939" s="85"/>
    </row>
    <row r="8940" spans="1:7" s="84" customFormat="1" x14ac:dyDescent="0.35">
      <c r="A8940" s="77"/>
      <c r="B8940" s="64"/>
      <c r="C8940" s="82"/>
      <c r="D8940" s="64"/>
      <c r="E8940" s="96"/>
      <c r="F8940" s="64"/>
      <c r="G8940" s="70"/>
    </row>
    <row r="8941" spans="1:7" s="84" customFormat="1" x14ac:dyDescent="0.35">
      <c r="A8941" s="77"/>
      <c r="B8941" s="64"/>
      <c r="C8941" s="82"/>
      <c r="D8941" s="64"/>
      <c r="E8941" s="96"/>
      <c r="F8941" s="64"/>
      <c r="G8941" s="70"/>
    </row>
    <row r="8942" spans="1:7" x14ac:dyDescent="0.35">
      <c r="C8942" s="82"/>
    </row>
    <row r="8943" spans="1:7" x14ac:dyDescent="0.35">
      <c r="C8943" s="82"/>
    </row>
    <row r="8944" spans="1:7" x14ac:dyDescent="0.35">
      <c r="C8944" s="82"/>
    </row>
    <row r="8945" spans="1:7" x14ac:dyDescent="0.35">
      <c r="C8945" s="82"/>
    </row>
    <row r="8946" spans="1:7" x14ac:dyDescent="0.35">
      <c r="C8946" s="82"/>
    </row>
    <row r="8947" spans="1:7" x14ac:dyDescent="0.35">
      <c r="C8947" s="82"/>
    </row>
    <row r="8948" spans="1:7" x14ac:dyDescent="0.35">
      <c r="C8948" s="82"/>
    </row>
    <row r="8949" spans="1:7" x14ac:dyDescent="0.35">
      <c r="C8949" s="82"/>
    </row>
    <row r="8950" spans="1:7" x14ac:dyDescent="0.35">
      <c r="C8950" s="82"/>
    </row>
    <row r="8951" spans="1:7" x14ac:dyDescent="0.35">
      <c r="C8951" s="82"/>
    </row>
    <row r="8952" spans="1:7" x14ac:dyDescent="0.35">
      <c r="C8952" s="82"/>
    </row>
    <row r="8953" spans="1:7" x14ac:dyDescent="0.35">
      <c r="C8953" s="82"/>
    </row>
    <row r="8954" spans="1:7" x14ac:dyDescent="0.35">
      <c r="C8954" s="82"/>
    </row>
    <row r="8955" spans="1:7" x14ac:dyDescent="0.35">
      <c r="C8955" s="82"/>
    </row>
    <row r="8956" spans="1:7" x14ac:dyDescent="0.35">
      <c r="C8956" s="82"/>
    </row>
    <row r="8957" spans="1:7" x14ac:dyDescent="0.35">
      <c r="C8957" s="82"/>
    </row>
    <row r="8958" spans="1:7" s="84" customFormat="1" x14ac:dyDescent="0.35">
      <c r="A8958" s="77"/>
      <c r="B8958" s="64"/>
      <c r="C8958" s="82"/>
      <c r="D8958" s="64"/>
      <c r="E8958" s="96"/>
      <c r="F8958" s="64"/>
      <c r="G8958" s="70"/>
    </row>
    <row r="8959" spans="1:7" s="84" customFormat="1" x14ac:dyDescent="0.35">
      <c r="A8959" s="77"/>
      <c r="B8959" s="64"/>
      <c r="C8959" s="82"/>
      <c r="D8959" s="64"/>
      <c r="E8959" s="96"/>
      <c r="F8959" s="64"/>
      <c r="G8959" s="70"/>
    </row>
    <row r="8960" spans="1:7" s="84" customFormat="1" x14ac:dyDescent="0.35">
      <c r="A8960" s="77"/>
      <c r="B8960" s="64"/>
      <c r="C8960" s="82"/>
      <c r="D8960" s="64"/>
      <c r="E8960" s="96"/>
      <c r="F8960" s="64"/>
      <c r="G8960" s="70"/>
    </row>
    <row r="8961" spans="1:7" s="84" customFormat="1" x14ac:dyDescent="0.35">
      <c r="A8961" s="77"/>
      <c r="B8961" s="64"/>
      <c r="C8961" s="82"/>
      <c r="D8961" s="64"/>
      <c r="E8961" s="96"/>
      <c r="F8961" s="64"/>
      <c r="G8961" s="70"/>
    </row>
    <row r="8962" spans="1:7" s="84" customFormat="1" x14ac:dyDescent="0.35">
      <c r="A8962" s="77"/>
      <c r="B8962" s="64"/>
      <c r="C8962" s="82"/>
      <c r="D8962" s="64"/>
      <c r="E8962" s="96"/>
      <c r="F8962" s="64"/>
      <c r="G8962" s="70"/>
    </row>
    <row r="8963" spans="1:7" s="84" customFormat="1" x14ac:dyDescent="0.35">
      <c r="A8963" s="77"/>
      <c r="B8963" s="64"/>
      <c r="C8963" s="82"/>
      <c r="D8963" s="64"/>
      <c r="E8963" s="96"/>
      <c r="F8963" s="64"/>
      <c r="G8963" s="70"/>
    </row>
    <row r="8964" spans="1:7" s="84" customFormat="1" x14ac:dyDescent="0.35">
      <c r="A8964" s="77"/>
      <c r="B8964" s="64"/>
      <c r="C8964" s="82"/>
      <c r="D8964" s="64"/>
      <c r="E8964" s="96"/>
      <c r="F8964" s="64"/>
      <c r="G8964" s="70"/>
    </row>
    <row r="8965" spans="1:7" s="84" customFormat="1" x14ac:dyDescent="0.35">
      <c r="A8965" s="77"/>
      <c r="B8965" s="64"/>
      <c r="C8965" s="82"/>
      <c r="D8965" s="64"/>
      <c r="E8965" s="96"/>
      <c r="F8965" s="64"/>
      <c r="G8965" s="70"/>
    </row>
    <row r="8966" spans="1:7" s="84" customFormat="1" x14ac:dyDescent="0.35">
      <c r="A8966" s="77"/>
      <c r="B8966" s="64"/>
      <c r="C8966" s="82"/>
      <c r="D8966" s="64"/>
      <c r="E8966" s="96"/>
      <c r="F8966" s="64"/>
      <c r="G8966" s="70"/>
    </row>
    <row r="8967" spans="1:7" s="84" customFormat="1" x14ac:dyDescent="0.35">
      <c r="A8967" s="77"/>
      <c r="B8967" s="64"/>
      <c r="C8967" s="82"/>
      <c r="D8967" s="64"/>
      <c r="E8967" s="96"/>
      <c r="F8967" s="64"/>
      <c r="G8967" s="70"/>
    </row>
    <row r="8968" spans="1:7" s="84" customFormat="1" x14ac:dyDescent="0.35">
      <c r="A8968" s="77"/>
      <c r="B8968" s="64"/>
      <c r="C8968" s="82"/>
      <c r="D8968" s="64"/>
      <c r="E8968" s="96"/>
      <c r="F8968" s="64"/>
      <c r="G8968" s="70"/>
    </row>
    <row r="8969" spans="1:7" s="84" customFormat="1" x14ac:dyDescent="0.35">
      <c r="A8969" s="77"/>
      <c r="B8969" s="64"/>
      <c r="C8969" s="82"/>
      <c r="D8969" s="64"/>
      <c r="E8969" s="96"/>
      <c r="F8969" s="64"/>
      <c r="G8969" s="70"/>
    </row>
    <row r="8970" spans="1:7" s="84" customFormat="1" x14ac:dyDescent="0.35">
      <c r="A8970" s="77"/>
      <c r="B8970" s="64"/>
      <c r="C8970" s="82"/>
      <c r="D8970" s="64"/>
      <c r="E8970" s="96"/>
      <c r="F8970" s="64"/>
      <c r="G8970" s="70"/>
    </row>
    <row r="8971" spans="1:7" s="84" customFormat="1" x14ac:dyDescent="0.35">
      <c r="A8971" s="77"/>
      <c r="B8971" s="64"/>
      <c r="C8971" s="82"/>
      <c r="D8971" s="64"/>
      <c r="E8971" s="96"/>
      <c r="F8971" s="64"/>
      <c r="G8971" s="70"/>
    </row>
    <row r="8972" spans="1:7" s="84" customFormat="1" x14ac:dyDescent="0.35">
      <c r="A8972" s="77"/>
      <c r="B8972" s="64"/>
      <c r="C8972" s="82"/>
      <c r="D8972" s="64"/>
      <c r="E8972" s="96"/>
      <c r="F8972" s="64"/>
      <c r="G8972" s="70"/>
    </row>
    <row r="8973" spans="1:7" s="84" customFormat="1" x14ac:dyDescent="0.35">
      <c r="A8973" s="77"/>
      <c r="B8973" s="64"/>
      <c r="C8973" s="87"/>
      <c r="D8973" s="64"/>
      <c r="E8973" s="96"/>
      <c r="F8973" s="64"/>
      <c r="G8973" s="85"/>
    </row>
    <row r="8974" spans="1:7" s="84" customFormat="1" x14ac:dyDescent="0.35">
      <c r="A8974" s="77"/>
      <c r="B8974" s="64"/>
      <c r="C8974" s="87"/>
      <c r="D8974" s="64"/>
      <c r="E8974" s="96"/>
      <c r="F8974" s="64"/>
      <c r="G8974" s="85"/>
    </row>
    <row r="8975" spans="1:7" s="84" customFormat="1" x14ac:dyDescent="0.35">
      <c r="A8975" s="77"/>
      <c r="B8975" s="64"/>
      <c r="C8975" s="82"/>
      <c r="D8975" s="64"/>
      <c r="E8975" s="96"/>
      <c r="F8975" s="64"/>
      <c r="G8975" s="70"/>
    </row>
    <row r="8976" spans="1:7" s="84" customFormat="1" x14ac:dyDescent="0.35">
      <c r="A8976" s="77"/>
      <c r="B8976" s="64"/>
      <c r="C8976" s="82"/>
      <c r="D8976" s="64"/>
      <c r="E8976" s="96"/>
      <c r="F8976" s="64"/>
      <c r="G8976" s="70"/>
    </row>
    <row r="8977" spans="1:7" s="84" customFormat="1" x14ac:dyDescent="0.35">
      <c r="A8977" s="77"/>
      <c r="B8977" s="64"/>
      <c r="C8977" s="82"/>
      <c r="D8977" s="64"/>
      <c r="E8977" s="96"/>
      <c r="F8977" s="64"/>
      <c r="G8977" s="70"/>
    </row>
    <row r="8978" spans="1:7" s="84" customFormat="1" x14ac:dyDescent="0.35">
      <c r="A8978" s="77"/>
      <c r="B8978" s="64"/>
      <c r="C8978" s="82"/>
      <c r="D8978" s="64"/>
      <c r="E8978" s="96"/>
      <c r="F8978" s="64"/>
      <c r="G8978" s="70"/>
    </row>
    <row r="8979" spans="1:7" s="84" customFormat="1" x14ac:dyDescent="0.35">
      <c r="A8979" s="77"/>
      <c r="B8979" s="64"/>
      <c r="C8979" s="82"/>
      <c r="D8979" s="64"/>
      <c r="E8979" s="96"/>
      <c r="F8979" s="64"/>
      <c r="G8979" s="70"/>
    </row>
    <row r="8980" spans="1:7" s="84" customFormat="1" x14ac:dyDescent="0.35">
      <c r="A8980" s="77"/>
      <c r="B8980" s="64"/>
      <c r="C8980" s="82"/>
      <c r="D8980" s="64"/>
      <c r="E8980" s="96"/>
      <c r="F8980" s="64"/>
      <c r="G8980" s="70"/>
    </row>
    <row r="8981" spans="1:7" s="84" customFormat="1" x14ac:dyDescent="0.35">
      <c r="A8981" s="77"/>
      <c r="B8981" s="64"/>
      <c r="C8981" s="82"/>
      <c r="D8981" s="64"/>
      <c r="E8981" s="96"/>
      <c r="F8981" s="64"/>
      <c r="G8981" s="70"/>
    </row>
    <row r="8982" spans="1:7" s="84" customFormat="1" x14ac:dyDescent="0.35">
      <c r="A8982" s="77"/>
      <c r="B8982" s="64"/>
      <c r="C8982" s="82"/>
      <c r="D8982" s="64"/>
      <c r="E8982" s="96"/>
      <c r="F8982" s="64"/>
      <c r="G8982" s="70"/>
    </row>
    <row r="8983" spans="1:7" s="84" customFormat="1" x14ac:dyDescent="0.35">
      <c r="A8983" s="77"/>
      <c r="B8983" s="64"/>
      <c r="C8983" s="82"/>
      <c r="D8983" s="64"/>
      <c r="E8983" s="96"/>
      <c r="F8983" s="64"/>
      <c r="G8983" s="70"/>
    </row>
    <row r="8984" spans="1:7" s="84" customFormat="1" x14ac:dyDescent="0.35">
      <c r="A8984" s="77"/>
      <c r="B8984" s="64"/>
      <c r="C8984" s="82"/>
      <c r="D8984" s="64"/>
      <c r="E8984" s="96"/>
      <c r="F8984" s="64"/>
      <c r="G8984" s="70"/>
    </row>
    <row r="8985" spans="1:7" s="84" customFormat="1" x14ac:dyDescent="0.35">
      <c r="A8985" s="77"/>
      <c r="B8985" s="64"/>
      <c r="C8985" s="82"/>
      <c r="D8985" s="64"/>
      <c r="E8985" s="96"/>
      <c r="F8985" s="64"/>
      <c r="G8985" s="70"/>
    </row>
    <row r="8986" spans="1:7" s="84" customFormat="1" x14ac:dyDescent="0.35">
      <c r="A8986" s="77"/>
      <c r="B8986" s="64"/>
      <c r="C8986" s="82"/>
      <c r="D8986" s="64"/>
      <c r="E8986" s="96"/>
      <c r="F8986" s="64"/>
      <c r="G8986" s="70"/>
    </row>
    <row r="8987" spans="1:7" s="84" customFormat="1" x14ac:dyDescent="0.35">
      <c r="A8987" s="77"/>
      <c r="B8987" s="64"/>
      <c r="C8987" s="82"/>
      <c r="D8987" s="64"/>
      <c r="E8987" s="96"/>
      <c r="F8987" s="64"/>
      <c r="G8987" s="70"/>
    </row>
    <row r="8988" spans="1:7" s="84" customFormat="1" x14ac:dyDescent="0.35">
      <c r="A8988" s="77"/>
      <c r="B8988" s="64"/>
      <c r="C8988" s="82"/>
      <c r="D8988" s="64"/>
      <c r="E8988" s="96"/>
      <c r="F8988" s="64"/>
      <c r="G8988" s="70"/>
    </row>
    <row r="8989" spans="1:7" s="84" customFormat="1" x14ac:dyDescent="0.35">
      <c r="A8989" s="77"/>
      <c r="B8989" s="64"/>
      <c r="C8989" s="82"/>
      <c r="D8989" s="64"/>
      <c r="E8989" s="96"/>
      <c r="F8989" s="64"/>
      <c r="G8989" s="70"/>
    </row>
    <row r="8990" spans="1:7" x14ac:dyDescent="0.35">
      <c r="C8990" s="82"/>
    </row>
    <row r="8991" spans="1:7" x14ac:dyDescent="0.35">
      <c r="C8991" s="82"/>
    </row>
    <row r="8992" spans="1:7" x14ac:dyDescent="0.35">
      <c r="C8992" s="82"/>
    </row>
    <row r="8993" spans="3:3" x14ac:dyDescent="0.35">
      <c r="C8993" s="82"/>
    </row>
    <row r="8994" spans="3:3" x14ac:dyDescent="0.35">
      <c r="C8994" s="82"/>
    </row>
    <row r="8995" spans="3:3" x14ac:dyDescent="0.35">
      <c r="C8995" s="82"/>
    </row>
    <row r="8996" spans="3:3" x14ac:dyDescent="0.35">
      <c r="C8996" s="82"/>
    </row>
    <row r="8997" spans="3:3" x14ac:dyDescent="0.35">
      <c r="C8997" s="82"/>
    </row>
    <row r="8998" spans="3:3" x14ac:dyDescent="0.35">
      <c r="C8998" s="82"/>
    </row>
    <row r="8999" spans="3:3" x14ac:dyDescent="0.35">
      <c r="C8999" s="82"/>
    </row>
    <row r="9000" spans="3:3" x14ac:dyDescent="0.35">
      <c r="C9000" s="82"/>
    </row>
    <row r="9001" spans="3:3" x14ac:dyDescent="0.35">
      <c r="C9001" s="82"/>
    </row>
    <row r="9002" spans="3:3" x14ac:dyDescent="0.35">
      <c r="C9002" s="82"/>
    </row>
    <row r="9003" spans="3:3" x14ac:dyDescent="0.35">
      <c r="C9003" s="82"/>
    </row>
    <row r="9004" spans="3:3" x14ac:dyDescent="0.35">
      <c r="C9004" s="82"/>
    </row>
    <row r="9005" spans="3:3" x14ac:dyDescent="0.35">
      <c r="C9005" s="82"/>
    </row>
    <row r="9006" spans="3:3" x14ac:dyDescent="0.35">
      <c r="C9006" s="82"/>
    </row>
    <row r="9007" spans="3:3" x14ac:dyDescent="0.35">
      <c r="C9007" s="82"/>
    </row>
    <row r="9008" spans="3:3" x14ac:dyDescent="0.35">
      <c r="C9008" s="82"/>
    </row>
    <row r="9009" spans="3:3" x14ac:dyDescent="0.35">
      <c r="C9009" s="82"/>
    </row>
    <row r="9010" spans="3:3" x14ac:dyDescent="0.35">
      <c r="C9010" s="82"/>
    </row>
    <row r="9011" spans="3:3" x14ac:dyDescent="0.35">
      <c r="C9011" s="82"/>
    </row>
    <row r="9012" spans="3:3" x14ac:dyDescent="0.35">
      <c r="C9012" s="82"/>
    </row>
    <row r="9013" spans="3:3" x14ac:dyDescent="0.35">
      <c r="C9013" s="82"/>
    </row>
    <row r="9014" spans="3:3" x14ac:dyDescent="0.35">
      <c r="C9014" s="82"/>
    </row>
    <row r="9015" spans="3:3" x14ac:dyDescent="0.35">
      <c r="C9015" s="82"/>
    </row>
    <row r="9016" spans="3:3" x14ac:dyDescent="0.35">
      <c r="C9016" s="82"/>
    </row>
    <row r="9017" spans="3:3" x14ac:dyDescent="0.35">
      <c r="C9017" s="82"/>
    </row>
    <row r="9018" spans="3:3" x14ac:dyDescent="0.35">
      <c r="C9018" s="82"/>
    </row>
    <row r="9019" spans="3:3" x14ac:dyDescent="0.35">
      <c r="C9019" s="82"/>
    </row>
    <row r="9020" spans="3:3" x14ac:dyDescent="0.35">
      <c r="C9020" s="82"/>
    </row>
    <row r="9021" spans="3:3" x14ac:dyDescent="0.35">
      <c r="C9021" s="82"/>
    </row>
    <row r="9022" spans="3:3" x14ac:dyDescent="0.35">
      <c r="C9022" s="82"/>
    </row>
    <row r="9023" spans="3:3" x14ac:dyDescent="0.35">
      <c r="C9023" s="82"/>
    </row>
    <row r="9024" spans="3:3" x14ac:dyDescent="0.35">
      <c r="C9024" s="82"/>
    </row>
    <row r="9025" spans="3:3" x14ac:dyDescent="0.35">
      <c r="C9025" s="82"/>
    </row>
    <row r="9026" spans="3:3" x14ac:dyDescent="0.35">
      <c r="C9026" s="82"/>
    </row>
    <row r="9027" spans="3:3" x14ac:dyDescent="0.35">
      <c r="C9027" s="82"/>
    </row>
    <row r="9028" spans="3:3" x14ac:dyDescent="0.35">
      <c r="C9028" s="82"/>
    </row>
    <row r="9029" spans="3:3" x14ac:dyDescent="0.35">
      <c r="C9029" s="82"/>
    </row>
    <row r="9030" spans="3:3" x14ac:dyDescent="0.35">
      <c r="C9030" s="82"/>
    </row>
    <row r="9031" spans="3:3" x14ac:dyDescent="0.35">
      <c r="C9031" s="82"/>
    </row>
    <row r="9032" spans="3:3" x14ac:dyDescent="0.35">
      <c r="C9032" s="82"/>
    </row>
    <row r="9033" spans="3:3" x14ac:dyDescent="0.35">
      <c r="C9033" s="82"/>
    </row>
    <row r="9034" spans="3:3" x14ac:dyDescent="0.35">
      <c r="C9034" s="82"/>
    </row>
    <row r="9035" spans="3:3" x14ac:dyDescent="0.35">
      <c r="C9035" s="82"/>
    </row>
    <row r="9036" spans="3:3" x14ac:dyDescent="0.35">
      <c r="C9036" s="82"/>
    </row>
    <row r="9037" spans="3:3" x14ac:dyDescent="0.35">
      <c r="C9037" s="82"/>
    </row>
    <row r="9038" spans="3:3" x14ac:dyDescent="0.35">
      <c r="C9038" s="82"/>
    </row>
    <row r="9039" spans="3:3" x14ac:dyDescent="0.35">
      <c r="C9039" s="82"/>
    </row>
    <row r="9040" spans="3:3" x14ac:dyDescent="0.35">
      <c r="C9040" s="82"/>
    </row>
    <row r="9041" spans="3:3" x14ac:dyDescent="0.35">
      <c r="C9041" s="82"/>
    </row>
    <row r="9042" spans="3:3" x14ac:dyDescent="0.35">
      <c r="C9042" s="82"/>
    </row>
    <row r="9043" spans="3:3" x14ac:dyDescent="0.35">
      <c r="C9043" s="82"/>
    </row>
    <row r="9044" spans="3:3" x14ac:dyDescent="0.35">
      <c r="C9044" s="82"/>
    </row>
    <row r="9045" spans="3:3" x14ac:dyDescent="0.35">
      <c r="C9045" s="82"/>
    </row>
    <row r="9046" spans="3:3" x14ac:dyDescent="0.35">
      <c r="C9046" s="82"/>
    </row>
    <row r="9047" spans="3:3" x14ac:dyDescent="0.35">
      <c r="C9047" s="82"/>
    </row>
    <row r="9048" spans="3:3" x14ac:dyDescent="0.35">
      <c r="C9048" s="82"/>
    </row>
    <row r="9049" spans="3:3" x14ac:dyDescent="0.35">
      <c r="C9049" s="82"/>
    </row>
    <row r="9050" spans="3:3" x14ac:dyDescent="0.35">
      <c r="C9050" s="82"/>
    </row>
    <row r="9051" spans="3:3" x14ac:dyDescent="0.35">
      <c r="C9051" s="82"/>
    </row>
    <row r="9052" spans="3:3" x14ac:dyDescent="0.35">
      <c r="C9052" s="82"/>
    </row>
    <row r="9053" spans="3:3" x14ac:dyDescent="0.35">
      <c r="C9053" s="82"/>
    </row>
    <row r="9054" spans="3:3" x14ac:dyDescent="0.35">
      <c r="C9054" s="82"/>
    </row>
    <row r="9055" spans="3:3" x14ac:dyDescent="0.35">
      <c r="C9055" s="82"/>
    </row>
    <row r="9056" spans="3:3" x14ac:dyDescent="0.35">
      <c r="C9056" s="82"/>
    </row>
    <row r="9057" spans="3:3" x14ac:dyDescent="0.35">
      <c r="C9057" s="82"/>
    </row>
    <row r="9058" spans="3:3" x14ac:dyDescent="0.35">
      <c r="C9058" s="82"/>
    </row>
    <row r="9059" spans="3:3" x14ac:dyDescent="0.35">
      <c r="C9059" s="82"/>
    </row>
    <row r="9060" spans="3:3" x14ac:dyDescent="0.35">
      <c r="C9060" s="82"/>
    </row>
    <row r="9061" spans="3:3" x14ac:dyDescent="0.35">
      <c r="C9061" s="82"/>
    </row>
    <row r="9062" spans="3:3" x14ac:dyDescent="0.35">
      <c r="C9062" s="82"/>
    </row>
    <row r="9063" spans="3:3" x14ac:dyDescent="0.35">
      <c r="C9063" s="82"/>
    </row>
    <row r="9064" spans="3:3" x14ac:dyDescent="0.35">
      <c r="C9064" s="82"/>
    </row>
    <row r="9065" spans="3:3" x14ac:dyDescent="0.35">
      <c r="C9065" s="82"/>
    </row>
    <row r="9066" spans="3:3" x14ac:dyDescent="0.35">
      <c r="C9066" s="82"/>
    </row>
    <row r="9067" spans="3:3" x14ac:dyDescent="0.35">
      <c r="C9067" s="82"/>
    </row>
    <row r="9068" spans="3:3" x14ac:dyDescent="0.35">
      <c r="C9068" s="82"/>
    </row>
    <row r="9069" spans="3:3" x14ac:dyDescent="0.35">
      <c r="C9069" s="82"/>
    </row>
    <row r="9070" spans="3:3" x14ac:dyDescent="0.35">
      <c r="C9070" s="82"/>
    </row>
    <row r="9071" spans="3:3" x14ac:dyDescent="0.35">
      <c r="C9071" s="82"/>
    </row>
    <row r="9072" spans="3:3" x14ac:dyDescent="0.35">
      <c r="C9072" s="82"/>
    </row>
    <row r="9073" spans="3:3" x14ac:dyDescent="0.35">
      <c r="C9073" s="82"/>
    </row>
    <row r="9074" spans="3:3" x14ac:dyDescent="0.35">
      <c r="C9074" s="82"/>
    </row>
    <row r="9075" spans="3:3" x14ac:dyDescent="0.35">
      <c r="C9075" s="82"/>
    </row>
    <row r="9076" spans="3:3" x14ac:dyDescent="0.35">
      <c r="C9076" s="82"/>
    </row>
    <row r="9077" spans="3:3" x14ac:dyDescent="0.35">
      <c r="C9077" s="82"/>
    </row>
    <row r="9078" spans="3:3" x14ac:dyDescent="0.35">
      <c r="C9078" s="82"/>
    </row>
    <row r="9079" spans="3:3" x14ac:dyDescent="0.35">
      <c r="C9079" s="82"/>
    </row>
    <row r="9080" spans="3:3" x14ac:dyDescent="0.35">
      <c r="C9080" s="82"/>
    </row>
    <row r="9081" spans="3:3" x14ac:dyDescent="0.35">
      <c r="C9081" s="82"/>
    </row>
    <row r="9082" spans="3:3" x14ac:dyDescent="0.35">
      <c r="C9082" s="82"/>
    </row>
    <row r="9083" spans="3:3" x14ac:dyDescent="0.35">
      <c r="C9083" s="82"/>
    </row>
    <row r="9084" spans="3:3" x14ac:dyDescent="0.35">
      <c r="C9084" s="82"/>
    </row>
    <row r="9085" spans="3:3" x14ac:dyDescent="0.35">
      <c r="C9085" s="82"/>
    </row>
    <row r="9086" spans="3:3" x14ac:dyDescent="0.35">
      <c r="C9086" s="82"/>
    </row>
    <row r="9087" spans="3:3" x14ac:dyDescent="0.35">
      <c r="C9087" s="82"/>
    </row>
    <row r="9088" spans="3:3" x14ac:dyDescent="0.35">
      <c r="C9088" s="82"/>
    </row>
    <row r="9089" spans="3:3" x14ac:dyDescent="0.35">
      <c r="C9089" s="82"/>
    </row>
    <row r="9090" spans="3:3" x14ac:dyDescent="0.35">
      <c r="C9090" s="82"/>
    </row>
    <row r="9091" spans="3:3" x14ac:dyDescent="0.35">
      <c r="C9091" s="82"/>
    </row>
    <row r="9092" spans="3:3" x14ac:dyDescent="0.35">
      <c r="C9092" s="82"/>
    </row>
    <row r="9093" spans="3:3" x14ac:dyDescent="0.35">
      <c r="C9093" s="82"/>
    </row>
    <row r="9094" spans="3:3" x14ac:dyDescent="0.35">
      <c r="C9094" s="82"/>
    </row>
    <row r="9095" spans="3:3" x14ac:dyDescent="0.35">
      <c r="C9095" s="82"/>
    </row>
    <row r="9096" spans="3:3" x14ac:dyDescent="0.35">
      <c r="C9096" s="82"/>
    </row>
    <row r="9097" spans="3:3" x14ac:dyDescent="0.35">
      <c r="C9097" s="82"/>
    </row>
    <row r="9098" spans="3:3" x14ac:dyDescent="0.35">
      <c r="C9098" s="82"/>
    </row>
    <row r="9099" spans="3:3" x14ac:dyDescent="0.35">
      <c r="C9099" s="82"/>
    </row>
    <row r="9100" spans="3:3" x14ac:dyDescent="0.35">
      <c r="C9100" s="82"/>
    </row>
    <row r="9101" spans="3:3" x14ac:dyDescent="0.35">
      <c r="C9101" s="82"/>
    </row>
    <row r="9102" spans="3:3" x14ac:dyDescent="0.35">
      <c r="C9102" s="82"/>
    </row>
    <row r="9103" spans="3:3" x14ac:dyDescent="0.35">
      <c r="C9103" s="82"/>
    </row>
    <row r="9104" spans="3:3" x14ac:dyDescent="0.35">
      <c r="C9104" s="82"/>
    </row>
    <row r="9105" spans="3:3" x14ac:dyDescent="0.35">
      <c r="C9105" s="82"/>
    </row>
    <row r="9106" spans="3:3" x14ac:dyDescent="0.35">
      <c r="C9106" s="82"/>
    </row>
    <row r="9107" spans="3:3" x14ac:dyDescent="0.35">
      <c r="C9107" s="82"/>
    </row>
    <row r="9108" spans="3:3" x14ac:dyDescent="0.35">
      <c r="C9108" s="82"/>
    </row>
    <row r="9109" spans="3:3" x14ac:dyDescent="0.35">
      <c r="C9109" s="82"/>
    </row>
    <row r="9110" spans="3:3" x14ac:dyDescent="0.35">
      <c r="C9110" s="82"/>
    </row>
    <row r="9111" spans="3:3" x14ac:dyDescent="0.35">
      <c r="C9111" s="82"/>
    </row>
    <row r="9112" spans="3:3" x14ac:dyDescent="0.35">
      <c r="C9112" s="82"/>
    </row>
    <row r="9113" spans="3:3" x14ac:dyDescent="0.35">
      <c r="C9113" s="82"/>
    </row>
    <row r="9114" spans="3:3" x14ac:dyDescent="0.35">
      <c r="C9114" s="82"/>
    </row>
    <row r="9115" spans="3:3" x14ac:dyDescent="0.35">
      <c r="C9115" s="82"/>
    </row>
    <row r="9116" spans="3:3" x14ac:dyDescent="0.35">
      <c r="C9116" s="82"/>
    </row>
    <row r="9117" spans="3:3" x14ac:dyDescent="0.35">
      <c r="C9117" s="82"/>
    </row>
    <row r="9118" spans="3:3" x14ac:dyDescent="0.35">
      <c r="C9118" s="82"/>
    </row>
    <row r="9119" spans="3:3" x14ac:dyDescent="0.35">
      <c r="C9119" s="82"/>
    </row>
    <row r="9120" spans="3:3" x14ac:dyDescent="0.35">
      <c r="C9120" s="82"/>
    </row>
    <row r="9121" spans="3:3" x14ac:dyDescent="0.35">
      <c r="C9121" s="82"/>
    </row>
    <row r="9122" spans="3:3" x14ac:dyDescent="0.35">
      <c r="C9122" s="82"/>
    </row>
    <row r="9123" spans="3:3" x14ac:dyDescent="0.35">
      <c r="C9123" s="82"/>
    </row>
    <row r="9124" spans="3:3" x14ac:dyDescent="0.35">
      <c r="C9124" s="82"/>
    </row>
    <row r="9125" spans="3:3" x14ac:dyDescent="0.35">
      <c r="C9125" s="82"/>
    </row>
    <row r="9126" spans="3:3" x14ac:dyDescent="0.35">
      <c r="C9126" s="82"/>
    </row>
    <row r="9127" spans="3:3" x14ac:dyDescent="0.35">
      <c r="C9127" s="82"/>
    </row>
    <row r="9128" spans="3:3" x14ac:dyDescent="0.35">
      <c r="C9128" s="82"/>
    </row>
    <row r="9129" spans="3:3" x14ac:dyDescent="0.35">
      <c r="C9129" s="82"/>
    </row>
    <row r="9130" spans="3:3" x14ac:dyDescent="0.35">
      <c r="C9130" s="82"/>
    </row>
    <row r="9131" spans="3:3" x14ac:dyDescent="0.35">
      <c r="C9131" s="82"/>
    </row>
    <row r="9132" spans="3:3" x14ac:dyDescent="0.35">
      <c r="C9132" s="82"/>
    </row>
    <row r="9133" spans="3:3" x14ac:dyDescent="0.35">
      <c r="C9133" s="82"/>
    </row>
    <row r="9134" spans="3:3" x14ac:dyDescent="0.35">
      <c r="C9134" s="82"/>
    </row>
    <row r="9135" spans="3:3" x14ac:dyDescent="0.35">
      <c r="C9135" s="82"/>
    </row>
    <row r="9136" spans="3:3" x14ac:dyDescent="0.35">
      <c r="C9136" s="82"/>
    </row>
    <row r="9137" spans="3:3" x14ac:dyDescent="0.35">
      <c r="C9137" s="82"/>
    </row>
    <row r="9138" spans="3:3" x14ac:dyDescent="0.35">
      <c r="C9138" s="82"/>
    </row>
    <row r="9139" spans="3:3" x14ac:dyDescent="0.35">
      <c r="C9139" s="82"/>
    </row>
    <row r="9140" spans="3:3" x14ac:dyDescent="0.35">
      <c r="C9140" s="82"/>
    </row>
    <row r="9141" spans="3:3" x14ac:dyDescent="0.35">
      <c r="C9141" s="82"/>
    </row>
    <row r="9142" spans="3:3" x14ac:dyDescent="0.35">
      <c r="C9142" s="82"/>
    </row>
    <row r="9143" spans="3:3" x14ac:dyDescent="0.35">
      <c r="C9143" s="82"/>
    </row>
    <row r="9144" spans="3:3" x14ac:dyDescent="0.35">
      <c r="C9144" s="82"/>
    </row>
    <row r="9145" spans="3:3" x14ac:dyDescent="0.35">
      <c r="C9145" s="82"/>
    </row>
    <row r="9146" spans="3:3" x14ac:dyDescent="0.35">
      <c r="C9146" s="82"/>
    </row>
    <row r="9147" spans="3:3" x14ac:dyDescent="0.35">
      <c r="C9147" s="82"/>
    </row>
    <row r="9148" spans="3:3" x14ac:dyDescent="0.35">
      <c r="C9148" s="82"/>
    </row>
    <row r="9149" spans="3:3" x14ac:dyDescent="0.35">
      <c r="C9149" s="82"/>
    </row>
    <row r="9150" spans="3:3" x14ac:dyDescent="0.35">
      <c r="C9150" s="82"/>
    </row>
    <row r="9151" spans="3:3" x14ac:dyDescent="0.35">
      <c r="C9151" s="82"/>
    </row>
    <row r="9152" spans="3:3" x14ac:dyDescent="0.35">
      <c r="C9152" s="82"/>
    </row>
    <row r="9153" spans="3:3" x14ac:dyDescent="0.35">
      <c r="C9153" s="82"/>
    </row>
    <row r="9154" spans="3:3" x14ac:dyDescent="0.35">
      <c r="C9154" s="82"/>
    </row>
    <row r="9155" spans="3:3" x14ac:dyDescent="0.35">
      <c r="C9155" s="82"/>
    </row>
    <row r="9156" spans="3:3" x14ac:dyDescent="0.35">
      <c r="C9156" s="82"/>
    </row>
    <row r="9157" spans="3:3" x14ac:dyDescent="0.35">
      <c r="C9157" s="82"/>
    </row>
    <row r="9158" spans="3:3" x14ac:dyDescent="0.35">
      <c r="C9158" s="82"/>
    </row>
    <row r="9159" spans="3:3" x14ac:dyDescent="0.35">
      <c r="C9159" s="82"/>
    </row>
    <row r="9160" spans="3:3" x14ac:dyDescent="0.35">
      <c r="C9160" s="82"/>
    </row>
    <row r="9161" spans="3:3" x14ac:dyDescent="0.35">
      <c r="C9161" s="82"/>
    </row>
    <row r="9162" spans="3:3" x14ac:dyDescent="0.35">
      <c r="C9162" s="82"/>
    </row>
    <row r="9163" spans="3:3" x14ac:dyDescent="0.35">
      <c r="C9163" s="82"/>
    </row>
    <row r="9164" spans="3:3" x14ac:dyDescent="0.35">
      <c r="C9164" s="82"/>
    </row>
    <row r="9165" spans="3:3" x14ac:dyDescent="0.35">
      <c r="C9165" s="82"/>
    </row>
    <row r="9166" spans="3:3" x14ac:dyDescent="0.35">
      <c r="C9166" s="82"/>
    </row>
    <row r="9167" spans="3:3" x14ac:dyDescent="0.35">
      <c r="C9167" s="82"/>
    </row>
    <row r="9168" spans="3:3" x14ac:dyDescent="0.35">
      <c r="C9168" s="82"/>
    </row>
    <row r="9169" spans="3:3" x14ac:dyDescent="0.35">
      <c r="C9169" s="82"/>
    </row>
    <row r="9170" spans="3:3" x14ac:dyDescent="0.35">
      <c r="C9170" s="82"/>
    </row>
    <row r="9171" spans="3:3" x14ac:dyDescent="0.35">
      <c r="C9171" s="82"/>
    </row>
    <row r="9172" spans="3:3" x14ac:dyDescent="0.35">
      <c r="C9172" s="82"/>
    </row>
    <row r="9173" spans="3:3" x14ac:dyDescent="0.35">
      <c r="C9173" s="82"/>
    </row>
    <row r="9174" spans="3:3" x14ac:dyDescent="0.35">
      <c r="C9174" s="82"/>
    </row>
    <row r="9175" spans="3:3" x14ac:dyDescent="0.35">
      <c r="C9175" s="82"/>
    </row>
    <row r="9176" spans="3:3" x14ac:dyDescent="0.35">
      <c r="C9176" s="82"/>
    </row>
    <row r="9177" spans="3:3" x14ac:dyDescent="0.35">
      <c r="C9177" s="82"/>
    </row>
    <row r="9178" spans="3:3" x14ac:dyDescent="0.35">
      <c r="C9178" s="82"/>
    </row>
    <row r="9179" spans="3:3" x14ac:dyDescent="0.35">
      <c r="C9179" s="82"/>
    </row>
    <row r="9180" spans="3:3" x14ac:dyDescent="0.35">
      <c r="C9180" s="82"/>
    </row>
    <row r="9181" spans="3:3" x14ac:dyDescent="0.35">
      <c r="C9181" s="82"/>
    </row>
    <row r="9182" spans="3:3" x14ac:dyDescent="0.35">
      <c r="C9182" s="82"/>
    </row>
    <row r="9183" spans="3:3" x14ac:dyDescent="0.35">
      <c r="C9183" s="82"/>
    </row>
    <row r="9184" spans="3:3" x14ac:dyDescent="0.35">
      <c r="C9184" s="82"/>
    </row>
    <row r="9185" spans="3:3" x14ac:dyDescent="0.35">
      <c r="C9185" s="82"/>
    </row>
    <row r="9186" spans="3:3" x14ac:dyDescent="0.35">
      <c r="C9186" s="82"/>
    </row>
    <row r="9187" spans="3:3" x14ac:dyDescent="0.35">
      <c r="C9187" s="82"/>
    </row>
    <row r="9188" spans="3:3" x14ac:dyDescent="0.35">
      <c r="C9188" s="82"/>
    </row>
    <row r="9189" spans="3:3" x14ac:dyDescent="0.35">
      <c r="C9189" s="82"/>
    </row>
    <row r="9190" spans="3:3" x14ac:dyDescent="0.35">
      <c r="C9190" s="82"/>
    </row>
    <row r="9191" spans="3:3" x14ac:dyDescent="0.35">
      <c r="C9191" s="82"/>
    </row>
    <row r="9192" spans="3:3" x14ac:dyDescent="0.35">
      <c r="C9192" s="82"/>
    </row>
    <row r="9193" spans="3:3" x14ac:dyDescent="0.35">
      <c r="C9193" s="82"/>
    </row>
    <row r="9194" spans="3:3" x14ac:dyDescent="0.35">
      <c r="C9194" s="82"/>
    </row>
    <row r="9195" spans="3:3" x14ac:dyDescent="0.35">
      <c r="C9195" s="82"/>
    </row>
    <row r="9196" spans="3:3" x14ac:dyDescent="0.35">
      <c r="C9196" s="82"/>
    </row>
    <row r="9197" spans="3:3" x14ac:dyDescent="0.35">
      <c r="C9197" s="82"/>
    </row>
    <row r="9198" spans="3:3" x14ac:dyDescent="0.35">
      <c r="C9198" s="82"/>
    </row>
    <row r="9199" spans="3:3" x14ac:dyDescent="0.35">
      <c r="C9199" s="82"/>
    </row>
    <row r="9200" spans="3:3" x14ac:dyDescent="0.35">
      <c r="C9200" s="82"/>
    </row>
    <row r="9201" spans="3:3" x14ac:dyDescent="0.35">
      <c r="C9201" s="82"/>
    </row>
    <row r="9202" spans="3:3" x14ac:dyDescent="0.35">
      <c r="C9202" s="82"/>
    </row>
    <row r="9203" spans="3:3" x14ac:dyDescent="0.35">
      <c r="C9203" s="82"/>
    </row>
    <row r="9204" spans="3:3" x14ac:dyDescent="0.35">
      <c r="C9204" s="82"/>
    </row>
    <row r="9205" spans="3:3" x14ac:dyDescent="0.35">
      <c r="C9205" s="82"/>
    </row>
    <row r="9206" spans="3:3" x14ac:dyDescent="0.35">
      <c r="C9206" s="82"/>
    </row>
    <row r="9207" spans="3:3" x14ac:dyDescent="0.35">
      <c r="C9207" s="82"/>
    </row>
    <row r="9208" spans="3:3" x14ac:dyDescent="0.35">
      <c r="C9208" s="82"/>
    </row>
    <row r="9209" spans="3:3" x14ac:dyDescent="0.35">
      <c r="C9209" s="82"/>
    </row>
    <row r="9210" spans="3:3" x14ac:dyDescent="0.35">
      <c r="C9210" s="82"/>
    </row>
    <row r="9211" spans="3:3" x14ac:dyDescent="0.35">
      <c r="C9211" s="82"/>
    </row>
    <row r="9212" spans="3:3" x14ac:dyDescent="0.35">
      <c r="C9212" s="82"/>
    </row>
    <row r="9213" spans="3:3" x14ac:dyDescent="0.35">
      <c r="C9213" s="82"/>
    </row>
    <row r="9214" spans="3:3" x14ac:dyDescent="0.35">
      <c r="C9214" s="82"/>
    </row>
    <row r="9215" spans="3:3" x14ac:dyDescent="0.35">
      <c r="C9215" s="82"/>
    </row>
    <row r="9216" spans="3:3" x14ac:dyDescent="0.35">
      <c r="C9216" s="82"/>
    </row>
    <row r="9217" spans="3:3" x14ac:dyDescent="0.35">
      <c r="C9217" s="82"/>
    </row>
    <row r="9218" spans="3:3" x14ac:dyDescent="0.35">
      <c r="C9218" s="82"/>
    </row>
    <row r="9219" spans="3:3" x14ac:dyDescent="0.35">
      <c r="C9219" s="82"/>
    </row>
    <row r="9220" spans="3:3" x14ac:dyDescent="0.35">
      <c r="C9220" s="82"/>
    </row>
    <row r="9221" spans="3:3" x14ac:dyDescent="0.35">
      <c r="C9221" s="82"/>
    </row>
    <row r="9222" spans="3:3" x14ac:dyDescent="0.35">
      <c r="C9222" s="82"/>
    </row>
    <row r="9223" spans="3:3" x14ac:dyDescent="0.35">
      <c r="C9223" s="82"/>
    </row>
    <row r="9224" spans="3:3" x14ac:dyDescent="0.35">
      <c r="C9224" s="82"/>
    </row>
    <row r="9225" spans="3:3" x14ac:dyDescent="0.35">
      <c r="C9225" s="82"/>
    </row>
    <row r="9226" spans="3:3" x14ac:dyDescent="0.35">
      <c r="C9226" s="82"/>
    </row>
    <row r="9227" spans="3:3" x14ac:dyDescent="0.35">
      <c r="C9227" s="82"/>
    </row>
    <row r="9228" spans="3:3" x14ac:dyDescent="0.35">
      <c r="C9228" s="82"/>
    </row>
    <row r="9229" spans="3:3" x14ac:dyDescent="0.35">
      <c r="C9229" s="82"/>
    </row>
    <row r="9230" spans="3:3" x14ac:dyDescent="0.35">
      <c r="C9230" s="82"/>
    </row>
    <row r="9231" spans="3:3" x14ac:dyDescent="0.35">
      <c r="C9231" s="82"/>
    </row>
    <row r="9232" spans="3:3" x14ac:dyDescent="0.35">
      <c r="C9232" s="82"/>
    </row>
    <row r="9233" spans="3:3" x14ac:dyDescent="0.35">
      <c r="C9233" s="82"/>
    </row>
    <row r="9234" spans="3:3" x14ac:dyDescent="0.35">
      <c r="C9234" s="82"/>
    </row>
    <row r="9235" spans="3:3" x14ac:dyDescent="0.35">
      <c r="C9235" s="82"/>
    </row>
    <row r="9236" spans="3:3" x14ac:dyDescent="0.35">
      <c r="C9236" s="82"/>
    </row>
    <row r="9237" spans="3:3" x14ac:dyDescent="0.35">
      <c r="C9237" s="82"/>
    </row>
    <row r="9238" spans="3:3" x14ac:dyDescent="0.35">
      <c r="C9238" s="82"/>
    </row>
    <row r="9239" spans="3:3" x14ac:dyDescent="0.35">
      <c r="C9239" s="82"/>
    </row>
    <row r="9240" spans="3:3" x14ac:dyDescent="0.35">
      <c r="C9240" s="82"/>
    </row>
    <row r="9241" spans="3:3" x14ac:dyDescent="0.35">
      <c r="C9241" s="82"/>
    </row>
    <row r="9242" spans="3:3" x14ac:dyDescent="0.35">
      <c r="C9242" s="82"/>
    </row>
    <row r="9243" spans="3:3" x14ac:dyDescent="0.35">
      <c r="C9243" s="82"/>
    </row>
    <row r="9244" spans="3:3" x14ac:dyDescent="0.35">
      <c r="C9244" s="82"/>
    </row>
    <row r="9245" spans="3:3" x14ac:dyDescent="0.35">
      <c r="C9245" s="82"/>
    </row>
    <row r="9246" spans="3:3" x14ac:dyDescent="0.35">
      <c r="C9246" s="82"/>
    </row>
    <row r="9247" spans="3:3" x14ac:dyDescent="0.35">
      <c r="C9247" s="82"/>
    </row>
    <row r="9248" spans="3:3" x14ac:dyDescent="0.35">
      <c r="C9248" s="82"/>
    </row>
    <row r="9249" spans="3:3" x14ac:dyDescent="0.35">
      <c r="C9249" s="82"/>
    </row>
    <row r="9250" spans="3:3" x14ac:dyDescent="0.35">
      <c r="C9250" s="82"/>
    </row>
    <row r="9251" spans="3:3" x14ac:dyDescent="0.35">
      <c r="C9251" s="82"/>
    </row>
    <row r="9252" spans="3:3" x14ac:dyDescent="0.35">
      <c r="C9252" s="82"/>
    </row>
    <row r="9253" spans="3:3" x14ac:dyDescent="0.35">
      <c r="C9253" s="82"/>
    </row>
    <row r="9254" spans="3:3" x14ac:dyDescent="0.35">
      <c r="C9254" s="82"/>
    </row>
    <row r="9255" spans="3:3" x14ac:dyDescent="0.35">
      <c r="C9255" s="82"/>
    </row>
    <row r="9256" spans="3:3" x14ac:dyDescent="0.35">
      <c r="C9256" s="82"/>
    </row>
    <row r="9257" spans="3:3" x14ac:dyDescent="0.35">
      <c r="C9257" s="82"/>
    </row>
    <row r="9258" spans="3:3" x14ac:dyDescent="0.35">
      <c r="C9258" s="82"/>
    </row>
    <row r="9259" spans="3:3" x14ac:dyDescent="0.35">
      <c r="C9259" s="82"/>
    </row>
    <row r="9260" spans="3:3" x14ac:dyDescent="0.35">
      <c r="C9260" s="82"/>
    </row>
    <row r="9261" spans="3:3" x14ac:dyDescent="0.35">
      <c r="C9261" s="82"/>
    </row>
    <row r="9262" spans="3:3" x14ac:dyDescent="0.35">
      <c r="C9262" s="82"/>
    </row>
    <row r="9263" spans="3:3" x14ac:dyDescent="0.35">
      <c r="C9263" s="82"/>
    </row>
    <row r="9264" spans="3:3" x14ac:dyDescent="0.35">
      <c r="C9264" s="82"/>
    </row>
    <row r="9265" spans="3:3" x14ac:dyDescent="0.35">
      <c r="C9265" s="82"/>
    </row>
    <row r="9266" spans="3:3" x14ac:dyDescent="0.35">
      <c r="C9266" s="82"/>
    </row>
    <row r="9267" spans="3:3" x14ac:dyDescent="0.35">
      <c r="C9267" s="82"/>
    </row>
    <row r="9268" spans="3:3" x14ac:dyDescent="0.35">
      <c r="C9268" s="82"/>
    </row>
    <row r="9269" spans="3:3" x14ac:dyDescent="0.35">
      <c r="C9269" s="82"/>
    </row>
    <row r="9270" spans="3:3" x14ac:dyDescent="0.35">
      <c r="C9270" s="82"/>
    </row>
    <row r="9271" spans="3:3" x14ac:dyDescent="0.35">
      <c r="C9271" s="82"/>
    </row>
    <row r="9272" spans="3:3" x14ac:dyDescent="0.35">
      <c r="C9272" s="82"/>
    </row>
    <row r="9273" spans="3:3" x14ac:dyDescent="0.35">
      <c r="C9273" s="82"/>
    </row>
    <row r="9274" spans="3:3" x14ac:dyDescent="0.35">
      <c r="C9274" s="82"/>
    </row>
    <row r="9275" spans="3:3" x14ac:dyDescent="0.35">
      <c r="C9275" s="82"/>
    </row>
    <row r="9276" spans="3:3" x14ac:dyDescent="0.35">
      <c r="C9276" s="82"/>
    </row>
    <row r="9277" spans="3:3" x14ac:dyDescent="0.35">
      <c r="C9277" s="82"/>
    </row>
    <row r="9278" spans="3:3" x14ac:dyDescent="0.35">
      <c r="C9278" s="82"/>
    </row>
    <row r="9279" spans="3:3" x14ac:dyDescent="0.35">
      <c r="C9279" s="82"/>
    </row>
    <row r="9280" spans="3:3" x14ac:dyDescent="0.35">
      <c r="C9280" s="82"/>
    </row>
    <row r="9281" spans="3:3" x14ac:dyDescent="0.35">
      <c r="C9281" s="82"/>
    </row>
    <row r="9282" spans="3:3" x14ac:dyDescent="0.35">
      <c r="C9282" s="82"/>
    </row>
    <row r="9283" spans="3:3" x14ac:dyDescent="0.35">
      <c r="C9283" s="82"/>
    </row>
    <row r="9284" spans="3:3" x14ac:dyDescent="0.35">
      <c r="C9284" s="82"/>
    </row>
    <row r="9285" spans="3:3" x14ac:dyDescent="0.35">
      <c r="C9285" s="82"/>
    </row>
    <row r="9286" spans="3:3" x14ac:dyDescent="0.35">
      <c r="C9286" s="82"/>
    </row>
    <row r="9287" spans="3:3" x14ac:dyDescent="0.35">
      <c r="C9287" s="82"/>
    </row>
    <row r="9288" spans="3:3" x14ac:dyDescent="0.35">
      <c r="C9288" s="82"/>
    </row>
    <row r="9289" spans="3:3" x14ac:dyDescent="0.35">
      <c r="C9289" s="82"/>
    </row>
    <row r="9290" spans="3:3" x14ac:dyDescent="0.35">
      <c r="C9290" s="82"/>
    </row>
    <row r="9291" spans="3:3" x14ac:dyDescent="0.35">
      <c r="C9291" s="82"/>
    </row>
    <row r="9292" spans="3:3" x14ac:dyDescent="0.35">
      <c r="C9292" s="82"/>
    </row>
    <row r="9293" spans="3:3" x14ac:dyDescent="0.35">
      <c r="C9293" s="82"/>
    </row>
    <row r="9294" spans="3:3" x14ac:dyDescent="0.35">
      <c r="C9294" s="82"/>
    </row>
    <row r="9295" spans="3:3" x14ac:dyDescent="0.35">
      <c r="C9295" s="82"/>
    </row>
    <row r="9296" spans="3:3" x14ac:dyDescent="0.35">
      <c r="C9296" s="82"/>
    </row>
    <row r="9297" spans="3:3" x14ac:dyDescent="0.35">
      <c r="C9297" s="82"/>
    </row>
    <row r="9298" spans="3:3" x14ac:dyDescent="0.35">
      <c r="C9298" s="82"/>
    </row>
    <row r="9299" spans="3:3" x14ac:dyDescent="0.35">
      <c r="C9299" s="82"/>
    </row>
    <row r="9300" spans="3:3" x14ac:dyDescent="0.35">
      <c r="C9300" s="82"/>
    </row>
    <row r="9301" spans="3:3" x14ac:dyDescent="0.35">
      <c r="C9301" s="82"/>
    </row>
    <row r="9302" spans="3:3" x14ac:dyDescent="0.35">
      <c r="C9302" s="82"/>
    </row>
    <row r="9303" spans="3:3" x14ac:dyDescent="0.35">
      <c r="C9303" s="82"/>
    </row>
    <row r="9304" spans="3:3" x14ac:dyDescent="0.35">
      <c r="C9304" s="82"/>
    </row>
    <row r="9305" spans="3:3" x14ac:dyDescent="0.35">
      <c r="C9305" s="82"/>
    </row>
    <row r="9306" spans="3:3" x14ac:dyDescent="0.35">
      <c r="C9306" s="82"/>
    </row>
    <row r="9307" spans="3:3" x14ac:dyDescent="0.35">
      <c r="C9307" s="82"/>
    </row>
    <row r="9308" spans="3:3" x14ac:dyDescent="0.35">
      <c r="C9308" s="82"/>
    </row>
    <row r="9309" spans="3:3" x14ac:dyDescent="0.35">
      <c r="C9309" s="82"/>
    </row>
    <row r="9310" spans="3:3" x14ac:dyDescent="0.35">
      <c r="C9310" s="82"/>
    </row>
    <row r="9311" spans="3:3" x14ac:dyDescent="0.35">
      <c r="C9311" s="82"/>
    </row>
    <row r="9312" spans="3:3" x14ac:dyDescent="0.35">
      <c r="C9312" s="82"/>
    </row>
    <row r="9313" spans="3:3" x14ac:dyDescent="0.35">
      <c r="C9313" s="82"/>
    </row>
    <row r="9314" spans="3:3" x14ac:dyDescent="0.35">
      <c r="C9314" s="82"/>
    </row>
    <row r="9315" spans="3:3" x14ac:dyDescent="0.35">
      <c r="C9315" s="82"/>
    </row>
    <row r="9316" spans="3:3" x14ac:dyDescent="0.35">
      <c r="C9316" s="82"/>
    </row>
    <row r="9317" spans="3:3" x14ac:dyDescent="0.35">
      <c r="C9317" s="82"/>
    </row>
    <row r="9318" spans="3:3" x14ac:dyDescent="0.35">
      <c r="C9318" s="82"/>
    </row>
    <row r="9319" spans="3:3" x14ac:dyDescent="0.35">
      <c r="C9319" s="82"/>
    </row>
    <row r="9320" spans="3:3" x14ac:dyDescent="0.35">
      <c r="C9320" s="82"/>
    </row>
    <row r="9321" spans="3:3" x14ac:dyDescent="0.35">
      <c r="C9321" s="82"/>
    </row>
    <row r="9322" spans="3:3" x14ac:dyDescent="0.35">
      <c r="C9322" s="82"/>
    </row>
    <row r="9323" spans="3:3" x14ac:dyDescent="0.35">
      <c r="C9323" s="82"/>
    </row>
    <row r="9324" spans="3:3" x14ac:dyDescent="0.35">
      <c r="C9324" s="82"/>
    </row>
    <row r="9325" spans="3:3" x14ac:dyDescent="0.35">
      <c r="C9325" s="82"/>
    </row>
    <row r="9326" spans="3:3" x14ac:dyDescent="0.35">
      <c r="C9326" s="82"/>
    </row>
    <row r="9327" spans="3:3" x14ac:dyDescent="0.35">
      <c r="C9327" s="82"/>
    </row>
    <row r="9328" spans="3:3" x14ac:dyDescent="0.35">
      <c r="C9328" s="82"/>
    </row>
    <row r="9329" spans="3:3" x14ac:dyDescent="0.35">
      <c r="C9329" s="82"/>
    </row>
    <row r="9330" spans="3:3" x14ac:dyDescent="0.35">
      <c r="C9330" s="82"/>
    </row>
    <row r="9331" spans="3:3" x14ac:dyDescent="0.35">
      <c r="C9331" s="82"/>
    </row>
    <row r="9332" spans="3:3" x14ac:dyDescent="0.35">
      <c r="C9332" s="82"/>
    </row>
    <row r="9333" spans="3:3" x14ac:dyDescent="0.35">
      <c r="C9333" s="82"/>
    </row>
    <row r="9334" spans="3:3" x14ac:dyDescent="0.35">
      <c r="C9334" s="82"/>
    </row>
    <row r="9335" spans="3:3" x14ac:dyDescent="0.35">
      <c r="C9335" s="82"/>
    </row>
    <row r="9336" spans="3:3" x14ac:dyDescent="0.35">
      <c r="C9336" s="82"/>
    </row>
    <row r="9337" spans="3:3" x14ac:dyDescent="0.35">
      <c r="C9337" s="82"/>
    </row>
    <row r="9338" spans="3:3" x14ac:dyDescent="0.35">
      <c r="C9338" s="82"/>
    </row>
    <row r="9339" spans="3:3" x14ac:dyDescent="0.35">
      <c r="C9339" s="82"/>
    </row>
    <row r="9340" spans="3:3" x14ac:dyDescent="0.35">
      <c r="C9340" s="82"/>
    </row>
    <row r="9341" spans="3:3" x14ac:dyDescent="0.35">
      <c r="C9341" s="82"/>
    </row>
    <row r="9342" spans="3:3" x14ac:dyDescent="0.35">
      <c r="C9342" s="82"/>
    </row>
    <row r="9343" spans="3:3" x14ac:dyDescent="0.35">
      <c r="C9343" s="82"/>
    </row>
    <row r="9344" spans="3:3" x14ac:dyDescent="0.35">
      <c r="C9344" s="82"/>
    </row>
    <row r="9345" spans="3:3" x14ac:dyDescent="0.35">
      <c r="C9345" s="82"/>
    </row>
    <row r="9346" spans="3:3" x14ac:dyDescent="0.35">
      <c r="C9346" s="82"/>
    </row>
    <row r="9347" spans="3:3" x14ac:dyDescent="0.35">
      <c r="C9347" s="82"/>
    </row>
    <row r="9348" spans="3:3" x14ac:dyDescent="0.35">
      <c r="C9348" s="82"/>
    </row>
    <row r="9349" spans="3:3" x14ac:dyDescent="0.35">
      <c r="C9349" s="82"/>
    </row>
    <row r="9350" spans="3:3" x14ac:dyDescent="0.35">
      <c r="C9350" s="82"/>
    </row>
    <row r="9351" spans="3:3" x14ac:dyDescent="0.35">
      <c r="C9351" s="82"/>
    </row>
    <row r="9352" spans="3:3" x14ac:dyDescent="0.35">
      <c r="C9352" s="82"/>
    </row>
    <row r="9353" spans="3:3" x14ac:dyDescent="0.35">
      <c r="C9353" s="82"/>
    </row>
    <row r="9354" spans="3:3" x14ac:dyDescent="0.35">
      <c r="C9354" s="82"/>
    </row>
    <row r="9355" spans="3:3" x14ac:dyDescent="0.35">
      <c r="C9355" s="82"/>
    </row>
    <row r="9356" spans="3:3" x14ac:dyDescent="0.35">
      <c r="C9356" s="82"/>
    </row>
    <row r="9357" spans="3:3" x14ac:dyDescent="0.35">
      <c r="C9357" s="82"/>
    </row>
    <row r="9358" spans="3:3" x14ac:dyDescent="0.35">
      <c r="C9358" s="82"/>
    </row>
    <row r="9359" spans="3:3" x14ac:dyDescent="0.35">
      <c r="C9359" s="82"/>
    </row>
    <row r="9360" spans="3:3" x14ac:dyDescent="0.35">
      <c r="C9360" s="82"/>
    </row>
    <row r="9361" spans="3:3" x14ac:dyDescent="0.35">
      <c r="C9361" s="82"/>
    </row>
    <row r="9362" spans="3:3" x14ac:dyDescent="0.35">
      <c r="C9362" s="82"/>
    </row>
    <row r="9363" spans="3:3" x14ac:dyDescent="0.35">
      <c r="C9363" s="82"/>
    </row>
    <row r="9364" spans="3:3" x14ac:dyDescent="0.35">
      <c r="C9364" s="82"/>
    </row>
    <row r="9365" spans="3:3" x14ac:dyDescent="0.35">
      <c r="C9365" s="82"/>
    </row>
    <row r="9366" spans="3:3" x14ac:dyDescent="0.35">
      <c r="C9366" s="82"/>
    </row>
    <row r="9367" spans="3:3" x14ac:dyDescent="0.35">
      <c r="C9367" s="82"/>
    </row>
    <row r="9368" spans="3:3" x14ac:dyDescent="0.35">
      <c r="C9368" s="82"/>
    </row>
    <row r="9369" spans="3:3" x14ac:dyDescent="0.35">
      <c r="C9369" s="82"/>
    </row>
    <row r="9370" spans="3:3" x14ac:dyDescent="0.35">
      <c r="C9370" s="82"/>
    </row>
    <row r="9371" spans="3:3" x14ac:dyDescent="0.35">
      <c r="C9371" s="82"/>
    </row>
    <row r="9372" spans="3:3" x14ac:dyDescent="0.35">
      <c r="C9372" s="82"/>
    </row>
    <row r="9373" spans="3:3" x14ac:dyDescent="0.35">
      <c r="C9373" s="82"/>
    </row>
    <row r="9374" spans="3:3" x14ac:dyDescent="0.35">
      <c r="C9374" s="82"/>
    </row>
    <row r="9375" spans="3:3" x14ac:dyDescent="0.35">
      <c r="C9375" s="82"/>
    </row>
    <row r="9376" spans="3:3" x14ac:dyDescent="0.35">
      <c r="C9376" s="82"/>
    </row>
    <row r="9377" spans="3:3" x14ac:dyDescent="0.35">
      <c r="C9377" s="82"/>
    </row>
    <row r="9378" spans="3:3" x14ac:dyDescent="0.35">
      <c r="C9378" s="82"/>
    </row>
    <row r="9379" spans="3:3" x14ac:dyDescent="0.35">
      <c r="C9379" s="82"/>
    </row>
    <row r="9380" spans="3:3" x14ac:dyDescent="0.35">
      <c r="C9380" s="82"/>
    </row>
    <row r="9381" spans="3:3" x14ac:dyDescent="0.35">
      <c r="C9381" s="82"/>
    </row>
    <row r="9382" spans="3:3" x14ac:dyDescent="0.35">
      <c r="C9382" s="82"/>
    </row>
    <row r="9383" spans="3:3" x14ac:dyDescent="0.35">
      <c r="C9383" s="82"/>
    </row>
    <row r="9384" spans="3:3" x14ac:dyDescent="0.35">
      <c r="C9384" s="82"/>
    </row>
    <row r="9385" spans="3:3" x14ac:dyDescent="0.35">
      <c r="C9385" s="82"/>
    </row>
    <row r="9386" spans="3:3" x14ac:dyDescent="0.35">
      <c r="C9386" s="82"/>
    </row>
    <row r="9387" spans="3:3" x14ac:dyDescent="0.35">
      <c r="C9387" s="82"/>
    </row>
    <row r="9388" spans="3:3" x14ac:dyDescent="0.35">
      <c r="C9388" s="82"/>
    </row>
    <row r="9389" spans="3:3" x14ac:dyDescent="0.35">
      <c r="C9389" s="82"/>
    </row>
    <row r="9390" spans="3:3" x14ac:dyDescent="0.35">
      <c r="C9390" s="82"/>
    </row>
    <row r="9391" spans="3:3" x14ac:dyDescent="0.35">
      <c r="C9391" s="82"/>
    </row>
    <row r="9392" spans="3:3" x14ac:dyDescent="0.35">
      <c r="C9392" s="82"/>
    </row>
    <row r="9393" spans="3:3" x14ac:dyDescent="0.35">
      <c r="C9393" s="82"/>
    </row>
    <row r="9394" spans="3:3" x14ac:dyDescent="0.35">
      <c r="C9394" s="82"/>
    </row>
    <row r="9395" spans="3:3" x14ac:dyDescent="0.35">
      <c r="C9395" s="82"/>
    </row>
    <row r="9396" spans="3:3" x14ac:dyDescent="0.35">
      <c r="C9396" s="82"/>
    </row>
    <row r="9397" spans="3:3" x14ac:dyDescent="0.35">
      <c r="C9397" s="82"/>
    </row>
    <row r="9398" spans="3:3" x14ac:dyDescent="0.35">
      <c r="C9398" s="82"/>
    </row>
    <row r="9399" spans="3:3" x14ac:dyDescent="0.35">
      <c r="C9399" s="82"/>
    </row>
    <row r="9400" spans="3:3" x14ac:dyDescent="0.35">
      <c r="C9400" s="82"/>
    </row>
    <row r="9401" spans="3:3" x14ac:dyDescent="0.35">
      <c r="C9401" s="82"/>
    </row>
    <row r="9402" spans="3:3" x14ac:dyDescent="0.35">
      <c r="C9402" s="82"/>
    </row>
    <row r="9403" spans="3:3" x14ac:dyDescent="0.35">
      <c r="C9403" s="82"/>
    </row>
    <row r="9404" spans="3:3" x14ac:dyDescent="0.35">
      <c r="C9404" s="82"/>
    </row>
    <row r="9405" spans="3:3" x14ac:dyDescent="0.35">
      <c r="C9405" s="82"/>
    </row>
    <row r="9406" spans="3:3" x14ac:dyDescent="0.35">
      <c r="C9406" s="82"/>
    </row>
    <row r="9407" spans="3:3" x14ac:dyDescent="0.35">
      <c r="C9407" s="82"/>
    </row>
    <row r="9408" spans="3:3" x14ac:dyDescent="0.35">
      <c r="C9408" s="82"/>
    </row>
    <row r="9409" spans="3:3" x14ac:dyDescent="0.35">
      <c r="C9409" s="82"/>
    </row>
    <row r="9410" spans="3:3" x14ac:dyDescent="0.35">
      <c r="C9410" s="82"/>
    </row>
    <row r="9411" spans="3:3" x14ac:dyDescent="0.35">
      <c r="C9411" s="82"/>
    </row>
    <row r="9412" spans="3:3" x14ac:dyDescent="0.35">
      <c r="C9412" s="82"/>
    </row>
    <row r="9413" spans="3:3" x14ac:dyDescent="0.35">
      <c r="C9413" s="82"/>
    </row>
    <row r="9414" spans="3:3" x14ac:dyDescent="0.35">
      <c r="C9414" s="82"/>
    </row>
    <row r="9415" spans="3:3" x14ac:dyDescent="0.35">
      <c r="C9415" s="82"/>
    </row>
    <row r="9416" spans="3:3" x14ac:dyDescent="0.35">
      <c r="C9416" s="82"/>
    </row>
    <row r="9417" spans="3:3" x14ac:dyDescent="0.35">
      <c r="C9417" s="82"/>
    </row>
    <row r="9418" spans="3:3" x14ac:dyDescent="0.35">
      <c r="C9418" s="82"/>
    </row>
    <row r="9419" spans="3:3" x14ac:dyDescent="0.35">
      <c r="C9419" s="82"/>
    </row>
    <row r="9420" spans="3:3" x14ac:dyDescent="0.35">
      <c r="C9420" s="82"/>
    </row>
    <row r="9421" spans="3:3" x14ac:dyDescent="0.35">
      <c r="C9421" s="82"/>
    </row>
    <row r="9422" spans="3:3" x14ac:dyDescent="0.35">
      <c r="C9422" s="82"/>
    </row>
    <row r="9423" spans="3:3" x14ac:dyDescent="0.35">
      <c r="C9423" s="82"/>
    </row>
    <row r="9424" spans="3:3" x14ac:dyDescent="0.35">
      <c r="C9424" s="82"/>
    </row>
    <row r="9425" spans="3:3" x14ac:dyDescent="0.35">
      <c r="C9425" s="82"/>
    </row>
    <row r="9426" spans="3:3" x14ac:dyDescent="0.35">
      <c r="C9426" s="82"/>
    </row>
    <row r="9427" spans="3:3" x14ac:dyDescent="0.35">
      <c r="C9427" s="82"/>
    </row>
    <row r="9428" spans="3:3" x14ac:dyDescent="0.35">
      <c r="C9428" s="82"/>
    </row>
    <row r="9429" spans="3:3" x14ac:dyDescent="0.35">
      <c r="C9429" s="82"/>
    </row>
    <row r="9430" spans="3:3" x14ac:dyDescent="0.35">
      <c r="C9430" s="82"/>
    </row>
    <row r="9431" spans="3:3" x14ac:dyDescent="0.35">
      <c r="C9431" s="82"/>
    </row>
    <row r="9432" spans="3:3" x14ac:dyDescent="0.35">
      <c r="C9432" s="82"/>
    </row>
    <row r="9433" spans="3:3" x14ac:dyDescent="0.35">
      <c r="C9433" s="82"/>
    </row>
    <row r="9434" spans="3:3" x14ac:dyDescent="0.35">
      <c r="C9434" s="82"/>
    </row>
    <row r="9435" spans="3:3" x14ac:dyDescent="0.35">
      <c r="C9435" s="82"/>
    </row>
    <row r="9436" spans="3:3" x14ac:dyDescent="0.35">
      <c r="C9436" s="82"/>
    </row>
    <row r="9437" spans="3:3" x14ac:dyDescent="0.35">
      <c r="C9437" s="82"/>
    </row>
    <row r="9438" spans="3:3" x14ac:dyDescent="0.35">
      <c r="C9438" s="82"/>
    </row>
    <row r="9439" spans="3:3" x14ac:dyDescent="0.35">
      <c r="C9439" s="82"/>
    </row>
    <row r="9440" spans="3:3" x14ac:dyDescent="0.35">
      <c r="C9440" s="82"/>
    </row>
    <row r="9441" spans="3:3" x14ac:dyDescent="0.35">
      <c r="C9441" s="82"/>
    </row>
    <row r="9442" spans="3:3" x14ac:dyDescent="0.35">
      <c r="C9442" s="82"/>
    </row>
    <row r="9443" spans="3:3" x14ac:dyDescent="0.35">
      <c r="C9443" s="82"/>
    </row>
    <row r="9444" spans="3:3" x14ac:dyDescent="0.35">
      <c r="C9444" s="82"/>
    </row>
    <row r="9445" spans="3:3" x14ac:dyDescent="0.35">
      <c r="C9445" s="82"/>
    </row>
    <row r="9446" spans="3:3" x14ac:dyDescent="0.35">
      <c r="C9446" s="82"/>
    </row>
    <row r="9447" spans="3:3" x14ac:dyDescent="0.35">
      <c r="C9447" s="82"/>
    </row>
    <row r="9448" spans="3:3" x14ac:dyDescent="0.35">
      <c r="C9448" s="82"/>
    </row>
    <row r="9449" spans="3:3" x14ac:dyDescent="0.35">
      <c r="C9449" s="82"/>
    </row>
    <row r="9450" spans="3:3" x14ac:dyDescent="0.35">
      <c r="C9450" s="82"/>
    </row>
    <row r="9451" spans="3:3" x14ac:dyDescent="0.35">
      <c r="C9451" s="82"/>
    </row>
    <row r="9452" spans="3:3" x14ac:dyDescent="0.35">
      <c r="C9452" s="82"/>
    </row>
    <row r="9453" spans="3:3" x14ac:dyDescent="0.35">
      <c r="C9453" s="82"/>
    </row>
    <row r="9454" spans="3:3" x14ac:dyDescent="0.35">
      <c r="C9454" s="82"/>
    </row>
    <row r="9455" spans="3:3" x14ac:dyDescent="0.35">
      <c r="C9455" s="82"/>
    </row>
    <row r="9456" spans="3:3" x14ac:dyDescent="0.35">
      <c r="C9456" s="82"/>
    </row>
    <row r="9457" spans="3:3" x14ac:dyDescent="0.35">
      <c r="C9457" s="82"/>
    </row>
    <row r="9458" spans="3:3" x14ac:dyDescent="0.35">
      <c r="C9458" s="82"/>
    </row>
    <row r="9459" spans="3:3" x14ac:dyDescent="0.35">
      <c r="C9459" s="82"/>
    </row>
    <row r="9460" spans="3:3" x14ac:dyDescent="0.35">
      <c r="C9460" s="82"/>
    </row>
    <row r="9461" spans="3:3" x14ac:dyDescent="0.35">
      <c r="C9461" s="82"/>
    </row>
    <row r="9462" spans="3:3" x14ac:dyDescent="0.35">
      <c r="C9462" s="82"/>
    </row>
    <row r="9463" spans="3:3" x14ac:dyDescent="0.35">
      <c r="C9463" s="82"/>
    </row>
    <row r="9464" spans="3:3" x14ac:dyDescent="0.35">
      <c r="C9464" s="82"/>
    </row>
    <row r="9465" spans="3:3" x14ac:dyDescent="0.35">
      <c r="C9465" s="82"/>
    </row>
    <row r="9466" spans="3:3" x14ac:dyDescent="0.35">
      <c r="C9466" s="82"/>
    </row>
    <row r="9467" spans="3:3" x14ac:dyDescent="0.35">
      <c r="C9467" s="82"/>
    </row>
    <row r="9468" spans="3:3" x14ac:dyDescent="0.35">
      <c r="C9468" s="82"/>
    </row>
    <row r="9469" spans="3:3" x14ac:dyDescent="0.35">
      <c r="C9469" s="82"/>
    </row>
    <row r="9470" spans="3:3" x14ac:dyDescent="0.35">
      <c r="C9470" s="82"/>
    </row>
    <row r="9471" spans="3:3" x14ac:dyDescent="0.35">
      <c r="C9471" s="82"/>
    </row>
    <row r="9472" spans="3:3" x14ac:dyDescent="0.35">
      <c r="C9472" s="82"/>
    </row>
    <row r="9473" spans="3:3" x14ac:dyDescent="0.35">
      <c r="C9473" s="82"/>
    </row>
    <row r="9474" spans="3:3" x14ac:dyDescent="0.35">
      <c r="C9474" s="82"/>
    </row>
    <row r="9475" spans="3:3" x14ac:dyDescent="0.35">
      <c r="C9475" s="82"/>
    </row>
    <row r="9476" spans="3:3" x14ac:dyDescent="0.35">
      <c r="C9476" s="82"/>
    </row>
    <row r="9477" spans="3:3" x14ac:dyDescent="0.35">
      <c r="C9477" s="82"/>
    </row>
    <row r="9478" spans="3:3" x14ac:dyDescent="0.35">
      <c r="C9478" s="82"/>
    </row>
    <row r="9479" spans="3:3" x14ac:dyDescent="0.35">
      <c r="C9479" s="82"/>
    </row>
    <row r="9480" spans="3:3" x14ac:dyDescent="0.35">
      <c r="C9480" s="82"/>
    </row>
    <row r="9481" spans="3:3" x14ac:dyDescent="0.35">
      <c r="C9481" s="82"/>
    </row>
    <row r="9482" spans="3:3" x14ac:dyDescent="0.35">
      <c r="C9482" s="82"/>
    </row>
    <row r="9483" spans="3:3" x14ac:dyDescent="0.35">
      <c r="C9483" s="82"/>
    </row>
    <row r="9484" spans="3:3" x14ac:dyDescent="0.35">
      <c r="C9484" s="82"/>
    </row>
    <row r="9485" spans="3:3" x14ac:dyDescent="0.35">
      <c r="C9485" s="82"/>
    </row>
    <row r="9486" spans="3:3" x14ac:dyDescent="0.35">
      <c r="C9486" s="82"/>
    </row>
    <row r="9487" spans="3:3" x14ac:dyDescent="0.35">
      <c r="C9487" s="82"/>
    </row>
    <row r="9488" spans="3:3" x14ac:dyDescent="0.35">
      <c r="C9488" s="82"/>
    </row>
    <row r="9489" spans="3:3" x14ac:dyDescent="0.35">
      <c r="C9489" s="82"/>
    </row>
    <row r="9490" spans="3:3" x14ac:dyDescent="0.35">
      <c r="C9490" s="82"/>
    </row>
    <row r="9491" spans="3:3" x14ac:dyDescent="0.35">
      <c r="C9491" s="82"/>
    </row>
    <row r="9492" spans="3:3" x14ac:dyDescent="0.35">
      <c r="C9492" s="82"/>
    </row>
    <row r="9493" spans="3:3" x14ac:dyDescent="0.35">
      <c r="C9493" s="82"/>
    </row>
    <row r="9494" spans="3:3" x14ac:dyDescent="0.35">
      <c r="C9494" s="82"/>
    </row>
    <row r="9495" spans="3:3" x14ac:dyDescent="0.35">
      <c r="C9495" s="82"/>
    </row>
    <row r="9496" spans="3:3" x14ac:dyDescent="0.35">
      <c r="C9496" s="82"/>
    </row>
    <row r="9497" spans="3:3" x14ac:dyDescent="0.35">
      <c r="C9497" s="82"/>
    </row>
    <row r="9498" spans="3:3" x14ac:dyDescent="0.35">
      <c r="C9498" s="82"/>
    </row>
    <row r="9499" spans="3:3" x14ac:dyDescent="0.35">
      <c r="C9499" s="82"/>
    </row>
    <row r="9500" spans="3:3" x14ac:dyDescent="0.35">
      <c r="C9500" s="82"/>
    </row>
    <row r="9501" spans="3:3" x14ac:dyDescent="0.35">
      <c r="C9501" s="82"/>
    </row>
    <row r="9502" spans="3:3" x14ac:dyDescent="0.35">
      <c r="C9502" s="82"/>
    </row>
    <row r="9503" spans="3:3" x14ac:dyDescent="0.35">
      <c r="C9503" s="82"/>
    </row>
    <row r="9504" spans="3:3" x14ac:dyDescent="0.35">
      <c r="C9504" s="82"/>
    </row>
    <row r="9505" spans="3:3" x14ac:dyDescent="0.35">
      <c r="C9505" s="82"/>
    </row>
    <row r="9506" spans="3:3" x14ac:dyDescent="0.35">
      <c r="C9506" s="82"/>
    </row>
    <row r="9507" spans="3:3" x14ac:dyDescent="0.35">
      <c r="C9507" s="82"/>
    </row>
    <row r="9508" spans="3:3" x14ac:dyDescent="0.35">
      <c r="C9508" s="82"/>
    </row>
    <row r="9509" spans="3:3" x14ac:dyDescent="0.35">
      <c r="C9509" s="82"/>
    </row>
    <row r="9510" spans="3:3" x14ac:dyDescent="0.35">
      <c r="C9510" s="82"/>
    </row>
    <row r="9511" spans="3:3" x14ac:dyDescent="0.35">
      <c r="C9511" s="82"/>
    </row>
    <row r="9512" spans="3:3" x14ac:dyDescent="0.35">
      <c r="C9512" s="82"/>
    </row>
    <row r="9513" spans="3:3" x14ac:dyDescent="0.35">
      <c r="C9513" s="82"/>
    </row>
    <row r="9514" spans="3:3" x14ac:dyDescent="0.35">
      <c r="C9514" s="82"/>
    </row>
    <row r="9515" spans="3:3" x14ac:dyDescent="0.35">
      <c r="C9515" s="82"/>
    </row>
    <row r="9516" spans="3:3" x14ac:dyDescent="0.35">
      <c r="C9516" s="82"/>
    </row>
    <row r="9517" spans="3:3" x14ac:dyDescent="0.35">
      <c r="C9517" s="82"/>
    </row>
    <row r="9518" spans="3:3" x14ac:dyDescent="0.35">
      <c r="C9518" s="82"/>
    </row>
    <row r="9519" spans="3:3" x14ac:dyDescent="0.35">
      <c r="C9519" s="82"/>
    </row>
    <row r="9520" spans="3:3" x14ac:dyDescent="0.35">
      <c r="C9520" s="82"/>
    </row>
    <row r="9521" spans="3:3" x14ac:dyDescent="0.35">
      <c r="C9521" s="82"/>
    </row>
    <row r="9522" spans="3:3" x14ac:dyDescent="0.35">
      <c r="C9522" s="82"/>
    </row>
    <row r="9523" spans="3:3" x14ac:dyDescent="0.35">
      <c r="C9523" s="82"/>
    </row>
    <row r="9524" spans="3:3" x14ac:dyDescent="0.35">
      <c r="C9524" s="82"/>
    </row>
    <row r="9525" spans="3:3" x14ac:dyDescent="0.35">
      <c r="C9525" s="82"/>
    </row>
    <row r="9526" spans="3:3" x14ac:dyDescent="0.35">
      <c r="C9526" s="82"/>
    </row>
    <row r="9527" spans="3:3" x14ac:dyDescent="0.35">
      <c r="C9527" s="82"/>
    </row>
    <row r="9528" spans="3:3" x14ac:dyDescent="0.35">
      <c r="C9528" s="82"/>
    </row>
    <row r="9529" spans="3:3" x14ac:dyDescent="0.35">
      <c r="C9529" s="82"/>
    </row>
    <row r="9530" spans="3:3" x14ac:dyDescent="0.35">
      <c r="C9530" s="82"/>
    </row>
    <row r="9531" spans="3:3" x14ac:dyDescent="0.35">
      <c r="C9531" s="82"/>
    </row>
    <row r="9532" spans="3:3" x14ac:dyDescent="0.35">
      <c r="C9532" s="82"/>
    </row>
    <row r="9533" spans="3:3" x14ac:dyDescent="0.35">
      <c r="C9533" s="82"/>
    </row>
    <row r="9534" spans="3:3" x14ac:dyDescent="0.35">
      <c r="C9534" s="82"/>
    </row>
    <row r="9535" spans="3:3" x14ac:dyDescent="0.35">
      <c r="C9535" s="82"/>
    </row>
    <row r="9536" spans="3:3" x14ac:dyDescent="0.35">
      <c r="C9536" s="82"/>
    </row>
    <row r="9537" spans="3:3" x14ac:dyDescent="0.35">
      <c r="C9537" s="82"/>
    </row>
    <row r="9538" spans="3:3" x14ac:dyDescent="0.35">
      <c r="C9538" s="82"/>
    </row>
    <row r="9539" spans="3:3" x14ac:dyDescent="0.35">
      <c r="C9539" s="82"/>
    </row>
    <row r="9540" spans="3:3" x14ac:dyDescent="0.35">
      <c r="C9540" s="82"/>
    </row>
    <row r="9541" spans="3:3" x14ac:dyDescent="0.35">
      <c r="C9541" s="82"/>
    </row>
    <row r="9542" spans="3:3" x14ac:dyDescent="0.35">
      <c r="C9542" s="82"/>
    </row>
    <row r="9543" spans="3:3" x14ac:dyDescent="0.35">
      <c r="C9543" s="82"/>
    </row>
    <row r="9544" spans="3:3" x14ac:dyDescent="0.35">
      <c r="C9544" s="82"/>
    </row>
    <row r="9545" spans="3:3" x14ac:dyDescent="0.35">
      <c r="C9545" s="82"/>
    </row>
    <row r="9546" spans="3:3" x14ac:dyDescent="0.35">
      <c r="C9546" s="82"/>
    </row>
    <row r="9547" spans="3:3" x14ac:dyDescent="0.35">
      <c r="C9547" s="82"/>
    </row>
    <row r="9548" spans="3:3" x14ac:dyDescent="0.35">
      <c r="C9548" s="82"/>
    </row>
    <row r="9549" spans="3:3" x14ac:dyDescent="0.35">
      <c r="C9549" s="82"/>
    </row>
    <row r="9550" spans="3:3" x14ac:dyDescent="0.35">
      <c r="C9550" s="82"/>
    </row>
    <row r="9551" spans="3:3" x14ac:dyDescent="0.35">
      <c r="C9551" s="82"/>
    </row>
    <row r="9552" spans="3:3" x14ac:dyDescent="0.35">
      <c r="C9552" s="82"/>
    </row>
    <row r="9553" spans="3:3" x14ac:dyDescent="0.35">
      <c r="C9553" s="82"/>
    </row>
    <row r="9554" spans="3:3" x14ac:dyDescent="0.35">
      <c r="C9554" s="82"/>
    </row>
    <row r="9555" spans="3:3" x14ac:dyDescent="0.35">
      <c r="C9555" s="82"/>
    </row>
    <row r="9556" spans="3:3" x14ac:dyDescent="0.35">
      <c r="C9556" s="82"/>
    </row>
    <row r="9557" spans="3:3" x14ac:dyDescent="0.35">
      <c r="C9557" s="82"/>
    </row>
    <row r="9558" spans="3:3" x14ac:dyDescent="0.35">
      <c r="C9558" s="82"/>
    </row>
    <row r="9559" spans="3:3" x14ac:dyDescent="0.35">
      <c r="C9559" s="82"/>
    </row>
    <row r="9560" spans="3:3" x14ac:dyDescent="0.35">
      <c r="C9560" s="82"/>
    </row>
    <row r="9561" spans="3:3" x14ac:dyDescent="0.35">
      <c r="C9561" s="82"/>
    </row>
    <row r="9562" spans="3:3" x14ac:dyDescent="0.35">
      <c r="C9562" s="82"/>
    </row>
    <row r="9563" spans="3:3" x14ac:dyDescent="0.35">
      <c r="C9563" s="82"/>
    </row>
    <row r="9564" spans="3:3" x14ac:dyDescent="0.35">
      <c r="C9564" s="82"/>
    </row>
    <row r="9565" spans="3:3" x14ac:dyDescent="0.35">
      <c r="C9565" s="82"/>
    </row>
    <row r="9566" spans="3:3" x14ac:dyDescent="0.35">
      <c r="C9566" s="82"/>
    </row>
    <row r="9567" spans="3:3" x14ac:dyDescent="0.35">
      <c r="C9567" s="82"/>
    </row>
    <row r="9568" spans="3:3" x14ac:dyDescent="0.35">
      <c r="C9568" s="82"/>
    </row>
    <row r="9569" spans="3:3" x14ac:dyDescent="0.35">
      <c r="C9569" s="82"/>
    </row>
    <row r="9570" spans="3:3" x14ac:dyDescent="0.35">
      <c r="C9570" s="82"/>
    </row>
    <row r="9571" spans="3:3" x14ac:dyDescent="0.35">
      <c r="C9571" s="82"/>
    </row>
    <row r="9572" spans="3:3" x14ac:dyDescent="0.35">
      <c r="C9572" s="82"/>
    </row>
    <row r="9573" spans="3:3" x14ac:dyDescent="0.35">
      <c r="C9573" s="82"/>
    </row>
    <row r="9574" spans="3:3" x14ac:dyDescent="0.35">
      <c r="C9574" s="82"/>
    </row>
    <row r="9575" spans="3:3" x14ac:dyDescent="0.35">
      <c r="C9575" s="82"/>
    </row>
    <row r="9576" spans="3:3" x14ac:dyDescent="0.35">
      <c r="C9576" s="82"/>
    </row>
    <row r="9577" spans="3:3" x14ac:dyDescent="0.35">
      <c r="C9577" s="82"/>
    </row>
    <row r="9578" spans="3:3" x14ac:dyDescent="0.35">
      <c r="C9578" s="82"/>
    </row>
    <row r="9579" spans="3:3" x14ac:dyDescent="0.35">
      <c r="C9579" s="82"/>
    </row>
    <row r="9580" spans="3:3" x14ac:dyDescent="0.35">
      <c r="C9580" s="82"/>
    </row>
    <row r="9581" spans="3:3" x14ac:dyDescent="0.35">
      <c r="C9581" s="82"/>
    </row>
    <row r="9582" spans="3:3" x14ac:dyDescent="0.35">
      <c r="C9582" s="82"/>
    </row>
    <row r="9583" spans="3:3" x14ac:dyDescent="0.35">
      <c r="C9583" s="82"/>
    </row>
    <row r="9584" spans="3:3" x14ac:dyDescent="0.35">
      <c r="C9584" s="82"/>
    </row>
    <row r="9585" spans="3:3" x14ac:dyDescent="0.35">
      <c r="C9585" s="82"/>
    </row>
    <row r="9586" spans="3:3" x14ac:dyDescent="0.35">
      <c r="C9586" s="82"/>
    </row>
    <row r="9587" spans="3:3" x14ac:dyDescent="0.35">
      <c r="C9587" s="82"/>
    </row>
    <row r="9588" spans="3:3" x14ac:dyDescent="0.35">
      <c r="C9588" s="82"/>
    </row>
    <row r="9589" spans="3:3" x14ac:dyDescent="0.35">
      <c r="C9589" s="82"/>
    </row>
    <row r="9590" spans="3:3" x14ac:dyDescent="0.35">
      <c r="C9590" s="82"/>
    </row>
    <row r="9591" spans="3:3" x14ac:dyDescent="0.35">
      <c r="C9591" s="82"/>
    </row>
    <row r="9592" spans="3:3" x14ac:dyDescent="0.35">
      <c r="C9592" s="82"/>
    </row>
    <row r="9593" spans="3:3" x14ac:dyDescent="0.35">
      <c r="C9593" s="82"/>
    </row>
    <row r="9594" spans="3:3" x14ac:dyDescent="0.35">
      <c r="C9594" s="82"/>
    </row>
    <row r="9595" spans="3:3" x14ac:dyDescent="0.35">
      <c r="C9595" s="82"/>
    </row>
    <row r="9596" spans="3:3" x14ac:dyDescent="0.35">
      <c r="C9596" s="82"/>
    </row>
    <row r="9597" spans="3:3" x14ac:dyDescent="0.35">
      <c r="C9597" s="82"/>
    </row>
    <row r="9598" spans="3:3" x14ac:dyDescent="0.35">
      <c r="C9598" s="82"/>
    </row>
    <row r="9599" spans="3:3" x14ac:dyDescent="0.35">
      <c r="C9599" s="82"/>
    </row>
    <row r="9600" spans="3:3" x14ac:dyDescent="0.35">
      <c r="C9600" s="82"/>
    </row>
    <row r="9601" spans="3:3" x14ac:dyDescent="0.35">
      <c r="C9601" s="82"/>
    </row>
    <row r="9602" spans="3:3" x14ac:dyDescent="0.35">
      <c r="C9602" s="82"/>
    </row>
    <row r="9603" spans="3:3" x14ac:dyDescent="0.35">
      <c r="C9603" s="82"/>
    </row>
    <row r="9604" spans="3:3" x14ac:dyDescent="0.35">
      <c r="C9604" s="82"/>
    </row>
    <row r="9605" spans="3:3" x14ac:dyDescent="0.35">
      <c r="C9605" s="82"/>
    </row>
    <row r="9606" spans="3:3" x14ac:dyDescent="0.35">
      <c r="C9606" s="82"/>
    </row>
    <row r="9607" spans="3:3" x14ac:dyDescent="0.35">
      <c r="C9607" s="82"/>
    </row>
    <row r="9608" spans="3:3" x14ac:dyDescent="0.35">
      <c r="C9608" s="82"/>
    </row>
    <row r="9609" spans="3:3" x14ac:dyDescent="0.35">
      <c r="C9609" s="82"/>
    </row>
    <row r="9610" spans="3:3" x14ac:dyDescent="0.35">
      <c r="C9610" s="82"/>
    </row>
    <row r="9611" spans="3:3" x14ac:dyDescent="0.35">
      <c r="C9611" s="82"/>
    </row>
    <row r="9612" spans="3:3" x14ac:dyDescent="0.35">
      <c r="C9612" s="82"/>
    </row>
    <row r="9613" spans="3:3" x14ac:dyDescent="0.35">
      <c r="C9613" s="82"/>
    </row>
    <row r="9614" spans="3:3" x14ac:dyDescent="0.35">
      <c r="C9614" s="82"/>
    </row>
    <row r="9615" spans="3:3" x14ac:dyDescent="0.35">
      <c r="C9615" s="82"/>
    </row>
    <row r="9616" spans="3:3" x14ac:dyDescent="0.35">
      <c r="C9616" s="82"/>
    </row>
    <row r="9617" spans="3:3" x14ac:dyDescent="0.35">
      <c r="C9617" s="82"/>
    </row>
    <row r="9618" spans="3:3" x14ac:dyDescent="0.35">
      <c r="C9618" s="82"/>
    </row>
    <row r="9619" spans="3:3" x14ac:dyDescent="0.35">
      <c r="C9619" s="82"/>
    </row>
    <row r="9620" spans="3:3" x14ac:dyDescent="0.35">
      <c r="C9620" s="82"/>
    </row>
    <row r="9621" spans="3:3" x14ac:dyDescent="0.35">
      <c r="C9621" s="82"/>
    </row>
    <row r="9622" spans="3:3" x14ac:dyDescent="0.35">
      <c r="C9622" s="82"/>
    </row>
    <row r="9623" spans="3:3" x14ac:dyDescent="0.35">
      <c r="C9623" s="82"/>
    </row>
    <row r="9624" spans="3:3" x14ac:dyDescent="0.35">
      <c r="C9624" s="82"/>
    </row>
    <row r="9625" spans="3:3" x14ac:dyDescent="0.35">
      <c r="C9625" s="82"/>
    </row>
    <row r="9626" spans="3:3" x14ac:dyDescent="0.35">
      <c r="C9626" s="82"/>
    </row>
    <row r="9627" spans="3:3" x14ac:dyDescent="0.35">
      <c r="C9627" s="82"/>
    </row>
    <row r="9628" spans="3:3" x14ac:dyDescent="0.35">
      <c r="C9628" s="82"/>
    </row>
    <row r="9629" spans="3:3" x14ac:dyDescent="0.35">
      <c r="C9629" s="82"/>
    </row>
    <row r="9630" spans="3:3" x14ac:dyDescent="0.35">
      <c r="C9630" s="82"/>
    </row>
    <row r="9631" spans="3:3" x14ac:dyDescent="0.35">
      <c r="C9631" s="82"/>
    </row>
    <row r="9632" spans="3:3" x14ac:dyDescent="0.35">
      <c r="C9632" s="82"/>
    </row>
    <row r="9633" spans="3:3" x14ac:dyDescent="0.35">
      <c r="C9633" s="82"/>
    </row>
    <row r="9634" spans="3:3" x14ac:dyDescent="0.35">
      <c r="C9634" s="82"/>
    </row>
    <row r="9635" spans="3:3" x14ac:dyDescent="0.35">
      <c r="C9635" s="82"/>
    </row>
    <row r="9636" spans="3:3" x14ac:dyDescent="0.35">
      <c r="C9636" s="82"/>
    </row>
    <row r="9637" spans="3:3" x14ac:dyDescent="0.35">
      <c r="C9637" s="82"/>
    </row>
    <row r="9638" spans="3:3" x14ac:dyDescent="0.35">
      <c r="C9638" s="82"/>
    </row>
    <row r="9639" spans="3:3" x14ac:dyDescent="0.35">
      <c r="C9639" s="82"/>
    </row>
    <row r="9640" spans="3:3" x14ac:dyDescent="0.35">
      <c r="C9640" s="82"/>
    </row>
    <row r="9641" spans="3:3" x14ac:dyDescent="0.35">
      <c r="C9641" s="82"/>
    </row>
    <row r="9642" spans="3:3" x14ac:dyDescent="0.35">
      <c r="C9642" s="82"/>
    </row>
    <row r="9643" spans="3:3" x14ac:dyDescent="0.35">
      <c r="C9643" s="82"/>
    </row>
    <row r="9644" spans="3:3" x14ac:dyDescent="0.35">
      <c r="C9644" s="82"/>
    </row>
    <row r="9645" spans="3:3" x14ac:dyDescent="0.35">
      <c r="C9645" s="82"/>
    </row>
    <row r="9646" spans="3:3" x14ac:dyDescent="0.35">
      <c r="C9646" s="82"/>
    </row>
    <row r="9647" spans="3:3" x14ac:dyDescent="0.35">
      <c r="C9647" s="82"/>
    </row>
    <row r="9648" spans="3:3" x14ac:dyDescent="0.35">
      <c r="C9648" s="82"/>
    </row>
    <row r="9649" spans="3:3" x14ac:dyDescent="0.35">
      <c r="C9649" s="82"/>
    </row>
    <row r="9650" spans="3:3" x14ac:dyDescent="0.35">
      <c r="C9650" s="82"/>
    </row>
    <row r="9651" spans="3:3" x14ac:dyDescent="0.35">
      <c r="C9651" s="82"/>
    </row>
    <row r="9652" spans="3:3" x14ac:dyDescent="0.35">
      <c r="C9652" s="82"/>
    </row>
    <row r="9653" spans="3:3" x14ac:dyDescent="0.35">
      <c r="C9653" s="82"/>
    </row>
    <row r="9654" spans="3:3" x14ac:dyDescent="0.35">
      <c r="C9654" s="82"/>
    </row>
    <row r="9655" spans="3:3" x14ac:dyDescent="0.35">
      <c r="C9655" s="82"/>
    </row>
    <row r="9656" spans="3:3" x14ac:dyDescent="0.35">
      <c r="C9656" s="82"/>
    </row>
    <row r="9657" spans="3:3" x14ac:dyDescent="0.35">
      <c r="C9657" s="82"/>
    </row>
    <row r="9658" spans="3:3" x14ac:dyDescent="0.35">
      <c r="C9658" s="82"/>
    </row>
    <row r="9659" spans="3:3" x14ac:dyDescent="0.35">
      <c r="C9659" s="82"/>
    </row>
    <row r="9660" spans="3:3" x14ac:dyDescent="0.35">
      <c r="C9660" s="82"/>
    </row>
    <row r="9661" spans="3:3" x14ac:dyDescent="0.35">
      <c r="C9661" s="82"/>
    </row>
    <row r="9662" spans="3:3" x14ac:dyDescent="0.35">
      <c r="C9662" s="82"/>
    </row>
    <row r="9663" spans="3:3" x14ac:dyDescent="0.35">
      <c r="C9663" s="82"/>
    </row>
    <row r="9664" spans="3:3" x14ac:dyDescent="0.35">
      <c r="C9664" s="82"/>
    </row>
    <row r="9665" spans="3:3" x14ac:dyDescent="0.35">
      <c r="C9665" s="82"/>
    </row>
    <row r="9666" spans="3:3" x14ac:dyDescent="0.35">
      <c r="C9666" s="82"/>
    </row>
    <row r="9667" spans="3:3" x14ac:dyDescent="0.35">
      <c r="C9667" s="82"/>
    </row>
    <row r="9668" spans="3:3" x14ac:dyDescent="0.35">
      <c r="C9668" s="82"/>
    </row>
    <row r="9669" spans="3:3" x14ac:dyDescent="0.35">
      <c r="C9669" s="82"/>
    </row>
    <row r="9670" spans="3:3" x14ac:dyDescent="0.35">
      <c r="C9670" s="82"/>
    </row>
    <row r="9671" spans="3:3" x14ac:dyDescent="0.35">
      <c r="C9671" s="82"/>
    </row>
    <row r="9672" spans="3:3" x14ac:dyDescent="0.35">
      <c r="C9672" s="82"/>
    </row>
    <row r="9673" spans="3:3" x14ac:dyDescent="0.35">
      <c r="C9673" s="82"/>
    </row>
    <row r="9674" spans="3:3" x14ac:dyDescent="0.35">
      <c r="C9674" s="82"/>
    </row>
    <row r="9675" spans="3:3" x14ac:dyDescent="0.35">
      <c r="C9675" s="82"/>
    </row>
    <row r="9676" spans="3:3" x14ac:dyDescent="0.35">
      <c r="C9676" s="82"/>
    </row>
    <row r="9677" spans="3:3" x14ac:dyDescent="0.35">
      <c r="C9677" s="82"/>
    </row>
    <row r="9678" spans="3:3" x14ac:dyDescent="0.35">
      <c r="C9678" s="82"/>
    </row>
    <row r="9679" spans="3:3" x14ac:dyDescent="0.35">
      <c r="C9679" s="82"/>
    </row>
    <row r="9680" spans="3:3" x14ac:dyDescent="0.35">
      <c r="C9680" s="82"/>
    </row>
    <row r="9681" spans="3:3" x14ac:dyDescent="0.35">
      <c r="C9681" s="82"/>
    </row>
    <row r="9682" spans="3:3" x14ac:dyDescent="0.35">
      <c r="C9682" s="82"/>
    </row>
    <row r="9683" spans="3:3" x14ac:dyDescent="0.35">
      <c r="C9683" s="82"/>
    </row>
    <row r="9684" spans="3:3" x14ac:dyDescent="0.35">
      <c r="C9684" s="82"/>
    </row>
    <row r="9685" spans="3:3" x14ac:dyDescent="0.35">
      <c r="C9685" s="82"/>
    </row>
    <row r="9686" spans="3:3" x14ac:dyDescent="0.35">
      <c r="C9686" s="82"/>
    </row>
    <row r="9687" spans="3:3" x14ac:dyDescent="0.35">
      <c r="C9687" s="82"/>
    </row>
    <row r="9688" spans="3:3" x14ac:dyDescent="0.35">
      <c r="C9688" s="82"/>
    </row>
    <row r="9689" spans="3:3" x14ac:dyDescent="0.35">
      <c r="C9689" s="82"/>
    </row>
    <row r="9690" spans="3:3" x14ac:dyDescent="0.35">
      <c r="C9690" s="82"/>
    </row>
    <row r="9691" spans="3:3" x14ac:dyDescent="0.35">
      <c r="C9691" s="82"/>
    </row>
    <row r="9692" spans="3:3" x14ac:dyDescent="0.35">
      <c r="C9692" s="82"/>
    </row>
    <row r="9693" spans="3:3" x14ac:dyDescent="0.35">
      <c r="C9693" s="82"/>
    </row>
    <row r="9694" spans="3:3" x14ac:dyDescent="0.35">
      <c r="C9694" s="82"/>
    </row>
    <row r="9695" spans="3:3" x14ac:dyDescent="0.35">
      <c r="C9695" s="82"/>
    </row>
    <row r="9696" spans="3:3" x14ac:dyDescent="0.35">
      <c r="C9696" s="82"/>
    </row>
    <row r="9697" spans="3:3" x14ac:dyDescent="0.35">
      <c r="C9697" s="82"/>
    </row>
    <row r="9698" spans="3:3" x14ac:dyDescent="0.35">
      <c r="C9698" s="82"/>
    </row>
    <row r="9699" spans="3:3" x14ac:dyDescent="0.35">
      <c r="C9699" s="82"/>
    </row>
    <row r="9700" spans="3:3" x14ac:dyDescent="0.35">
      <c r="C9700" s="82"/>
    </row>
    <row r="9701" spans="3:3" x14ac:dyDescent="0.35">
      <c r="C9701" s="82"/>
    </row>
    <row r="9702" spans="3:3" x14ac:dyDescent="0.35">
      <c r="C9702" s="82"/>
    </row>
    <row r="9703" spans="3:3" x14ac:dyDescent="0.35">
      <c r="C9703" s="82"/>
    </row>
    <row r="9704" spans="3:3" x14ac:dyDescent="0.35">
      <c r="C9704" s="82"/>
    </row>
    <row r="9705" spans="3:3" x14ac:dyDescent="0.35">
      <c r="C9705" s="82"/>
    </row>
    <row r="9706" spans="3:3" x14ac:dyDescent="0.35">
      <c r="C9706" s="82"/>
    </row>
    <row r="9707" spans="3:3" x14ac:dyDescent="0.35">
      <c r="C9707" s="82"/>
    </row>
    <row r="9708" spans="3:3" x14ac:dyDescent="0.35">
      <c r="C9708" s="82"/>
    </row>
    <row r="9709" spans="3:3" x14ac:dyDescent="0.35">
      <c r="C9709" s="82"/>
    </row>
    <row r="9710" spans="3:3" x14ac:dyDescent="0.35">
      <c r="C9710" s="82"/>
    </row>
    <row r="9711" spans="3:3" x14ac:dyDescent="0.35">
      <c r="C9711" s="82"/>
    </row>
    <row r="9712" spans="3:3" x14ac:dyDescent="0.35">
      <c r="C9712" s="82"/>
    </row>
    <row r="9713" spans="3:3" x14ac:dyDescent="0.35">
      <c r="C9713" s="82"/>
    </row>
    <row r="9714" spans="3:3" x14ac:dyDescent="0.35">
      <c r="C9714" s="82"/>
    </row>
    <row r="9715" spans="3:3" x14ac:dyDescent="0.35">
      <c r="C9715" s="82"/>
    </row>
    <row r="9716" spans="3:3" x14ac:dyDescent="0.35">
      <c r="C9716" s="82"/>
    </row>
    <row r="9717" spans="3:3" x14ac:dyDescent="0.35">
      <c r="C9717" s="82"/>
    </row>
    <row r="9718" spans="3:3" x14ac:dyDescent="0.35">
      <c r="C9718" s="82"/>
    </row>
    <row r="9719" spans="3:3" x14ac:dyDescent="0.35">
      <c r="C9719" s="82"/>
    </row>
    <row r="9720" spans="3:3" x14ac:dyDescent="0.35">
      <c r="C9720" s="82"/>
    </row>
    <row r="9721" spans="3:3" x14ac:dyDescent="0.35">
      <c r="C9721" s="82"/>
    </row>
    <row r="9722" spans="3:3" x14ac:dyDescent="0.35">
      <c r="C9722" s="82"/>
    </row>
    <row r="9723" spans="3:3" x14ac:dyDescent="0.35">
      <c r="C9723" s="82"/>
    </row>
    <row r="9724" spans="3:3" x14ac:dyDescent="0.35">
      <c r="C9724" s="82"/>
    </row>
    <row r="9725" spans="3:3" x14ac:dyDescent="0.35">
      <c r="C9725" s="82"/>
    </row>
    <row r="9726" spans="3:3" x14ac:dyDescent="0.35">
      <c r="C9726" s="82"/>
    </row>
    <row r="9727" spans="3:3" x14ac:dyDescent="0.35">
      <c r="C9727" s="82"/>
    </row>
    <row r="9728" spans="3:3" x14ac:dyDescent="0.35">
      <c r="C9728" s="82"/>
    </row>
    <row r="9729" spans="1:7" x14ac:dyDescent="0.35">
      <c r="C9729" s="82"/>
    </row>
    <row r="9730" spans="1:7" x14ac:dyDescent="0.35">
      <c r="C9730" s="82"/>
    </row>
    <row r="9731" spans="1:7" x14ac:dyDescent="0.35">
      <c r="C9731" s="82"/>
    </row>
    <row r="9732" spans="1:7" x14ac:dyDescent="0.35">
      <c r="C9732" s="82"/>
    </row>
    <row r="9733" spans="1:7" x14ac:dyDescent="0.35">
      <c r="C9733" s="82"/>
    </row>
    <row r="9734" spans="1:7" x14ac:dyDescent="0.35">
      <c r="C9734" s="82"/>
    </row>
    <row r="9735" spans="1:7" x14ac:dyDescent="0.35">
      <c r="C9735" s="82"/>
    </row>
    <row r="9736" spans="1:7" x14ac:dyDescent="0.35">
      <c r="C9736" s="82"/>
    </row>
    <row r="9737" spans="1:7" x14ac:dyDescent="0.35">
      <c r="C9737" s="82"/>
    </row>
    <row r="9738" spans="1:7" x14ac:dyDescent="0.35">
      <c r="C9738" s="82"/>
    </row>
    <row r="9739" spans="1:7" x14ac:dyDescent="0.35">
      <c r="C9739" s="82"/>
    </row>
    <row r="9740" spans="1:7" x14ac:dyDescent="0.35">
      <c r="C9740" s="82"/>
    </row>
    <row r="9741" spans="1:7" x14ac:dyDescent="0.35">
      <c r="C9741" s="82"/>
    </row>
    <row r="9742" spans="1:7" s="84" customFormat="1" x14ac:dyDescent="0.35">
      <c r="A9742" s="77"/>
      <c r="B9742" s="64"/>
      <c r="C9742" s="82"/>
      <c r="D9742" s="64"/>
      <c r="E9742" s="96"/>
      <c r="F9742" s="64"/>
      <c r="G9742" s="70"/>
    </row>
    <row r="9743" spans="1:7" s="84" customFormat="1" x14ac:dyDescent="0.35">
      <c r="A9743" s="77"/>
      <c r="B9743" s="64"/>
      <c r="C9743" s="82"/>
      <c r="D9743" s="64"/>
      <c r="E9743" s="96"/>
      <c r="F9743" s="64"/>
      <c r="G9743" s="70"/>
    </row>
    <row r="9744" spans="1:7" s="84" customFormat="1" x14ac:dyDescent="0.35">
      <c r="A9744" s="77"/>
      <c r="B9744" s="64"/>
      <c r="C9744" s="82"/>
      <c r="D9744" s="64"/>
      <c r="E9744" s="96"/>
      <c r="F9744" s="64"/>
      <c r="G9744" s="70"/>
    </row>
    <row r="9745" spans="1:7" s="84" customFormat="1" x14ac:dyDescent="0.35">
      <c r="A9745" s="77"/>
      <c r="B9745" s="64"/>
      <c r="C9745" s="82"/>
      <c r="D9745" s="64"/>
      <c r="E9745" s="96"/>
      <c r="F9745" s="64"/>
      <c r="G9745" s="70"/>
    </row>
    <row r="9746" spans="1:7" s="84" customFormat="1" x14ac:dyDescent="0.35">
      <c r="A9746" s="77"/>
      <c r="B9746" s="64"/>
      <c r="C9746" s="82"/>
      <c r="D9746" s="64"/>
      <c r="E9746" s="96"/>
      <c r="F9746" s="64"/>
      <c r="G9746" s="70"/>
    </row>
    <row r="9747" spans="1:7" s="84" customFormat="1" x14ac:dyDescent="0.35">
      <c r="A9747" s="77"/>
      <c r="B9747" s="64"/>
      <c r="C9747" s="82"/>
      <c r="D9747" s="64"/>
      <c r="E9747" s="96"/>
      <c r="F9747" s="64"/>
      <c r="G9747" s="70"/>
    </row>
    <row r="9748" spans="1:7" s="84" customFormat="1" x14ac:dyDescent="0.35">
      <c r="A9748" s="77"/>
      <c r="B9748" s="64"/>
      <c r="C9748" s="82"/>
      <c r="D9748" s="64"/>
      <c r="E9748" s="96"/>
      <c r="F9748" s="64"/>
      <c r="G9748" s="70"/>
    </row>
    <row r="9749" spans="1:7" s="84" customFormat="1" x14ac:dyDescent="0.35">
      <c r="A9749" s="77"/>
      <c r="B9749" s="64"/>
      <c r="C9749" s="82"/>
      <c r="D9749" s="64"/>
      <c r="E9749" s="96"/>
      <c r="F9749" s="64"/>
      <c r="G9749" s="70"/>
    </row>
    <row r="9750" spans="1:7" s="84" customFormat="1" x14ac:dyDescent="0.35">
      <c r="A9750" s="77"/>
      <c r="B9750" s="64"/>
      <c r="C9750" s="82"/>
      <c r="D9750" s="64"/>
      <c r="E9750" s="96"/>
      <c r="F9750" s="64"/>
      <c r="G9750" s="70"/>
    </row>
    <row r="9751" spans="1:7" s="84" customFormat="1" x14ac:dyDescent="0.35">
      <c r="A9751" s="77"/>
      <c r="B9751" s="64"/>
      <c r="C9751" s="82"/>
      <c r="D9751" s="64"/>
      <c r="E9751" s="96"/>
      <c r="F9751" s="64"/>
      <c r="G9751" s="85"/>
    </row>
    <row r="9752" spans="1:7" s="84" customFormat="1" x14ac:dyDescent="0.35">
      <c r="A9752" s="77"/>
      <c r="B9752" s="64"/>
      <c r="C9752" s="82"/>
      <c r="D9752" s="64"/>
      <c r="E9752" s="96"/>
      <c r="F9752" s="64"/>
      <c r="G9752" s="70"/>
    </row>
    <row r="9753" spans="1:7" s="84" customFormat="1" x14ac:dyDescent="0.35">
      <c r="A9753" s="77"/>
      <c r="B9753" s="64"/>
      <c r="C9753" s="82"/>
      <c r="D9753" s="64"/>
      <c r="E9753" s="96"/>
      <c r="F9753" s="64"/>
      <c r="G9753" s="70"/>
    </row>
    <row r="9754" spans="1:7" s="84" customFormat="1" x14ac:dyDescent="0.35">
      <c r="A9754" s="77"/>
      <c r="B9754" s="64"/>
      <c r="C9754" s="82"/>
      <c r="D9754" s="64"/>
      <c r="E9754" s="96"/>
      <c r="F9754" s="64"/>
      <c r="G9754" s="70"/>
    </row>
    <row r="9755" spans="1:7" s="84" customFormat="1" x14ac:dyDescent="0.35">
      <c r="A9755" s="77"/>
      <c r="B9755" s="64"/>
      <c r="C9755" s="82"/>
      <c r="D9755" s="64"/>
      <c r="E9755" s="96"/>
      <c r="F9755" s="64"/>
      <c r="G9755" s="70"/>
    </row>
    <row r="9756" spans="1:7" s="84" customFormat="1" x14ac:dyDescent="0.35">
      <c r="A9756" s="77"/>
      <c r="B9756" s="64"/>
      <c r="C9756" s="82"/>
      <c r="D9756" s="64"/>
      <c r="E9756" s="96"/>
      <c r="F9756" s="64"/>
      <c r="G9756" s="70"/>
    </row>
    <row r="9757" spans="1:7" s="84" customFormat="1" x14ac:dyDescent="0.35">
      <c r="A9757" s="77"/>
      <c r="B9757" s="64"/>
      <c r="C9757" s="82"/>
      <c r="D9757" s="64"/>
      <c r="E9757" s="96"/>
      <c r="F9757" s="64"/>
      <c r="G9757" s="70"/>
    </row>
    <row r="9758" spans="1:7" x14ac:dyDescent="0.35">
      <c r="C9758" s="82"/>
    </row>
    <row r="9759" spans="1:7" x14ac:dyDescent="0.35">
      <c r="C9759" s="82"/>
    </row>
    <row r="9760" spans="1:7" x14ac:dyDescent="0.35">
      <c r="C9760" s="82"/>
    </row>
    <row r="9761" spans="3:3" x14ac:dyDescent="0.35">
      <c r="C9761" s="82"/>
    </row>
    <row r="9762" spans="3:3" x14ac:dyDescent="0.35">
      <c r="C9762" s="82"/>
    </row>
    <row r="9763" spans="3:3" x14ac:dyDescent="0.35">
      <c r="C9763" s="82"/>
    </row>
    <row r="9764" spans="3:3" x14ac:dyDescent="0.35">
      <c r="C9764" s="82"/>
    </row>
    <row r="9765" spans="3:3" x14ac:dyDescent="0.35">
      <c r="C9765" s="82"/>
    </row>
    <row r="9766" spans="3:3" x14ac:dyDescent="0.35">
      <c r="C9766" s="82"/>
    </row>
    <row r="9767" spans="3:3" x14ac:dyDescent="0.35">
      <c r="C9767" s="82"/>
    </row>
    <row r="9768" spans="3:3" x14ac:dyDescent="0.35">
      <c r="C9768" s="82"/>
    </row>
    <row r="9769" spans="3:3" x14ac:dyDescent="0.35">
      <c r="C9769" s="82"/>
    </row>
    <row r="9770" spans="3:3" x14ac:dyDescent="0.35">
      <c r="C9770" s="82"/>
    </row>
    <row r="9771" spans="3:3" x14ac:dyDescent="0.35">
      <c r="C9771" s="82"/>
    </row>
    <row r="9772" spans="3:3" x14ac:dyDescent="0.35">
      <c r="C9772" s="82"/>
    </row>
    <row r="9773" spans="3:3" x14ac:dyDescent="0.35">
      <c r="C9773" s="82"/>
    </row>
    <row r="9774" spans="3:3" x14ac:dyDescent="0.35">
      <c r="C9774" s="82"/>
    </row>
    <row r="9775" spans="3:3" x14ac:dyDescent="0.35">
      <c r="C9775" s="82"/>
    </row>
    <row r="9776" spans="3:3" x14ac:dyDescent="0.35">
      <c r="C9776" s="82"/>
    </row>
    <row r="9777" spans="3:3" x14ac:dyDescent="0.35">
      <c r="C9777" s="82"/>
    </row>
    <row r="9778" spans="3:3" x14ac:dyDescent="0.35">
      <c r="C9778" s="82"/>
    </row>
    <row r="9779" spans="3:3" x14ac:dyDescent="0.35">
      <c r="C9779" s="82"/>
    </row>
    <row r="9780" spans="3:3" x14ac:dyDescent="0.35">
      <c r="C9780" s="82"/>
    </row>
    <row r="9781" spans="3:3" x14ac:dyDescent="0.35">
      <c r="C9781" s="82"/>
    </row>
    <row r="9782" spans="3:3" x14ac:dyDescent="0.35">
      <c r="C9782" s="82"/>
    </row>
    <row r="9783" spans="3:3" x14ac:dyDescent="0.35">
      <c r="C9783" s="82"/>
    </row>
    <row r="9784" spans="3:3" x14ac:dyDescent="0.35">
      <c r="C9784" s="82"/>
    </row>
    <row r="9785" spans="3:3" x14ac:dyDescent="0.35">
      <c r="C9785" s="82"/>
    </row>
    <row r="9786" spans="3:3" x14ac:dyDescent="0.35">
      <c r="C9786" s="82"/>
    </row>
    <row r="9787" spans="3:3" x14ac:dyDescent="0.35">
      <c r="C9787" s="82"/>
    </row>
    <row r="9788" spans="3:3" x14ac:dyDescent="0.35">
      <c r="C9788" s="82"/>
    </row>
    <row r="9789" spans="3:3" x14ac:dyDescent="0.35">
      <c r="C9789" s="82"/>
    </row>
    <row r="9790" spans="3:3" x14ac:dyDescent="0.35">
      <c r="C9790" s="82"/>
    </row>
    <row r="9791" spans="3:3" x14ac:dyDescent="0.35">
      <c r="C9791" s="82"/>
    </row>
    <row r="9792" spans="3:3" x14ac:dyDescent="0.35">
      <c r="C9792" s="82"/>
    </row>
    <row r="9793" spans="1:9" x14ac:dyDescent="0.35">
      <c r="C9793" s="82"/>
    </row>
    <row r="9794" spans="1:9" x14ac:dyDescent="0.35">
      <c r="C9794" s="82"/>
    </row>
    <row r="9795" spans="1:9" x14ac:dyDescent="0.35">
      <c r="C9795" s="82"/>
    </row>
    <row r="9796" spans="1:9" x14ac:dyDescent="0.35">
      <c r="C9796" s="82"/>
    </row>
    <row r="9797" spans="1:9" x14ac:dyDescent="0.35">
      <c r="C9797" s="82"/>
    </row>
    <row r="9798" spans="1:9" x14ac:dyDescent="0.35">
      <c r="C9798" s="82"/>
    </row>
    <row r="9799" spans="1:9" x14ac:dyDescent="0.35">
      <c r="C9799" s="82"/>
    </row>
    <row r="9800" spans="1:9" x14ac:dyDescent="0.35">
      <c r="C9800" s="82"/>
    </row>
    <row r="9801" spans="1:9" x14ac:dyDescent="0.35">
      <c r="C9801" s="82"/>
    </row>
    <row r="9802" spans="1:9" x14ac:dyDescent="0.35">
      <c r="C9802" s="82"/>
    </row>
    <row r="9803" spans="1:9" x14ac:dyDescent="0.35">
      <c r="C9803" s="82"/>
    </row>
    <row r="9804" spans="1:9" x14ac:dyDescent="0.35">
      <c r="C9804" s="82"/>
    </row>
    <row r="9805" spans="1:9" x14ac:dyDescent="0.35">
      <c r="C9805" s="82"/>
    </row>
    <row r="9806" spans="1:9" s="83" customFormat="1" x14ac:dyDescent="0.35">
      <c r="A9806" s="77"/>
      <c r="B9806" s="64"/>
      <c r="C9806" s="82"/>
      <c r="D9806" s="64"/>
      <c r="E9806" s="96"/>
      <c r="F9806" s="64"/>
      <c r="G9806" s="70"/>
      <c r="H9806" s="84"/>
      <c r="I9806" s="84"/>
    </row>
    <row r="9807" spans="1:9" s="83" customFormat="1" x14ac:dyDescent="0.35">
      <c r="A9807" s="77"/>
      <c r="B9807" s="64"/>
      <c r="C9807" s="82"/>
      <c r="D9807" s="64"/>
      <c r="E9807" s="96"/>
      <c r="F9807" s="64"/>
      <c r="G9807" s="70"/>
      <c r="H9807" s="84"/>
      <c r="I9807" s="84"/>
    </row>
    <row r="9808" spans="1:9" s="83" customFormat="1" x14ac:dyDescent="0.35">
      <c r="A9808" s="77"/>
      <c r="B9808" s="64"/>
      <c r="C9808" s="82"/>
      <c r="D9808" s="64"/>
      <c r="E9808" s="96"/>
      <c r="F9808" s="64"/>
      <c r="G9808" s="70"/>
      <c r="H9808" s="84"/>
      <c r="I9808" s="84"/>
    </row>
    <row r="9809" spans="1:9" s="83" customFormat="1" x14ac:dyDescent="0.35">
      <c r="A9809" s="77"/>
      <c r="B9809" s="64"/>
      <c r="C9809" s="82"/>
      <c r="D9809" s="64"/>
      <c r="E9809" s="96"/>
      <c r="F9809" s="64"/>
      <c r="G9809" s="70"/>
      <c r="H9809" s="84"/>
      <c r="I9809" s="84"/>
    </row>
    <row r="9810" spans="1:9" s="83" customFormat="1" x14ac:dyDescent="0.35">
      <c r="A9810" s="77"/>
      <c r="B9810" s="64"/>
      <c r="C9810" s="82"/>
      <c r="D9810" s="64"/>
      <c r="E9810" s="96"/>
      <c r="F9810" s="64"/>
      <c r="G9810" s="70"/>
      <c r="H9810" s="84"/>
      <c r="I9810" s="84"/>
    </row>
    <row r="9811" spans="1:9" s="83" customFormat="1" x14ac:dyDescent="0.35">
      <c r="A9811" s="77"/>
      <c r="B9811" s="64"/>
      <c r="C9811" s="82"/>
      <c r="D9811" s="64"/>
      <c r="E9811" s="96"/>
      <c r="F9811" s="64"/>
      <c r="G9811" s="70"/>
      <c r="H9811" s="84"/>
      <c r="I9811" s="84"/>
    </row>
    <row r="9812" spans="1:9" s="83" customFormat="1" x14ac:dyDescent="0.35">
      <c r="A9812" s="77"/>
      <c r="B9812" s="64"/>
      <c r="C9812" s="82"/>
      <c r="D9812" s="64"/>
      <c r="E9812" s="96"/>
      <c r="F9812" s="64"/>
      <c r="G9812" s="70"/>
      <c r="H9812" s="84"/>
      <c r="I9812" s="84"/>
    </row>
    <row r="9813" spans="1:9" s="83" customFormat="1" x14ac:dyDescent="0.35">
      <c r="A9813" s="77"/>
      <c r="B9813" s="64"/>
      <c r="C9813" s="82"/>
      <c r="D9813" s="64"/>
      <c r="E9813" s="96"/>
      <c r="F9813" s="64"/>
      <c r="G9813" s="70"/>
      <c r="H9813" s="84"/>
      <c r="I9813" s="84"/>
    </row>
    <row r="9814" spans="1:9" s="83" customFormat="1" x14ac:dyDescent="0.35">
      <c r="A9814" s="77"/>
      <c r="B9814" s="64"/>
      <c r="C9814" s="82"/>
      <c r="D9814" s="64"/>
      <c r="E9814" s="96"/>
      <c r="F9814" s="64"/>
      <c r="G9814" s="70"/>
      <c r="H9814" s="84"/>
      <c r="I9814" s="84"/>
    </row>
    <row r="9815" spans="1:9" s="83" customFormat="1" x14ac:dyDescent="0.35">
      <c r="A9815" s="77"/>
      <c r="B9815" s="64"/>
      <c r="C9815" s="82"/>
      <c r="D9815" s="64"/>
      <c r="E9815" s="96"/>
      <c r="F9815" s="64"/>
      <c r="G9815" s="70"/>
      <c r="H9815" s="84"/>
      <c r="I9815" s="84"/>
    </row>
    <row r="9816" spans="1:9" s="83" customFormat="1" x14ac:dyDescent="0.35">
      <c r="A9816" s="77"/>
      <c r="B9816" s="64"/>
      <c r="C9816" s="82"/>
      <c r="D9816" s="64"/>
      <c r="E9816" s="96"/>
      <c r="F9816" s="64"/>
      <c r="G9816" s="70"/>
      <c r="H9816" s="84"/>
      <c r="I9816" s="84"/>
    </row>
    <row r="9817" spans="1:9" s="83" customFormat="1" x14ac:dyDescent="0.35">
      <c r="A9817" s="77"/>
      <c r="B9817" s="64"/>
      <c r="C9817" s="82"/>
      <c r="D9817" s="86"/>
      <c r="E9817" s="96"/>
      <c r="F9817" s="64"/>
      <c r="G9817" s="70"/>
      <c r="H9817" s="84"/>
      <c r="I9817" s="84"/>
    </row>
    <row r="9818" spans="1:9" s="83" customFormat="1" x14ac:dyDescent="0.35">
      <c r="A9818" s="77"/>
      <c r="B9818" s="64"/>
      <c r="C9818" s="82"/>
      <c r="D9818" s="64"/>
      <c r="E9818" s="96"/>
      <c r="F9818" s="64"/>
      <c r="G9818" s="70"/>
      <c r="H9818" s="84"/>
      <c r="I9818" s="84"/>
    </row>
    <row r="9819" spans="1:9" s="83" customFormat="1" x14ac:dyDescent="0.35">
      <c r="A9819" s="77"/>
      <c r="B9819" s="64"/>
      <c r="C9819" s="82"/>
      <c r="D9819" s="64"/>
      <c r="E9819" s="96"/>
      <c r="F9819" s="64"/>
      <c r="G9819" s="70"/>
      <c r="H9819" s="84"/>
      <c r="I9819" s="84"/>
    </row>
    <row r="9820" spans="1:9" s="83" customFormat="1" x14ac:dyDescent="0.35">
      <c r="A9820" s="77"/>
      <c r="B9820" s="64"/>
      <c r="C9820" s="82"/>
      <c r="D9820" s="64"/>
      <c r="E9820" s="96"/>
      <c r="F9820" s="64"/>
      <c r="G9820" s="70"/>
      <c r="H9820" s="84"/>
      <c r="I9820" s="84"/>
    </row>
    <row r="9821" spans="1:9" s="83" customFormat="1" x14ac:dyDescent="0.35">
      <c r="A9821" s="77"/>
      <c r="B9821" s="64"/>
      <c r="C9821" s="82"/>
      <c r="D9821" s="64"/>
      <c r="E9821" s="96"/>
      <c r="F9821" s="64"/>
      <c r="G9821" s="70"/>
      <c r="H9821" s="84"/>
      <c r="I9821" s="84"/>
    </row>
    <row r="9822" spans="1:9" x14ac:dyDescent="0.35">
      <c r="C9822" s="82"/>
    </row>
    <row r="9823" spans="1:9" x14ac:dyDescent="0.35">
      <c r="C9823" s="82"/>
    </row>
    <row r="9824" spans="1:9" x14ac:dyDescent="0.35">
      <c r="C9824" s="82"/>
    </row>
    <row r="9825" spans="1:9" x14ac:dyDescent="0.35">
      <c r="C9825" s="82"/>
    </row>
    <row r="9826" spans="1:9" x14ac:dyDescent="0.35">
      <c r="C9826" s="82"/>
    </row>
    <row r="9827" spans="1:9" x14ac:dyDescent="0.35">
      <c r="C9827" s="82"/>
    </row>
    <row r="9828" spans="1:9" x14ac:dyDescent="0.35">
      <c r="C9828" s="82"/>
    </row>
    <row r="9829" spans="1:9" x14ac:dyDescent="0.35">
      <c r="C9829" s="82"/>
    </row>
    <row r="9830" spans="1:9" x14ac:dyDescent="0.35">
      <c r="C9830" s="82"/>
    </row>
    <row r="9831" spans="1:9" x14ac:dyDescent="0.35">
      <c r="C9831" s="82"/>
    </row>
    <row r="9832" spans="1:9" x14ac:dyDescent="0.35">
      <c r="C9832" s="82"/>
    </row>
    <row r="9833" spans="1:9" x14ac:dyDescent="0.35">
      <c r="C9833" s="82"/>
    </row>
    <row r="9834" spans="1:9" x14ac:dyDescent="0.35">
      <c r="C9834" s="82"/>
    </row>
    <row r="9835" spans="1:9" x14ac:dyDescent="0.35">
      <c r="C9835" s="82"/>
    </row>
    <row r="9836" spans="1:9" x14ac:dyDescent="0.35">
      <c r="C9836" s="82"/>
    </row>
    <row r="9837" spans="1:9" x14ac:dyDescent="0.35">
      <c r="C9837" s="82"/>
    </row>
    <row r="9838" spans="1:9" s="83" customFormat="1" x14ac:dyDescent="0.35">
      <c r="A9838" s="77"/>
      <c r="B9838" s="64"/>
      <c r="C9838" s="82"/>
      <c r="D9838" s="86"/>
      <c r="E9838" s="96"/>
      <c r="F9838" s="64"/>
      <c r="G9838" s="70"/>
      <c r="H9838" s="84"/>
      <c r="I9838" s="84"/>
    </row>
    <row r="9839" spans="1:9" s="83" customFormat="1" x14ac:dyDescent="0.35">
      <c r="A9839" s="77"/>
      <c r="B9839" s="64"/>
      <c r="C9839" s="82"/>
      <c r="D9839" s="64"/>
      <c r="E9839" s="96"/>
      <c r="F9839" s="64"/>
      <c r="G9839" s="70"/>
      <c r="H9839" s="84"/>
      <c r="I9839" s="84"/>
    </row>
    <row r="9840" spans="1:9" s="83" customFormat="1" x14ac:dyDescent="0.35">
      <c r="A9840" s="77"/>
      <c r="B9840" s="64"/>
      <c r="C9840" s="82"/>
      <c r="D9840" s="64"/>
      <c r="E9840" s="96"/>
      <c r="F9840" s="64"/>
      <c r="G9840" s="70"/>
      <c r="H9840" s="84"/>
      <c r="I9840" s="84"/>
    </row>
    <row r="9841" spans="1:9" s="83" customFormat="1" x14ac:dyDescent="0.35">
      <c r="A9841" s="77"/>
      <c r="B9841" s="64"/>
      <c r="C9841" s="82"/>
      <c r="D9841" s="64"/>
      <c r="E9841" s="96"/>
      <c r="F9841" s="64"/>
      <c r="G9841" s="70"/>
      <c r="H9841" s="84"/>
      <c r="I9841" s="84"/>
    </row>
    <row r="9842" spans="1:9" s="83" customFormat="1" x14ac:dyDescent="0.35">
      <c r="A9842" s="77"/>
      <c r="B9842" s="64"/>
      <c r="C9842" s="82"/>
      <c r="D9842" s="64"/>
      <c r="E9842" s="96"/>
      <c r="F9842" s="64"/>
      <c r="G9842" s="70"/>
      <c r="H9842" s="84"/>
      <c r="I9842" s="84"/>
    </row>
    <row r="9843" spans="1:9" s="83" customFormat="1" x14ac:dyDescent="0.35">
      <c r="A9843" s="77"/>
      <c r="B9843" s="64"/>
      <c r="C9843" s="82"/>
      <c r="D9843" s="64"/>
      <c r="E9843" s="96"/>
      <c r="F9843" s="64"/>
      <c r="G9843" s="70"/>
      <c r="H9843" s="84"/>
      <c r="I9843" s="84"/>
    </row>
    <row r="9844" spans="1:9" s="83" customFormat="1" x14ac:dyDescent="0.35">
      <c r="A9844" s="77"/>
      <c r="B9844" s="64"/>
      <c r="C9844" s="82"/>
      <c r="D9844" s="64"/>
      <c r="E9844" s="96"/>
      <c r="F9844" s="64"/>
      <c r="G9844" s="70"/>
      <c r="H9844" s="84"/>
      <c r="I9844" s="84"/>
    </row>
    <row r="9845" spans="1:9" s="83" customFormat="1" x14ac:dyDescent="0.35">
      <c r="A9845" s="77"/>
      <c r="B9845" s="64"/>
      <c r="C9845" s="82"/>
      <c r="D9845" s="64"/>
      <c r="E9845" s="96"/>
      <c r="F9845" s="64"/>
      <c r="G9845" s="70"/>
      <c r="H9845" s="84"/>
      <c r="I9845" s="84"/>
    </row>
    <row r="9846" spans="1:9" s="83" customFormat="1" x14ac:dyDescent="0.35">
      <c r="A9846" s="77"/>
      <c r="B9846" s="64"/>
      <c r="C9846" s="82"/>
      <c r="D9846" s="64"/>
      <c r="E9846" s="96"/>
      <c r="F9846" s="64"/>
      <c r="G9846" s="70"/>
      <c r="H9846" s="84"/>
      <c r="I9846" s="84"/>
    </row>
    <row r="9847" spans="1:9" s="83" customFormat="1" x14ac:dyDescent="0.35">
      <c r="A9847" s="77"/>
      <c r="B9847" s="64"/>
      <c r="C9847" s="82"/>
      <c r="D9847" s="64"/>
      <c r="E9847" s="96"/>
      <c r="F9847" s="64"/>
      <c r="G9847" s="70"/>
      <c r="H9847" s="84"/>
      <c r="I9847" s="84"/>
    </row>
    <row r="9848" spans="1:9" s="83" customFormat="1" x14ac:dyDescent="0.35">
      <c r="A9848" s="77"/>
      <c r="B9848" s="64"/>
      <c r="C9848" s="82"/>
      <c r="D9848" s="64"/>
      <c r="E9848" s="96"/>
      <c r="F9848" s="64"/>
      <c r="G9848" s="70"/>
      <c r="H9848" s="84"/>
      <c r="I9848" s="84"/>
    </row>
    <row r="9849" spans="1:9" s="83" customFormat="1" x14ac:dyDescent="0.35">
      <c r="A9849" s="77"/>
      <c r="B9849" s="64"/>
      <c r="C9849" s="82"/>
      <c r="D9849" s="64"/>
      <c r="E9849" s="96"/>
      <c r="F9849" s="64"/>
      <c r="G9849" s="70"/>
      <c r="H9849" s="84"/>
      <c r="I9849" s="84"/>
    </row>
    <row r="9850" spans="1:9" s="83" customFormat="1" x14ac:dyDescent="0.35">
      <c r="A9850" s="77"/>
      <c r="B9850" s="64"/>
      <c r="C9850" s="82"/>
      <c r="D9850" s="64"/>
      <c r="E9850" s="96"/>
      <c r="F9850" s="64"/>
      <c r="G9850" s="70"/>
      <c r="H9850" s="84"/>
      <c r="I9850" s="84"/>
    </row>
    <row r="9851" spans="1:9" s="83" customFormat="1" x14ac:dyDescent="0.35">
      <c r="A9851" s="77"/>
      <c r="B9851" s="64"/>
      <c r="C9851" s="82"/>
      <c r="D9851" s="64"/>
      <c r="E9851" s="96"/>
      <c r="F9851" s="64"/>
      <c r="G9851" s="70"/>
      <c r="H9851" s="84"/>
      <c r="I9851" s="84"/>
    </row>
    <row r="9852" spans="1:9" s="83" customFormat="1" x14ac:dyDescent="0.35">
      <c r="A9852" s="77"/>
      <c r="B9852" s="64"/>
      <c r="C9852" s="82"/>
      <c r="D9852" s="64"/>
      <c r="E9852" s="96"/>
      <c r="F9852" s="64"/>
      <c r="G9852" s="70"/>
      <c r="H9852" s="84"/>
      <c r="I9852" s="84"/>
    </row>
    <row r="9853" spans="1:9" s="83" customFormat="1" x14ac:dyDescent="0.35">
      <c r="A9853" s="77"/>
      <c r="B9853" s="64"/>
      <c r="C9853" s="82"/>
      <c r="D9853" s="64"/>
      <c r="E9853" s="96"/>
      <c r="F9853" s="64"/>
      <c r="G9853" s="70"/>
      <c r="H9853" s="84"/>
      <c r="I9853" s="84"/>
    </row>
    <row r="9854" spans="1:9" s="83" customFormat="1" x14ac:dyDescent="0.35">
      <c r="A9854" s="77"/>
      <c r="B9854" s="64"/>
      <c r="C9854" s="82"/>
      <c r="D9854" s="64"/>
      <c r="E9854" s="96"/>
      <c r="F9854" s="64"/>
      <c r="G9854" s="70"/>
      <c r="H9854" s="84"/>
      <c r="I9854" s="84"/>
    </row>
    <row r="9855" spans="1:9" s="83" customFormat="1" x14ac:dyDescent="0.35">
      <c r="A9855" s="77"/>
      <c r="B9855" s="64"/>
      <c r="C9855" s="82"/>
      <c r="D9855" s="64"/>
      <c r="E9855" s="96"/>
      <c r="F9855" s="64"/>
      <c r="G9855" s="70"/>
      <c r="H9855" s="84"/>
      <c r="I9855" s="84"/>
    </row>
    <row r="9856" spans="1:9" s="83" customFormat="1" x14ac:dyDescent="0.35">
      <c r="A9856" s="77"/>
      <c r="B9856" s="64"/>
      <c r="C9856" s="82"/>
      <c r="D9856" s="64"/>
      <c r="E9856" s="96"/>
      <c r="F9856" s="64"/>
      <c r="G9856" s="70"/>
      <c r="H9856" s="84"/>
      <c r="I9856" s="84"/>
    </row>
    <row r="9857" spans="1:9" s="83" customFormat="1" x14ac:dyDescent="0.35">
      <c r="A9857" s="77"/>
      <c r="B9857" s="64"/>
      <c r="C9857" s="82"/>
      <c r="D9857" s="64"/>
      <c r="E9857" s="96"/>
      <c r="F9857" s="64"/>
      <c r="G9857" s="70"/>
      <c r="H9857" s="84"/>
      <c r="I9857" s="84"/>
    </row>
    <row r="9858" spans="1:9" s="83" customFormat="1" x14ac:dyDescent="0.35">
      <c r="A9858" s="77"/>
      <c r="B9858" s="64"/>
      <c r="C9858" s="82"/>
      <c r="D9858" s="64"/>
      <c r="E9858" s="96"/>
      <c r="F9858" s="64"/>
      <c r="G9858" s="70"/>
      <c r="H9858" s="84"/>
      <c r="I9858" s="84"/>
    </row>
    <row r="9859" spans="1:9" s="83" customFormat="1" x14ac:dyDescent="0.35">
      <c r="A9859" s="77"/>
      <c r="B9859" s="64"/>
      <c r="C9859" s="82"/>
      <c r="D9859" s="64"/>
      <c r="E9859" s="96"/>
      <c r="F9859" s="64"/>
      <c r="G9859" s="70"/>
      <c r="H9859" s="84"/>
      <c r="I9859" s="84"/>
    </row>
    <row r="9860" spans="1:9" s="83" customFormat="1" x14ac:dyDescent="0.35">
      <c r="A9860" s="77"/>
      <c r="B9860" s="64"/>
      <c r="C9860" s="82"/>
      <c r="D9860" s="64"/>
      <c r="E9860" s="96"/>
      <c r="F9860" s="64"/>
      <c r="G9860" s="70"/>
      <c r="H9860" s="84"/>
      <c r="I9860" s="84"/>
    </row>
    <row r="9861" spans="1:9" s="83" customFormat="1" x14ac:dyDescent="0.35">
      <c r="A9861" s="77"/>
      <c r="B9861" s="64"/>
      <c r="C9861" s="82"/>
      <c r="D9861" s="64"/>
      <c r="E9861" s="96"/>
      <c r="F9861" s="64"/>
      <c r="G9861" s="70"/>
      <c r="H9861" s="84"/>
      <c r="I9861" s="84"/>
    </row>
    <row r="9862" spans="1:9" s="83" customFormat="1" x14ac:dyDescent="0.35">
      <c r="A9862" s="77"/>
      <c r="B9862" s="64"/>
      <c r="C9862" s="82"/>
      <c r="D9862" s="64"/>
      <c r="E9862" s="96"/>
      <c r="F9862" s="64"/>
      <c r="G9862" s="70"/>
      <c r="H9862" s="84"/>
      <c r="I9862" s="84"/>
    </row>
    <row r="9863" spans="1:9" s="83" customFormat="1" x14ac:dyDescent="0.35">
      <c r="A9863" s="77"/>
      <c r="B9863" s="64"/>
      <c r="C9863" s="82"/>
      <c r="D9863" s="64"/>
      <c r="E9863" s="96"/>
      <c r="F9863" s="64"/>
      <c r="G9863" s="70"/>
      <c r="H9863" s="84"/>
      <c r="I9863" s="84"/>
    </row>
    <row r="9864" spans="1:9" s="83" customFormat="1" x14ac:dyDescent="0.35">
      <c r="A9864" s="77"/>
      <c r="B9864" s="64"/>
      <c r="C9864" s="82"/>
      <c r="D9864" s="64"/>
      <c r="E9864" s="96"/>
      <c r="F9864" s="64"/>
      <c r="G9864" s="70"/>
      <c r="H9864" s="84"/>
      <c r="I9864" s="84"/>
    </row>
    <row r="9865" spans="1:9" s="83" customFormat="1" x14ac:dyDescent="0.35">
      <c r="A9865" s="77"/>
      <c r="B9865" s="64"/>
      <c r="C9865" s="82"/>
      <c r="D9865" s="64"/>
      <c r="E9865" s="96"/>
      <c r="F9865" s="64"/>
      <c r="G9865" s="70"/>
      <c r="H9865" s="84"/>
      <c r="I9865" s="84"/>
    </row>
    <row r="9866" spans="1:9" s="83" customFormat="1" x14ac:dyDescent="0.35">
      <c r="A9866" s="77"/>
      <c r="B9866" s="64"/>
      <c r="C9866" s="82"/>
      <c r="D9866" s="64"/>
      <c r="E9866" s="96"/>
      <c r="F9866" s="64"/>
      <c r="G9866" s="70"/>
      <c r="H9866" s="84"/>
      <c r="I9866" s="84"/>
    </row>
    <row r="9867" spans="1:9" s="83" customFormat="1" x14ac:dyDescent="0.35">
      <c r="A9867" s="77"/>
      <c r="B9867" s="64"/>
      <c r="C9867" s="82"/>
      <c r="D9867" s="86"/>
      <c r="E9867" s="96"/>
      <c r="F9867" s="64"/>
      <c r="G9867" s="70"/>
      <c r="H9867" s="84"/>
      <c r="I9867" s="84"/>
    </row>
    <row r="9868" spans="1:9" s="83" customFormat="1" x14ac:dyDescent="0.35">
      <c r="A9868" s="77"/>
      <c r="B9868" s="64"/>
      <c r="C9868" s="82"/>
      <c r="D9868" s="64"/>
      <c r="E9868" s="96"/>
      <c r="F9868" s="64"/>
      <c r="G9868" s="70"/>
      <c r="H9868" s="84"/>
      <c r="I9868" s="84"/>
    </row>
    <row r="9869" spans="1:9" s="83" customFormat="1" x14ac:dyDescent="0.35">
      <c r="A9869" s="77"/>
      <c r="B9869" s="64"/>
      <c r="C9869" s="82"/>
      <c r="D9869" s="64"/>
      <c r="E9869" s="96"/>
      <c r="F9869" s="64"/>
      <c r="G9869" s="70"/>
      <c r="H9869" s="84"/>
      <c r="I9869" s="84"/>
    </row>
    <row r="9870" spans="1:9" s="84" customFormat="1" x14ac:dyDescent="0.35">
      <c r="A9870" s="77"/>
      <c r="B9870" s="64"/>
      <c r="C9870" s="82"/>
      <c r="D9870" s="64"/>
      <c r="E9870" s="96"/>
      <c r="F9870" s="64"/>
      <c r="G9870" s="70"/>
    </row>
    <row r="9871" spans="1:9" s="84" customFormat="1" x14ac:dyDescent="0.35">
      <c r="A9871" s="77"/>
      <c r="B9871" s="64"/>
      <c r="C9871" s="82"/>
      <c r="D9871" s="64"/>
      <c r="E9871" s="96"/>
      <c r="F9871" s="64"/>
      <c r="G9871" s="70"/>
    </row>
    <row r="9872" spans="1:9" s="84" customFormat="1" x14ac:dyDescent="0.35">
      <c r="A9872" s="77"/>
      <c r="B9872" s="64"/>
      <c r="C9872" s="87"/>
      <c r="D9872" s="64"/>
      <c r="E9872" s="96"/>
      <c r="F9872" s="64"/>
      <c r="G9872" s="85"/>
    </row>
    <row r="9873" spans="1:7" s="84" customFormat="1" x14ac:dyDescent="0.35">
      <c r="A9873" s="77"/>
      <c r="B9873" s="64"/>
      <c r="C9873" s="82"/>
      <c r="D9873" s="64"/>
      <c r="E9873" s="96"/>
      <c r="F9873" s="64"/>
      <c r="G9873" s="70"/>
    </row>
    <row r="9874" spans="1:7" s="84" customFormat="1" x14ac:dyDescent="0.35">
      <c r="A9874" s="77"/>
      <c r="B9874" s="64"/>
      <c r="C9874" s="82"/>
      <c r="D9874" s="64"/>
      <c r="E9874" s="96"/>
      <c r="F9874" s="64"/>
      <c r="G9874" s="70"/>
    </row>
    <row r="9875" spans="1:7" s="84" customFormat="1" x14ac:dyDescent="0.35">
      <c r="A9875" s="77"/>
      <c r="B9875" s="64"/>
      <c r="C9875" s="82"/>
      <c r="D9875" s="64"/>
      <c r="E9875" s="96"/>
      <c r="F9875" s="64"/>
      <c r="G9875" s="70"/>
    </row>
    <row r="9876" spans="1:7" s="84" customFormat="1" x14ac:dyDescent="0.35">
      <c r="A9876" s="77"/>
      <c r="B9876" s="64"/>
      <c r="C9876" s="82"/>
      <c r="D9876" s="64"/>
      <c r="E9876" s="96"/>
      <c r="F9876" s="64"/>
      <c r="G9876" s="70"/>
    </row>
    <row r="9877" spans="1:7" s="84" customFormat="1" x14ac:dyDescent="0.35">
      <c r="A9877" s="77"/>
      <c r="B9877" s="64"/>
      <c r="C9877" s="82"/>
      <c r="D9877" s="64"/>
      <c r="E9877" s="96"/>
      <c r="F9877" s="64"/>
      <c r="G9877" s="70"/>
    </row>
    <row r="9878" spans="1:7" s="84" customFormat="1" x14ac:dyDescent="0.35">
      <c r="A9878" s="77"/>
      <c r="B9878" s="64"/>
      <c r="C9878" s="82"/>
      <c r="D9878" s="64"/>
      <c r="E9878" s="96"/>
      <c r="F9878" s="64"/>
      <c r="G9878" s="70"/>
    </row>
    <row r="9879" spans="1:7" s="84" customFormat="1" x14ac:dyDescent="0.35">
      <c r="A9879" s="77"/>
      <c r="B9879" s="64"/>
      <c r="C9879" s="82"/>
      <c r="D9879" s="64"/>
      <c r="E9879" s="96"/>
      <c r="F9879" s="64"/>
      <c r="G9879" s="70"/>
    </row>
    <row r="9880" spans="1:7" s="84" customFormat="1" x14ac:dyDescent="0.35">
      <c r="A9880" s="77"/>
      <c r="B9880" s="64"/>
      <c r="C9880" s="82"/>
      <c r="D9880" s="86"/>
      <c r="E9880" s="96"/>
      <c r="F9880" s="64"/>
      <c r="G9880" s="70"/>
    </row>
    <row r="9881" spans="1:7" s="84" customFormat="1" x14ac:dyDescent="0.35">
      <c r="A9881" s="77"/>
      <c r="B9881" s="64"/>
      <c r="C9881" s="82"/>
      <c r="D9881" s="86"/>
      <c r="E9881" s="96"/>
      <c r="F9881" s="64"/>
      <c r="G9881" s="70"/>
    </row>
    <row r="9882" spans="1:7" s="84" customFormat="1" x14ac:dyDescent="0.35">
      <c r="A9882" s="77"/>
      <c r="B9882" s="64"/>
      <c r="C9882" s="82"/>
      <c r="D9882" s="64"/>
      <c r="E9882" s="96"/>
      <c r="F9882" s="64"/>
      <c r="G9882" s="70"/>
    </row>
    <row r="9883" spans="1:7" s="84" customFormat="1" x14ac:dyDescent="0.35">
      <c r="A9883" s="77"/>
      <c r="B9883" s="64"/>
      <c r="C9883" s="82"/>
      <c r="D9883" s="64"/>
      <c r="E9883" s="96"/>
      <c r="F9883" s="64"/>
      <c r="G9883" s="70"/>
    </row>
    <row r="9884" spans="1:7" s="84" customFormat="1" x14ac:dyDescent="0.35">
      <c r="A9884" s="77"/>
      <c r="B9884" s="64"/>
      <c r="C9884" s="82"/>
      <c r="D9884" s="64"/>
      <c r="E9884" s="96"/>
      <c r="F9884" s="64"/>
      <c r="G9884" s="70"/>
    </row>
    <row r="9885" spans="1:7" s="84" customFormat="1" x14ac:dyDescent="0.35">
      <c r="A9885" s="77"/>
      <c r="B9885" s="64"/>
      <c r="C9885" s="82"/>
      <c r="D9885" s="64"/>
      <c r="E9885" s="96"/>
      <c r="F9885" s="64"/>
      <c r="G9885" s="70"/>
    </row>
    <row r="9886" spans="1:7" x14ac:dyDescent="0.35">
      <c r="C9886" s="82"/>
    </row>
    <row r="9887" spans="1:7" x14ac:dyDescent="0.35">
      <c r="C9887" s="82"/>
    </row>
    <row r="9888" spans="1:7" x14ac:dyDescent="0.35">
      <c r="C9888" s="82"/>
    </row>
    <row r="9889" spans="3:3" x14ac:dyDescent="0.35">
      <c r="C9889" s="82"/>
    </row>
    <row r="9890" spans="3:3" x14ac:dyDescent="0.35">
      <c r="C9890" s="82"/>
    </row>
    <row r="9891" spans="3:3" x14ac:dyDescent="0.35">
      <c r="C9891" s="82"/>
    </row>
    <row r="9892" spans="3:3" x14ac:dyDescent="0.35">
      <c r="C9892" s="82"/>
    </row>
    <row r="9893" spans="3:3" x14ac:dyDescent="0.35">
      <c r="C9893" s="82"/>
    </row>
    <row r="9894" spans="3:3" x14ac:dyDescent="0.35">
      <c r="C9894" s="82"/>
    </row>
    <row r="9895" spans="3:3" x14ac:dyDescent="0.35">
      <c r="C9895" s="82"/>
    </row>
    <row r="9896" spans="3:3" x14ac:dyDescent="0.35">
      <c r="C9896" s="82"/>
    </row>
    <row r="9897" spans="3:3" x14ac:dyDescent="0.35">
      <c r="C9897" s="82"/>
    </row>
    <row r="9898" spans="3:3" x14ac:dyDescent="0.35">
      <c r="C9898" s="82"/>
    </row>
    <row r="9899" spans="3:3" x14ac:dyDescent="0.35">
      <c r="C9899" s="82"/>
    </row>
    <row r="9900" spans="3:3" x14ac:dyDescent="0.35">
      <c r="C9900" s="82"/>
    </row>
    <row r="9901" spans="3:3" x14ac:dyDescent="0.35">
      <c r="C9901" s="82"/>
    </row>
    <row r="9902" spans="3:3" x14ac:dyDescent="0.35">
      <c r="C9902" s="82"/>
    </row>
    <row r="9903" spans="3:3" x14ac:dyDescent="0.35">
      <c r="C9903" s="82"/>
    </row>
    <row r="9904" spans="3:3" x14ac:dyDescent="0.35">
      <c r="C9904" s="82"/>
    </row>
    <row r="9905" spans="1:9" x14ac:dyDescent="0.35">
      <c r="C9905" s="82"/>
    </row>
    <row r="9906" spans="1:9" x14ac:dyDescent="0.35">
      <c r="C9906" s="82"/>
    </row>
    <row r="9907" spans="1:9" x14ac:dyDescent="0.35">
      <c r="C9907" s="82"/>
    </row>
    <row r="9908" spans="1:9" x14ac:dyDescent="0.35">
      <c r="C9908" s="82"/>
    </row>
    <row r="9909" spans="1:9" x14ac:dyDescent="0.35">
      <c r="C9909" s="82"/>
    </row>
    <row r="9910" spans="1:9" x14ac:dyDescent="0.35">
      <c r="C9910" s="82"/>
    </row>
    <row r="9911" spans="1:9" x14ac:dyDescent="0.35">
      <c r="C9911" s="82"/>
    </row>
    <row r="9912" spans="1:9" x14ac:dyDescent="0.35">
      <c r="C9912" s="82"/>
    </row>
    <row r="9913" spans="1:9" x14ac:dyDescent="0.35">
      <c r="C9913" s="82"/>
    </row>
    <row r="9914" spans="1:9" x14ac:dyDescent="0.35">
      <c r="C9914" s="82"/>
    </row>
    <row r="9915" spans="1:9" x14ac:dyDescent="0.35">
      <c r="C9915" s="82"/>
    </row>
    <row r="9916" spans="1:9" x14ac:dyDescent="0.35">
      <c r="C9916" s="82"/>
    </row>
    <row r="9917" spans="1:9" x14ac:dyDescent="0.35">
      <c r="C9917" s="82"/>
    </row>
    <row r="9918" spans="1:9" s="83" customFormat="1" x14ac:dyDescent="0.35">
      <c r="A9918" s="77"/>
      <c r="B9918" s="64"/>
      <c r="C9918" s="82"/>
      <c r="D9918" s="64"/>
      <c r="E9918" s="96"/>
      <c r="F9918" s="64"/>
      <c r="G9918" s="70"/>
      <c r="H9918" s="84"/>
      <c r="I9918" s="84"/>
    </row>
    <row r="9919" spans="1:9" s="83" customFormat="1" x14ac:dyDescent="0.35">
      <c r="A9919" s="77"/>
      <c r="B9919" s="64"/>
      <c r="C9919" s="82"/>
      <c r="D9919" s="64"/>
      <c r="E9919" s="96"/>
      <c r="F9919" s="64"/>
      <c r="G9919" s="70"/>
      <c r="H9919" s="84"/>
      <c r="I9919" s="84"/>
    </row>
    <row r="9920" spans="1:9" s="83" customFormat="1" x14ac:dyDescent="0.35">
      <c r="A9920" s="77"/>
      <c r="B9920" s="64"/>
      <c r="C9920" s="82"/>
      <c r="D9920" s="64"/>
      <c r="E9920" s="96"/>
      <c r="F9920" s="64"/>
      <c r="G9920" s="70"/>
      <c r="H9920" s="84"/>
      <c r="I9920" s="84"/>
    </row>
    <row r="9921" spans="1:9" s="83" customFormat="1" x14ac:dyDescent="0.35">
      <c r="A9921" s="77"/>
      <c r="B9921" s="64"/>
      <c r="C9921" s="82"/>
      <c r="D9921" s="64"/>
      <c r="E9921" s="96"/>
      <c r="F9921" s="64"/>
      <c r="G9921" s="70"/>
      <c r="H9921" s="84"/>
      <c r="I9921" s="84"/>
    </row>
    <row r="9922" spans="1:9" s="83" customFormat="1" x14ac:dyDescent="0.35">
      <c r="A9922" s="77"/>
      <c r="B9922" s="64"/>
      <c r="C9922" s="82"/>
      <c r="D9922" s="86"/>
      <c r="E9922" s="96"/>
      <c r="F9922" s="64"/>
      <c r="G9922" s="70"/>
      <c r="H9922" s="84"/>
      <c r="I9922" s="84"/>
    </row>
    <row r="9923" spans="1:9" s="83" customFormat="1" x14ac:dyDescent="0.35">
      <c r="A9923" s="77"/>
      <c r="B9923" s="64"/>
      <c r="C9923" s="82"/>
      <c r="D9923" s="64"/>
      <c r="E9923" s="96"/>
      <c r="F9923" s="64"/>
      <c r="G9923" s="70"/>
      <c r="H9923" s="84"/>
      <c r="I9923" s="84"/>
    </row>
    <row r="9924" spans="1:9" s="83" customFormat="1" x14ac:dyDescent="0.35">
      <c r="A9924" s="77"/>
      <c r="B9924" s="64"/>
      <c r="C9924" s="82"/>
      <c r="D9924" s="64"/>
      <c r="E9924" s="96"/>
      <c r="F9924" s="64"/>
      <c r="G9924" s="70"/>
      <c r="H9924" s="84"/>
      <c r="I9924" s="84"/>
    </row>
    <row r="9925" spans="1:9" s="83" customFormat="1" x14ac:dyDescent="0.35">
      <c r="A9925" s="77"/>
      <c r="B9925" s="64"/>
      <c r="C9925" s="82"/>
      <c r="D9925" s="64"/>
      <c r="E9925" s="96"/>
      <c r="F9925" s="64"/>
      <c r="G9925" s="70"/>
      <c r="H9925" s="84"/>
      <c r="I9925" s="84"/>
    </row>
    <row r="9926" spans="1:9" s="83" customFormat="1" x14ac:dyDescent="0.35">
      <c r="A9926" s="77"/>
      <c r="B9926" s="64"/>
      <c r="C9926" s="82"/>
      <c r="D9926" s="64"/>
      <c r="E9926" s="96"/>
      <c r="F9926" s="64"/>
      <c r="G9926" s="70"/>
      <c r="H9926" s="84"/>
      <c r="I9926" s="84"/>
    </row>
    <row r="9927" spans="1:9" s="83" customFormat="1" x14ac:dyDescent="0.35">
      <c r="A9927" s="77"/>
      <c r="B9927" s="64"/>
      <c r="C9927" s="82"/>
      <c r="D9927" s="64"/>
      <c r="E9927" s="96"/>
      <c r="F9927" s="64"/>
      <c r="G9927" s="70"/>
      <c r="H9927" s="84"/>
      <c r="I9927" s="84"/>
    </row>
    <row r="9928" spans="1:9" s="83" customFormat="1" x14ac:dyDescent="0.35">
      <c r="A9928" s="77"/>
      <c r="B9928" s="64"/>
      <c r="C9928" s="82"/>
      <c r="D9928" s="64"/>
      <c r="E9928" s="96"/>
      <c r="F9928" s="64"/>
      <c r="G9928" s="70"/>
      <c r="H9928" s="84"/>
      <c r="I9928" s="84"/>
    </row>
    <row r="9929" spans="1:9" s="83" customFormat="1" x14ac:dyDescent="0.35">
      <c r="A9929" s="77"/>
      <c r="B9929" s="64"/>
      <c r="C9929" s="82"/>
      <c r="D9929" s="64"/>
      <c r="E9929" s="96"/>
      <c r="F9929" s="64"/>
      <c r="G9929" s="70"/>
      <c r="H9929" s="84"/>
      <c r="I9929" s="84"/>
    </row>
    <row r="9930" spans="1:9" s="83" customFormat="1" x14ac:dyDescent="0.35">
      <c r="A9930" s="77"/>
      <c r="B9930" s="64"/>
      <c r="C9930" s="82"/>
      <c r="D9930" s="64"/>
      <c r="E9930" s="96"/>
      <c r="F9930" s="64"/>
      <c r="G9930" s="70"/>
      <c r="H9930" s="84"/>
      <c r="I9930" s="84"/>
    </row>
    <row r="9931" spans="1:9" s="83" customFormat="1" x14ac:dyDescent="0.35">
      <c r="A9931" s="77"/>
      <c r="B9931" s="64"/>
      <c r="C9931" s="82"/>
      <c r="D9931" s="64"/>
      <c r="E9931" s="96"/>
      <c r="F9931" s="64"/>
      <c r="G9931" s="70"/>
      <c r="H9931" s="84"/>
      <c r="I9931" s="84"/>
    </row>
    <row r="9932" spans="1:9" s="83" customFormat="1" x14ac:dyDescent="0.35">
      <c r="A9932" s="77"/>
      <c r="B9932" s="64"/>
      <c r="C9932" s="82"/>
      <c r="D9932" s="86"/>
      <c r="E9932" s="96"/>
      <c r="F9932" s="64"/>
      <c r="G9932" s="70"/>
      <c r="H9932" s="84"/>
      <c r="I9932" s="84"/>
    </row>
    <row r="9933" spans="1:9" s="83" customFormat="1" x14ac:dyDescent="0.35">
      <c r="A9933" s="77"/>
      <c r="B9933" s="64"/>
      <c r="C9933" s="82"/>
      <c r="D9933" s="64"/>
      <c r="E9933" s="96"/>
      <c r="F9933" s="64"/>
      <c r="G9933" s="70"/>
      <c r="H9933" s="84"/>
      <c r="I9933" s="84"/>
    </row>
    <row r="9934" spans="1:9" s="83" customFormat="1" x14ac:dyDescent="0.35">
      <c r="A9934" s="77"/>
      <c r="B9934" s="64"/>
      <c r="C9934" s="82"/>
      <c r="D9934" s="86"/>
      <c r="E9934" s="96"/>
      <c r="F9934" s="64"/>
      <c r="G9934" s="70"/>
      <c r="H9934" s="84"/>
      <c r="I9934" s="84"/>
    </row>
    <row r="9935" spans="1:9" s="83" customFormat="1" x14ac:dyDescent="0.35">
      <c r="A9935" s="77"/>
      <c r="B9935" s="64"/>
      <c r="C9935" s="82"/>
      <c r="D9935" s="64"/>
      <c r="E9935" s="96"/>
      <c r="F9935" s="64"/>
      <c r="G9935" s="70"/>
      <c r="H9935" s="84"/>
      <c r="I9935" s="84"/>
    </row>
    <row r="9936" spans="1:9" s="83" customFormat="1" x14ac:dyDescent="0.35">
      <c r="A9936" s="77"/>
      <c r="B9936" s="64"/>
      <c r="C9936" s="82"/>
      <c r="D9936" s="64"/>
      <c r="E9936" s="96"/>
      <c r="F9936" s="64"/>
      <c r="G9936" s="70"/>
      <c r="H9936" s="84"/>
      <c r="I9936" s="84"/>
    </row>
    <row r="9937" spans="1:9" s="83" customFormat="1" x14ac:dyDescent="0.35">
      <c r="A9937" s="77"/>
      <c r="B9937" s="64"/>
      <c r="C9937" s="82"/>
      <c r="D9937" s="64"/>
      <c r="E9937" s="96"/>
      <c r="F9937" s="64"/>
      <c r="G9937" s="70"/>
      <c r="H9937" s="84"/>
      <c r="I9937" s="84"/>
    </row>
    <row r="9938" spans="1:9" s="83" customFormat="1" x14ac:dyDescent="0.35">
      <c r="A9938" s="77"/>
      <c r="B9938" s="64"/>
      <c r="C9938" s="82"/>
      <c r="D9938" s="64"/>
      <c r="E9938" s="96"/>
      <c r="F9938" s="64"/>
      <c r="G9938" s="70"/>
      <c r="H9938" s="84"/>
      <c r="I9938" s="84"/>
    </row>
    <row r="9939" spans="1:9" s="83" customFormat="1" x14ac:dyDescent="0.35">
      <c r="A9939" s="77"/>
      <c r="B9939" s="64"/>
      <c r="C9939" s="82"/>
      <c r="D9939" s="64"/>
      <c r="E9939" s="96"/>
      <c r="F9939" s="64"/>
      <c r="G9939" s="70"/>
      <c r="H9939" s="84"/>
      <c r="I9939" s="84"/>
    </row>
    <row r="9940" spans="1:9" s="83" customFormat="1" x14ac:dyDescent="0.35">
      <c r="A9940" s="77"/>
      <c r="B9940" s="64"/>
      <c r="C9940" s="82"/>
      <c r="D9940" s="64"/>
      <c r="E9940" s="96"/>
      <c r="F9940" s="64"/>
      <c r="G9940" s="70"/>
      <c r="H9940" s="84"/>
      <c r="I9940" s="84"/>
    </row>
    <row r="9941" spans="1:9" s="83" customFormat="1" x14ac:dyDescent="0.35">
      <c r="A9941" s="77"/>
      <c r="B9941" s="64"/>
      <c r="C9941" s="82"/>
      <c r="D9941" s="64"/>
      <c r="E9941" s="96"/>
      <c r="F9941" s="64"/>
      <c r="G9941" s="70"/>
      <c r="H9941" s="84"/>
      <c r="I9941" s="84"/>
    </row>
    <row r="9942" spans="1:9" s="83" customFormat="1" x14ac:dyDescent="0.35">
      <c r="A9942" s="77"/>
      <c r="B9942" s="64"/>
      <c r="C9942" s="82"/>
      <c r="D9942" s="64"/>
      <c r="E9942" s="96"/>
      <c r="F9942" s="64"/>
      <c r="G9942" s="70"/>
      <c r="H9942" s="84"/>
      <c r="I9942" s="84"/>
    </row>
    <row r="9943" spans="1:9" s="83" customFormat="1" x14ac:dyDescent="0.35">
      <c r="A9943" s="77"/>
      <c r="B9943" s="64"/>
      <c r="C9943" s="82"/>
      <c r="D9943" s="64"/>
      <c r="E9943" s="96"/>
      <c r="F9943" s="64"/>
      <c r="G9943" s="70"/>
      <c r="H9943" s="84"/>
      <c r="I9943" s="84"/>
    </row>
    <row r="9944" spans="1:9" s="83" customFormat="1" x14ac:dyDescent="0.35">
      <c r="A9944" s="77"/>
      <c r="B9944" s="64"/>
      <c r="C9944" s="82"/>
      <c r="D9944" s="64"/>
      <c r="E9944" s="96"/>
      <c r="F9944" s="64"/>
      <c r="G9944" s="70"/>
      <c r="H9944" s="84"/>
      <c r="I9944" s="84"/>
    </row>
    <row r="9945" spans="1:9" s="83" customFormat="1" x14ac:dyDescent="0.35">
      <c r="A9945" s="77"/>
      <c r="B9945" s="64"/>
      <c r="C9945" s="82"/>
      <c r="D9945" s="86"/>
      <c r="E9945" s="96"/>
      <c r="F9945" s="64"/>
      <c r="G9945" s="70"/>
      <c r="H9945" s="84"/>
      <c r="I9945" s="84"/>
    </row>
    <row r="9946" spans="1:9" s="83" customFormat="1" x14ac:dyDescent="0.35">
      <c r="A9946" s="77"/>
      <c r="B9946" s="64"/>
      <c r="C9946" s="82"/>
      <c r="D9946" s="64"/>
      <c r="E9946" s="96"/>
      <c r="F9946" s="64"/>
      <c r="G9946" s="70"/>
      <c r="H9946" s="84"/>
      <c r="I9946" s="84"/>
    </row>
    <row r="9947" spans="1:9" s="83" customFormat="1" x14ac:dyDescent="0.35">
      <c r="A9947" s="77"/>
      <c r="B9947" s="64"/>
      <c r="C9947" s="82"/>
      <c r="D9947" s="64"/>
      <c r="E9947" s="96"/>
      <c r="F9947" s="64"/>
      <c r="G9947" s="70"/>
      <c r="H9947" s="84"/>
      <c r="I9947" s="84"/>
    </row>
    <row r="9948" spans="1:9" s="83" customFormat="1" x14ac:dyDescent="0.35">
      <c r="A9948" s="77"/>
      <c r="B9948" s="64"/>
      <c r="C9948" s="82"/>
      <c r="D9948" s="64"/>
      <c r="E9948" s="96"/>
      <c r="F9948" s="64"/>
      <c r="G9948" s="70"/>
      <c r="H9948" s="84"/>
      <c r="I9948" s="84"/>
    </row>
    <row r="9949" spans="1:9" s="83" customFormat="1" x14ac:dyDescent="0.35">
      <c r="A9949" s="77"/>
      <c r="B9949" s="64"/>
      <c r="C9949" s="82"/>
      <c r="D9949" s="64"/>
      <c r="E9949" s="96"/>
      <c r="F9949" s="64"/>
      <c r="G9949" s="70"/>
      <c r="H9949" s="84"/>
      <c r="I9949" s="84"/>
    </row>
    <row r="9950" spans="1:9" s="83" customFormat="1" x14ac:dyDescent="0.35">
      <c r="A9950" s="77"/>
      <c r="B9950" s="64"/>
      <c r="C9950" s="82"/>
      <c r="D9950" s="64"/>
      <c r="E9950" s="96"/>
      <c r="F9950" s="64"/>
      <c r="G9950" s="70"/>
      <c r="H9950" s="84"/>
      <c r="I9950" s="84"/>
    </row>
    <row r="9951" spans="1:9" s="83" customFormat="1" x14ac:dyDescent="0.35">
      <c r="A9951" s="77"/>
      <c r="B9951" s="64"/>
      <c r="C9951" s="82"/>
      <c r="D9951" s="64"/>
      <c r="E9951" s="96"/>
      <c r="F9951" s="64"/>
      <c r="G9951" s="70"/>
      <c r="H9951" s="84"/>
      <c r="I9951" s="84"/>
    </row>
    <row r="9952" spans="1:9" s="83" customFormat="1" x14ac:dyDescent="0.35">
      <c r="A9952" s="77"/>
      <c r="B9952" s="64"/>
      <c r="C9952" s="82"/>
      <c r="D9952" s="64"/>
      <c r="E9952" s="96"/>
      <c r="F9952" s="64"/>
      <c r="G9952" s="70"/>
      <c r="H9952" s="84"/>
      <c r="I9952" s="84"/>
    </row>
    <row r="9953" spans="1:9" s="83" customFormat="1" x14ac:dyDescent="0.35">
      <c r="A9953" s="77"/>
      <c r="B9953" s="64"/>
      <c r="C9953" s="82"/>
      <c r="D9953" s="64"/>
      <c r="E9953" s="96"/>
      <c r="F9953" s="64"/>
      <c r="G9953" s="70"/>
      <c r="H9953" s="84"/>
      <c r="I9953" s="84"/>
    </row>
    <row r="9954" spans="1:9" s="83" customFormat="1" x14ac:dyDescent="0.35">
      <c r="A9954" s="77"/>
      <c r="B9954" s="64"/>
      <c r="C9954" s="82"/>
      <c r="D9954" s="64"/>
      <c r="E9954" s="96"/>
      <c r="F9954" s="64"/>
      <c r="G9954" s="70"/>
      <c r="H9954" s="84"/>
      <c r="I9954" s="84"/>
    </row>
    <row r="9955" spans="1:9" s="83" customFormat="1" x14ac:dyDescent="0.35">
      <c r="A9955" s="77"/>
      <c r="B9955" s="64"/>
      <c r="C9955" s="82"/>
      <c r="D9955" s="64"/>
      <c r="E9955" s="96"/>
      <c r="F9955" s="64"/>
      <c r="G9955" s="70"/>
      <c r="H9955" s="84"/>
      <c r="I9955" s="84"/>
    </row>
    <row r="9956" spans="1:9" s="83" customFormat="1" x14ac:dyDescent="0.35">
      <c r="A9956" s="77"/>
      <c r="B9956" s="64"/>
      <c r="C9956" s="82"/>
      <c r="D9956" s="64"/>
      <c r="E9956" s="96"/>
      <c r="F9956" s="64"/>
      <c r="G9956" s="70"/>
      <c r="H9956" s="84"/>
      <c r="I9956" s="84"/>
    </row>
    <row r="9957" spans="1:9" s="83" customFormat="1" x14ac:dyDescent="0.35">
      <c r="A9957" s="77"/>
      <c r="B9957" s="64"/>
      <c r="C9957" s="82"/>
      <c r="D9957" s="64"/>
      <c r="E9957" s="96"/>
      <c r="F9957" s="64"/>
      <c r="G9957" s="70"/>
      <c r="H9957" s="84"/>
      <c r="I9957" s="84"/>
    </row>
    <row r="9958" spans="1:9" s="83" customFormat="1" x14ac:dyDescent="0.35">
      <c r="A9958" s="77"/>
      <c r="B9958" s="64"/>
      <c r="C9958" s="82"/>
      <c r="D9958" s="64"/>
      <c r="E9958" s="96"/>
      <c r="F9958" s="64"/>
      <c r="G9958" s="70"/>
      <c r="H9958" s="84"/>
      <c r="I9958" s="84"/>
    </row>
    <row r="9959" spans="1:9" s="83" customFormat="1" x14ac:dyDescent="0.35">
      <c r="A9959" s="77"/>
      <c r="B9959" s="64"/>
      <c r="C9959" s="82"/>
      <c r="D9959" s="64"/>
      <c r="E9959" s="96"/>
      <c r="F9959" s="64"/>
      <c r="G9959" s="70"/>
      <c r="H9959" s="84"/>
      <c r="I9959" s="84"/>
    </row>
    <row r="9960" spans="1:9" s="83" customFormat="1" x14ac:dyDescent="0.35">
      <c r="A9960" s="77"/>
      <c r="B9960" s="64"/>
      <c r="C9960" s="82"/>
      <c r="D9960" s="64"/>
      <c r="E9960" s="96"/>
      <c r="F9960" s="64"/>
      <c r="G9960" s="70"/>
      <c r="H9960" s="84"/>
      <c r="I9960" s="84"/>
    </row>
    <row r="9961" spans="1:9" s="83" customFormat="1" x14ac:dyDescent="0.35">
      <c r="A9961" s="77"/>
      <c r="B9961" s="64"/>
      <c r="C9961" s="82"/>
      <c r="D9961" s="64"/>
      <c r="E9961" s="96"/>
      <c r="F9961" s="64"/>
      <c r="G9961" s="70"/>
      <c r="H9961" s="84"/>
      <c r="I9961" s="84"/>
    </row>
    <row r="9962" spans="1:9" s="83" customFormat="1" x14ac:dyDescent="0.35">
      <c r="A9962" s="77"/>
      <c r="B9962" s="64"/>
      <c r="C9962" s="82"/>
      <c r="D9962" s="64"/>
      <c r="E9962" s="96"/>
      <c r="F9962" s="64"/>
      <c r="G9962" s="70"/>
      <c r="H9962" s="84"/>
      <c r="I9962" s="84"/>
    </row>
    <row r="9963" spans="1:9" s="83" customFormat="1" x14ac:dyDescent="0.35">
      <c r="A9963" s="77"/>
      <c r="B9963" s="64"/>
      <c r="C9963" s="82"/>
      <c r="D9963" s="64"/>
      <c r="E9963" s="96"/>
      <c r="F9963" s="64"/>
      <c r="G9963" s="70"/>
      <c r="H9963" s="84"/>
      <c r="I9963" s="84"/>
    </row>
    <row r="9964" spans="1:9" s="83" customFormat="1" x14ac:dyDescent="0.35">
      <c r="A9964" s="77"/>
      <c r="B9964" s="64"/>
      <c r="C9964" s="82"/>
      <c r="D9964" s="86"/>
      <c r="E9964" s="96"/>
      <c r="F9964" s="64"/>
      <c r="G9964" s="70"/>
      <c r="H9964" s="84"/>
      <c r="I9964" s="84"/>
    </row>
    <row r="9965" spans="1:9" s="83" customFormat="1" x14ac:dyDescent="0.35">
      <c r="A9965" s="77"/>
      <c r="B9965" s="64"/>
      <c r="C9965" s="82"/>
      <c r="D9965" s="64"/>
      <c r="E9965" s="96"/>
      <c r="F9965" s="64"/>
      <c r="G9965" s="70"/>
      <c r="H9965" s="84"/>
      <c r="I9965" s="84"/>
    </row>
    <row r="9966" spans="1:9" s="83" customFormat="1" x14ac:dyDescent="0.35">
      <c r="A9966" s="77"/>
      <c r="B9966" s="64"/>
      <c r="C9966" s="82"/>
      <c r="D9966" s="86"/>
      <c r="E9966" s="96"/>
      <c r="F9966" s="64"/>
      <c r="G9966" s="70"/>
      <c r="H9966" s="84"/>
      <c r="I9966" s="84"/>
    </row>
    <row r="9967" spans="1:9" s="83" customFormat="1" x14ac:dyDescent="0.35">
      <c r="A9967" s="77"/>
      <c r="B9967" s="64"/>
      <c r="C9967" s="82"/>
      <c r="D9967" s="64"/>
      <c r="E9967" s="96"/>
      <c r="F9967" s="64"/>
      <c r="G9967" s="70"/>
      <c r="H9967" s="84"/>
      <c r="I9967" s="84"/>
    </row>
    <row r="9968" spans="1:9" s="83" customFormat="1" x14ac:dyDescent="0.35">
      <c r="A9968" s="77"/>
      <c r="B9968" s="64"/>
      <c r="C9968" s="82"/>
      <c r="D9968" s="64"/>
      <c r="E9968" s="96"/>
      <c r="F9968" s="64"/>
      <c r="G9968" s="70"/>
      <c r="H9968" s="84"/>
      <c r="I9968" s="84"/>
    </row>
    <row r="9969" spans="1:9" s="83" customFormat="1" x14ac:dyDescent="0.35">
      <c r="A9969" s="77"/>
      <c r="B9969" s="64"/>
      <c r="C9969" s="82"/>
      <c r="D9969" s="64"/>
      <c r="E9969" s="96"/>
      <c r="F9969" s="64"/>
      <c r="G9969" s="70"/>
      <c r="H9969" s="84"/>
      <c r="I9969" s="84"/>
    </row>
    <row r="9970" spans="1:9" s="83" customFormat="1" x14ac:dyDescent="0.35">
      <c r="A9970" s="77"/>
      <c r="B9970" s="64"/>
      <c r="C9970" s="82"/>
      <c r="D9970" s="64"/>
      <c r="E9970" s="96"/>
      <c r="F9970" s="64"/>
      <c r="G9970" s="70"/>
      <c r="H9970" s="84"/>
      <c r="I9970" s="84"/>
    </row>
    <row r="9971" spans="1:9" s="83" customFormat="1" x14ac:dyDescent="0.35">
      <c r="A9971" s="77"/>
      <c r="B9971" s="64"/>
      <c r="C9971" s="82"/>
      <c r="D9971" s="64"/>
      <c r="E9971" s="96"/>
      <c r="F9971" s="64"/>
      <c r="G9971" s="70"/>
      <c r="H9971" s="84"/>
      <c r="I9971" s="84"/>
    </row>
    <row r="9972" spans="1:9" s="83" customFormat="1" x14ac:dyDescent="0.35">
      <c r="A9972" s="77"/>
      <c r="B9972" s="64"/>
      <c r="C9972" s="82"/>
      <c r="D9972" s="64"/>
      <c r="E9972" s="96"/>
      <c r="F9972" s="64"/>
      <c r="G9972" s="70"/>
      <c r="H9972" s="84"/>
      <c r="I9972" s="84"/>
    </row>
    <row r="9973" spans="1:9" s="83" customFormat="1" x14ac:dyDescent="0.35">
      <c r="A9973" s="77"/>
      <c r="B9973" s="64"/>
      <c r="C9973" s="82"/>
      <c r="D9973" s="64"/>
      <c r="E9973" s="96"/>
      <c r="F9973" s="64"/>
      <c r="G9973" s="70"/>
      <c r="H9973" s="84"/>
      <c r="I9973" s="84"/>
    </row>
    <row r="9974" spans="1:9" s="83" customFormat="1" x14ac:dyDescent="0.35">
      <c r="A9974" s="77"/>
      <c r="B9974" s="64"/>
      <c r="C9974" s="82"/>
      <c r="D9974" s="64"/>
      <c r="E9974" s="96"/>
      <c r="F9974" s="64"/>
      <c r="G9974" s="70"/>
      <c r="H9974" s="84"/>
      <c r="I9974" s="84"/>
    </row>
    <row r="9975" spans="1:9" s="83" customFormat="1" x14ac:dyDescent="0.35">
      <c r="A9975" s="77"/>
      <c r="B9975" s="64"/>
      <c r="C9975" s="82"/>
      <c r="D9975" s="64"/>
      <c r="E9975" s="96"/>
      <c r="F9975" s="64"/>
      <c r="G9975" s="70"/>
      <c r="H9975" s="84"/>
      <c r="I9975" s="84"/>
    </row>
    <row r="9976" spans="1:9" s="83" customFormat="1" x14ac:dyDescent="0.35">
      <c r="A9976" s="77"/>
      <c r="B9976" s="64"/>
      <c r="C9976" s="82"/>
      <c r="D9976" s="64"/>
      <c r="E9976" s="96"/>
      <c r="F9976" s="64"/>
      <c r="G9976" s="70"/>
      <c r="H9976" s="84"/>
      <c r="I9976" s="84"/>
    </row>
    <row r="9977" spans="1:9" s="83" customFormat="1" x14ac:dyDescent="0.35">
      <c r="A9977" s="77"/>
      <c r="B9977" s="64"/>
      <c r="C9977" s="82"/>
      <c r="D9977" s="64"/>
      <c r="E9977" s="96"/>
      <c r="F9977" s="64"/>
      <c r="G9977" s="70"/>
      <c r="H9977" s="84"/>
      <c r="I9977" s="84"/>
    </row>
    <row r="9978" spans="1:9" s="83" customFormat="1" x14ac:dyDescent="0.35">
      <c r="A9978" s="77"/>
      <c r="B9978" s="64"/>
      <c r="C9978" s="82"/>
      <c r="D9978" s="64"/>
      <c r="E9978" s="96"/>
      <c r="F9978" s="64"/>
      <c r="G9978" s="70"/>
      <c r="H9978" s="84"/>
      <c r="I9978" s="84"/>
    </row>
    <row r="9979" spans="1:9" s="83" customFormat="1" x14ac:dyDescent="0.35">
      <c r="A9979" s="77"/>
      <c r="B9979" s="64"/>
      <c r="C9979" s="82"/>
      <c r="D9979" s="64"/>
      <c r="E9979" s="96"/>
      <c r="F9979" s="64"/>
      <c r="G9979" s="70"/>
      <c r="H9979" s="84"/>
      <c r="I9979" s="84"/>
    </row>
    <row r="9980" spans="1:9" s="83" customFormat="1" x14ac:dyDescent="0.35">
      <c r="A9980" s="77"/>
      <c r="B9980" s="64"/>
      <c r="C9980" s="82"/>
      <c r="D9980" s="64"/>
      <c r="E9980" s="96"/>
      <c r="F9980" s="64"/>
      <c r="G9980" s="70"/>
      <c r="H9980" s="84"/>
      <c r="I9980" s="84"/>
    </row>
    <row r="9981" spans="1:9" s="83" customFormat="1" x14ac:dyDescent="0.35">
      <c r="A9981" s="77"/>
      <c r="B9981" s="64"/>
      <c r="C9981" s="82"/>
      <c r="D9981" s="64"/>
      <c r="E9981" s="96"/>
      <c r="F9981" s="64"/>
      <c r="G9981" s="70"/>
      <c r="H9981" s="84"/>
      <c r="I9981" s="84"/>
    </row>
    <row r="9982" spans="1:9" x14ac:dyDescent="0.35">
      <c r="C9982" s="82"/>
    </row>
    <row r="9983" spans="1:9" x14ac:dyDescent="0.35">
      <c r="C9983" s="82"/>
    </row>
    <row r="9984" spans="1:9" x14ac:dyDescent="0.35">
      <c r="C9984" s="82"/>
    </row>
    <row r="9985" spans="1:9" x14ac:dyDescent="0.35">
      <c r="C9985" s="82"/>
    </row>
    <row r="9986" spans="1:9" x14ac:dyDescent="0.35">
      <c r="C9986" s="82"/>
    </row>
    <row r="9987" spans="1:9" x14ac:dyDescent="0.35">
      <c r="C9987" s="82"/>
    </row>
    <row r="9988" spans="1:9" x14ac:dyDescent="0.35">
      <c r="C9988" s="82"/>
    </row>
    <row r="9989" spans="1:9" x14ac:dyDescent="0.35">
      <c r="C9989" s="82"/>
    </row>
    <row r="9990" spans="1:9" x14ac:dyDescent="0.35">
      <c r="C9990" s="82"/>
    </row>
    <row r="9991" spans="1:9" x14ac:dyDescent="0.35">
      <c r="C9991" s="82"/>
    </row>
    <row r="9992" spans="1:9" x14ac:dyDescent="0.35">
      <c r="C9992" s="82"/>
    </row>
    <row r="9993" spans="1:9" x14ac:dyDescent="0.35">
      <c r="C9993" s="82"/>
    </row>
    <row r="9994" spans="1:9" x14ac:dyDescent="0.35">
      <c r="C9994" s="82"/>
    </row>
    <row r="9995" spans="1:9" x14ac:dyDescent="0.35">
      <c r="C9995" s="82"/>
    </row>
    <row r="9996" spans="1:9" x14ac:dyDescent="0.35">
      <c r="C9996" s="82"/>
    </row>
    <row r="9997" spans="1:9" x14ac:dyDescent="0.35">
      <c r="C9997" s="82"/>
    </row>
    <row r="9998" spans="1:9" s="83" customFormat="1" x14ac:dyDescent="0.35">
      <c r="A9998" s="77"/>
      <c r="B9998" s="64"/>
      <c r="C9998" s="82"/>
      <c r="D9998" s="64"/>
      <c r="E9998" s="96"/>
      <c r="F9998" s="64"/>
      <c r="G9998" s="70"/>
      <c r="H9998" s="84"/>
      <c r="I9998" s="84"/>
    </row>
    <row r="9999" spans="1:9" s="83" customFormat="1" x14ac:dyDescent="0.35">
      <c r="A9999" s="77"/>
      <c r="B9999" s="64"/>
      <c r="C9999" s="82"/>
      <c r="D9999" s="64"/>
      <c r="E9999" s="96"/>
      <c r="F9999" s="64"/>
      <c r="G9999" s="70"/>
      <c r="H9999" s="84"/>
      <c r="I9999" s="84"/>
    </row>
    <row r="10000" spans="1:9" s="83" customFormat="1" x14ac:dyDescent="0.35">
      <c r="A10000" s="77"/>
      <c r="B10000" s="64"/>
      <c r="C10000" s="82"/>
      <c r="D10000" s="64"/>
      <c r="E10000" s="96"/>
      <c r="F10000" s="64"/>
      <c r="G10000" s="70"/>
      <c r="H10000" s="84"/>
      <c r="I10000" s="84"/>
    </row>
    <row r="10001" spans="1:9" s="83" customFormat="1" x14ac:dyDescent="0.35">
      <c r="A10001" s="77"/>
      <c r="B10001" s="64"/>
      <c r="C10001" s="82"/>
      <c r="D10001" s="64"/>
      <c r="E10001" s="96"/>
      <c r="F10001" s="64"/>
      <c r="G10001" s="70"/>
      <c r="H10001" s="84"/>
      <c r="I10001" s="84"/>
    </row>
    <row r="10002" spans="1:9" s="83" customFormat="1" x14ac:dyDescent="0.35">
      <c r="A10002" s="77"/>
      <c r="B10002" s="64"/>
      <c r="C10002" s="82"/>
      <c r="D10002" s="86"/>
      <c r="E10002" s="96"/>
      <c r="F10002" s="64"/>
      <c r="G10002" s="70"/>
      <c r="H10002" s="84"/>
      <c r="I10002" s="84"/>
    </row>
    <row r="10003" spans="1:9" s="83" customFormat="1" x14ac:dyDescent="0.35">
      <c r="A10003" s="77"/>
      <c r="B10003" s="64"/>
      <c r="C10003" s="82"/>
      <c r="D10003" s="64"/>
      <c r="E10003" s="96"/>
      <c r="F10003" s="64"/>
      <c r="G10003" s="70"/>
      <c r="H10003" s="84"/>
      <c r="I10003" s="84"/>
    </row>
    <row r="10004" spans="1:9" s="83" customFormat="1" x14ac:dyDescent="0.35">
      <c r="A10004" s="77"/>
      <c r="B10004" s="64"/>
      <c r="C10004" s="82"/>
      <c r="D10004" s="64"/>
      <c r="E10004" s="96"/>
      <c r="F10004" s="64"/>
      <c r="G10004" s="70"/>
      <c r="H10004" s="84"/>
      <c r="I10004" s="84"/>
    </row>
    <row r="10005" spans="1:9" s="83" customFormat="1" x14ac:dyDescent="0.35">
      <c r="A10005" s="77"/>
      <c r="B10005" s="64"/>
      <c r="C10005" s="82"/>
      <c r="D10005" s="64"/>
      <c r="E10005" s="96"/>
      <c r="F10005" s="64"/>
      <c r="G10005" s="70"/>
      <c r="H10005" s="84"/>
      <c r="I10005" s="84"/>
    </row>
    <row r="10006" spans="1:9" s="83" customFormat="1" x14ac:dyDescent="0.35">
      <c r="A10006" s="77"/>
      <c r="B10006" s="64"/>
      <c r="C10006" s="82"/>
      <c r="D10006" s="64"/>
      <c r="E10006" s="96"/>
      <c r="F10006" s="64"/>
      <c r="G10006" s="70"/>
      <c r="H10006" s="84"/>
      <c r="I10006" s="84"/>
    </row>
    <row r="10007" spans="1:9" s="83" customFormat="1" x14ac:dyDescent="0.35">
      <c r="A10007" s="77"/>
      <c r="B10007" s="64"/>
      <c r="C10007" s="82"/>
      <c r="D10007" s="64"/>
      <c r="E10007" s="96"/>
      <c r="F10007" s="64"/>
      <c r="G10007" s="70"/>
      <c r="H10007" s="84"/>
      <c r="I10007" s="84"/>
    </row>
    <row r="10008" spans="1:9" s="83" customFormat="1" x14ac:dyDescent="0.35">
      <c r="A10008" s="77"/>
      <c r="B10008" s="64"/>
      <c r="C10008" s="82"/>
      <c r="D10008" s="64"/>
      <c r="E10008" s="96"/>
      <c r="F10008" s="64"/>
      <c r="G10008" s="70"/>
      <c r="H10008" s="84"/>
      <c r="I10008" s="84"/>
    </row>
    <row r="10009" spans="1:9" s="83" customFormat="1" x14ac:dyDescent="0.35">
      <c r="A10009" s="77"/>
      <c r="B10009" s="64"/>
      <c r="C10009" s="82"/>
      <c r="D10009" s="64"/>
      <c r="E10009" s="96"/>
      <c r="F10009" s="64"/>
      <c r="G10009" s="70"/>
      <c r="H10009" s="84"/>
      <c r="I10009" s="84"/>
    </row>
    <row r="10010" spans="1:9" s="83" customFormat="1" x14ac:dyDescent="0.35">
      <c r="A10010" s="77"/>
      <c r="B10010" s="64"/>
      <c r="C10010" s="82"/>
      <c r="D10010" s="64"/>
      <c r="E10010" s="96"/>
      <c r="F10010" s="64"/>
      <c r="G10010" s="70"/>
      <c r="H10010" s="84"/>
      <c r="I10010" s="84"/>
    </row>
    <row r="10011" spans="1:9" s="83" customFormat="1" x14ac:dyDescent="0.35">
      <c r="A10011" s="77"/>
      <c r="B10011" s="64"/>
      <c r="C10011" s="82"/>
      <c r="D10011" s="64"/>
      <c r="E10011" s="96"/>
      <c r="F10011" s="64"/>
      <c r="G10011" s="70"/>
      <c r="H10011" s="84"/>
      <c r="I10011" s="84"/>
    </row>
    <row r="10012" spans="1:9" s="83" customFormat="1" x14ac:dyDescent="0.35">
      <c r="A10012" s="77"/>
      <c r="B10012" s="64"/>
      <c r="C10012" s="82"/>
      <c r="D10012" s="64"/>
      <c r="E10012" s="96"/>
      <c r="F10012" s="64"/>
      <c r="G10012" s="70"/>
      <c r="H10012" s="84"/>
      <c r="I10012" s="84"/>
    </row>
    <row r="10013" spans="1:9" s="83" customFormat="1" x14ac:dyDescent="0.35">
      <c r="A10013" s="77"/>
      <c r="B10013" s="64"/>
      <c r="C10013" s="82"/>
      <c r="D10013" s="64"/>
      <c r="E10013" s="96"/>
      <c r="F10013" s="64"/>
      <c r="G10013" s="70"/>
      <c r="H10013" s="84"/>
      <c r="I10013" s="84"/>
    </row>
    <row r="10014" spans="1:9" s="83" customFormat="1" x14ac:dyDescent="0.35">
      <c r="A10014" s="77"/>
      <c r="B10014" s="64"/>
      <c r="C10014" s="82"/>
      <c r="D10014" s="64"/>
      <c r="E10014" s="96"/>
      <c r="F10014" s="64"/>
      <c r="G10014" s="70"/>
      <c r="H10014" s="84"/>
      <c r="I10014" s="84"/>
    </row>
    <row r="10015" spans="1:9" s="83" customFormat="1" x14ac:dyDescent="0.35">
      <c r="A10015" s="77"/>
      <c r="B10015" s="64"/>
      <c r="C10015" s="82"/>
      <c r="D10015" s="64"/>
      <c r="E10015" s="96"/>
      <c r="F10015" s="64"/>
      <c r="G10015" s="70"/>
      <c r="H10015" s="84"/>
      <c r="I10015" s="84"/>
    </row>
    <row r="10016" spans="1:9" s="83" customFormat="1" x14ac:dyDescent="0.35">
      <c r="A10016" s="77"/>
      <c r="B10016" s="64"/>
      <c r="C10016" s="82"/>
      <c r="D10016" s="64"/>
      <c r="E10016" s="96"/>
      <c r="F10016" s="64"/>
      <c r="G10016" s="70"/>
      <c r="H10016" s="84"/>
      <c r="I10016" s="84"/>
    </row>
    <row r="10017" spans="1:9" s="83" customFormat="1" x14ac:dyDescent="0.35">
      <c r="A10017" s="77"/>
      <c r="B10017" s="64"/>
      <c r="C10017" s="82"/>
      <c r="D10017" s="64"/>
      <c r="E10017" s="96"/>
      <c r="F10017" s="64"/>
      <c r="G10017" s="70"/>
      <c r="H10017" s="84"/>
      <c r="I10017" s="84"/>
    </row>
    <row r="10018" spans="1:9" s="83" customFormat="1" x14ac:dyDescent="0.35">
      <c r="A10018" s="77"/>
      <c r="B10018" s="64"/>
      <c r="C10018" s="82"/>
      <c r="D10018" s="64"/>
      <c r="E10018" s="96"/>
      <c r="F10018" s="64"/>
      <c r="G10018" s="70"/>
      <c r="H10018" s="84"/>
      <c r="I10018" s="84"/>
    </row>
    <row r="10019" spans="1:9" s="83" customFormat="1" x14ac:dyDescent="0.35">
      <c r="A10019" s="77"/>
      <c r="B10019" s="64"/>
      <c r="C10019" s="82"/>
      <c r="D10019" s="64"/>
      <c r="E10019" s="96"/>
      <c r="F10019" s="64"/>
      <c r="G10019" s="70"/>
      <c r="H10019" s="84"/>
      <c r="I10019" s="84"/>
    </row>
    <row r="10020" spans="1:9" s="83" customFormat="1" x14ac:dyDescent="0.35">
      <c r="A10020" s="77"/>
      <c r="B10020" s="64"/>
      <c r="C10020" s="82"/>
      <c r="D10020" s="64"/>
      <c r="E10020" s="96"/>
      <c r="F10020" s="64"/>
      <c r="G10020" s="70"/>
      <c r="H10020" s="84"/>
      <c r="I10020" s="84"/>
    </row>
    <row r="10021" spans="1:9" s="83" customFormat="1" x14ac:dyDescent="0.35">
      <c r="A10021" s="77"/>
      <c r="B10021" s="64"/>
      <c r="C10021" s="82"/>
      <c r="D10021" s="64"/>
      <c r="E10021" s="96"/>
      <c r="F10021" s="64"/>
      <c r="G10021" s="70"/>
      <c r="H10021" s="84"/>
      <c r="I10021" s="84"/>
    </row>
    <row r="10022" spans="1:9" s="83" customFormat="1" x14ac:dyDescent="0.35">
      <c r="A10022" s="77"/>
      <c r="B10022" s="64"/>
      <c r="C10022" s="82"/>
      <c r="D10022" s="64"/>
      <c r="E10022" s="96"/>
      <c r="F10022" s="64"/>
      <c r="G10022" s="70"/>
      <c r="H10022" s="84"/>
      <c r="I10022" s="84"/>
    </row>
    <row r="10023" spans="1:9" s="83" customFormat="1" x14ac:dyDescent="0.35">
      <c r="A10023" s="77"/>
      <c r="B10023" s="64"/>
      <c r="C10023" s="82"/>
      <c r="D10023" s="64"/>
      <c r="E10023" s="96"/>
      <c r="F10023" s="64"/>
      <c r="G10023" s="70"/>
      <c r="H10023" s="84"/>
      <c r="I10023" s="84"/>
    </row>
    <row r="10024" spans="1:9" s="83" customFormat="1" x14ac:dyDescent="0.35">
      <c r="A10024" s="77"/>
      <c r="B10024" s="64"/>
      <c r="C10024" s="82"/>
      <c r="D10024" s="64"/>
      <c r="E10024" s="96"/>
      <c r="F10024" s="64"/>
      <c r="G10024" s="70"/>
      <c r="H10024" s="84"/>
      <c r="I10024" s="84"/>
    </row>
    <row r="10025" spans="1:9" s="83" customFormat="1" x14ac:dyDescent="0.35">
      <c r="A10025" s="77"/>
      <c r="B10025" s="64"/>
      <c r="C10025" s="82"/>
      <c r="D10025" s="86"/>
      <c r="E10025" s="96"/>
      <c r="F10025" s="64"/>
      <c r="G10025" s="70"/>
      <c r="H10025" s="84"/>
      <c r="I10025" s="84"/>
    </row>
    <row r="10026" spans="1:9" s="83" customFormat="1" x14ac:dyDescent="0.35">
      <c r="A10026" s="77"/>
      <c r="B10026" s="64"/>
      <c r="C10026" s="82"/>
      <c r="D10026" s="64"/>
      <c r="E10026" s="96"/>
      <c r="F10026" s="64"/>
      <c r="G10026" s="70"/>
      <c r="H10026" s="84"/>
      <c r="I10026" s="84"/>
    </row>
    <row r="10027" spans="1:9" s="83" customFormat="1" x14ac:dyDescent="0.35">
      <c r="A10027" s="77"/>
      <c r="B10027" s="64"/>
      <c r="C10027" s="82"/>
      <c r="D10027" s="64"/>
      <c r="E10027" s="96"/>
      <c r="F10027" s="64"/>
      <c r="G10027" s="70"/>
      <c r="H10027" s="84"/>
      <c r="I10027" s="84"/>
    </row>
    <row r="10028" spans="1:9" s="83" customFormat="1" x14ac:dyDescent="0.35">
      <c r="A10028" s="77"/>
      <c r="B10028" s="64"/>
      <c r="C10028" s="82"/>
      <c r="D10028" s="64"/>
      <c r="E10028" s="96"/>
      <c r="F10028" s="64"/>
      <c r="G10028" s="70"/>
      <c r="H10028" s="84"/>
      <c r="I10028" s="84"/>
    </row>
    <row r="10029" spans="1:9" s="83" customFormat="1" x14ac:dyDescent="0.35">
      <c r="A10029" s="77"/>
      <c r="B10029" s="64"/>
      <c r="C10029" s="82"/>
      <c r="D10029" s="64"/>
      <c r="E10029" s="96"/>
      <c r="F10029" s="64"/>
      <c r="G10029" s="70"/>
      <c r="H10029" s="84"/>
      <c r="I10029" s="84"/>
    </row>
    <row r="10030" spans="1:9" x14ac:dyDescent="0.35">
      <c r="C10030" s="82"/>
    </row>
    <row r="10031" spans="1:9" x14ac:dyDescent="0.35">
      <c r="C10031" s="82"/>
    </row>
    <row r="10032" spans="1:9" x14ac:dyDescent="0.35">
      <c r="C10032" s="82"/>
    </row>
    <row r="10033" spans="3:3" x14ac:dyDescent="0.35">
      <c r="C10033" s="82"/>
    </row>
    <row r="10034" spans="3:3" x14ac:dyDescent="0.35">
      <c r="C10034" s="82"/>
    </row>
    <row r="10035" spans="3:3" x14ac:dyDescent="0.35">
      <c r="C10035" s="82"/>
    </row>
    <row r="10036" spans="3:3" x14ac:dyDescent="0.35">
      <c r="C10036" s="82"/>
    </row>
    <row r="10037" spans="3:3" x14ac:dyDescent="0.35">
      <c r="C10037" s="82"/>
    </row>
    <row r="10038" spans="3:3" x14ac:dyDescent="0.35">
      <c r="C10038" s="82"/>
    </row>
    <row r="10039" spans="3:3" x14ac:dyDescent="0.35">
      <c r="C10039" s="82"/>
    </row>
    <row r="10040" spans="3:3" x14ac:dyDescent="0.35">
      <c r="C10040" s="82"/>
    </row>
    <row r="10041" spans="3:3" x14ac:dyDescent="0.35">
      <c r="C10041" s="82"/>
    </row>
    <row r="10042" spans="3:3" x14ac:dyDescent="0.35">
      <c r="C10042" s="82"/>
    </row>
    <row r="10043" spans="3:3" x14ac:dyDescent="0.35">
      <c r="C10043" s="82"/>
    </row>
    <row r="10044" spans="3:3" x14ac:dyDescent="0.35">
      <c r="C10044" s="82"/>
    </row>
    <row r="10045" spans="3:3" x14ac:dyDescent="0.35">
      <c r="C10045" s="82"/>
    </row>
    <row r="10046" spans="3:3" x14ac:dyDescent="0.35">
      <c r="C10046" s="82"/>
    </row>
    <row r="10047" spans="3:3" x14ac:dyDescent="0.35">
      <c r="C10047" s="82"/>
    </row>
    <row r="10048" spans="3:3" x14ac:dyDescent="0.35">
      <c r="C10048" s="82"/>
    </row>
    <row r="10049" spans="3:3" x14ac:dyDescent="0.35">
      <c r="C10049" s="82"/>
    </row>
    <row r="10050" spans="3:3" x14ac:dyDescent="0.35">
      <c r="C10050" s="82"/>
    </row>
    <row r="10051" spans="3:3" x14ac:dyDescent="0.35">
      <c r="C10051" s="82"/>
    </row>
    <row r="10052" spans="3:3" x14ac:dyDescent="0.35">
      <c r="C10052" s="82"/>
    </row>
    <row r="10053" spans="3:3" x14ac:dyDescent="0.35">
      <c r="C10053" s="82"/>
    </row>
    <row r="10054" spans="3:3" x14ac:dyDescent="0.35">
      <c r="C10054" s="82"/>
    </row>
    <row r="10055" spans="3:3" x14ac:dyDescent="0.35">
      <c r="C10055" s="82"/>
    </row>
    <row r="10056" spans="3:3" x14ac:dyDescent="0.35">
      <c r="C10056" s="82"/>
    </row>
    <row r="10057" spans="3:3" x14ac:dyDescent="0.35">
      <c r="C10057" s="82"/>
    </row>
    <row r="10058" spans="3:3" x14ac:dyDescent="0.35">
      <c r="C10058" s="82"/>
    </row>
    <row r="10059" spans="3:3" x14ac:dyDescent="0.35">
      <c r="C10059" s="82"/>
    </row>
    <row r="10060" spans="3:3" x14ac:dyDescent="0.35">
      <c r="C10060" s="82"/>
    </row>
    <row r="10061" spans="3:3" x14ac:dyDescent="0.35">
      <c r="C10061" s="82"/>
    </row>
    <row r="10062" spans="3:3" x14ac:dyDescent="0.35">
      <c r="C10062" s="82"/>
    </row>
    <row r="10063" spans="3:3" x14ac:dyDescent="0.35">
      <c r="C10063" s="82"/>
    </row>
    <row r="10064" spans="3:3" x14ac:dyDescent="0.35">
      <c r="C10064" s="82"/>
    </row>
    <row r="10065" spans="3:3" x14ac:dyDescent="0.35">
      <c r="C10065" s="82"/>
    </row>
    <row r="10066" spans="3:3" x14ac:dyDescent="0.35">
      <c r="C10066" s="82"/>
    </row>
    <row r="10067" spans="3:3" x14ac:dyDescent="0.35">
      <c r="C10067" s="82"/>
    </row>
    <row r="10068" spans="3:3" x14ac:dyDescent="0.35">
      <c r="C10068" s="82"/>
    </row>
    <row r="10069" spans="3:3" x14ac:dyDescent="0.35">
      <c r="C10069" s="82"/>
    </row>
    <row r="10070" spans="3:3" x14ac:dyDescent="0.35">
      <c r="C10070" s="82"/>
    </row>
    <row r="10071" spans="3:3" x14ac:dyDescent="0.35">
      <c r="C10071" s="82"/>
    </row>
    <row r="10072" spans="3:3" x14ac:dyDescent="0.35">
      <c r="C10072" s="82"/>
    </row>
    <row r="10073" spans="3:3" x14ac:dyDescent="0.35">
      <c r="C10073" s="82"/>
    </row>
    <row r="10074" spans="3:3" x14ac:dyDescent="0.35">
      <c r="C10074" s="82"/>
    </row>
    <row r="10075" spans="3:3" x14ac:dyDescent="0.35">
      <c r="C10075" s="82"/>
    </row>
    <row r="10076" spans="3:3" x14ac:dyDescent="0.35">
      <c r="C10076" s="82"/>
    </row>
    <row r="10077" spans="3:3" x14ac:dyDescent="0.35">
      <c r="C10077" s="82"/>
    </row>
    <row r="10078" spans="3:3" x14ac:dyDescent="0.35">
      <c r="C10078" s="82"/>
    </row>
    <row r="10079" spans="3:3" x14ac:dyDescent="0.35">
      <c r="C10079" s="82"/>
    </row>
    <row r="10080" spans="3:3" x14ac:dyDescent="0.35">
      <c r="C10080" s="82"/>
    </row>
    <row r="10081" spans="3:3" x14ac:dyDescent="0.35">
      <c r="C10081" s="82"/>
    </row>
    <row r="10082" spans="3:3" x14ac:dyDescent="0.35">
      <c r="C10082" s="82"/>
    </row>
    <row r="10083" spans="3:3" x14ac:dyDescent="0.35">
      <c r="C10083" s="82"/>
    </row>
    <row r="10084" spans="3:3" x14ac:dyDescent="0.35">
      <c r="C10084" s="82"/>
    </row>
    <row r="10085" spans="3:3" x14ac:dyDescent="0.35">
      <c r="C10085" s="82"/>
    </row>
    <row r="10086" spans="3:3" x14ac:dyDescent="0.35">
      <c r="C10086" s="82"/>
    </row>
    <row r="10087" spans="3:3" x14ac:dyDescent="0.35">
      <c r="C10087" s="82"/>
    </row>
    <row r="10088" spans="3:3" x14ac:dyDescent="0.35">
      <c r="C10088" s="82"/>
    </row>
    <row r="10089" spans="3:3" x14ac:dyDescent="0.35">
      <c r="C10089" s="82"/>
    </row>
    <row r="10090" spans="3:3" x14ac:dyDescent="0.35">
      <c r="C10090" s="82"/>
    </row>
    <row r="10091" spans="3:3" x14ac:dyDescent="0.35">
      <c r="C10091" s="82"/>
    </row>
    <row r="10092" spans="3:3" x14ac:dyDescent="0.35">
      <c r="C10092" s="82"/>
    </row>
    <row r="10093" spans="3:3" x14ac:dyDescent="0.35">
      <c r="C10093" s="82"/>
    </row>
    <row r="10094" spans="3:3" x14ac:dyDescent="0.35">
      <c r="C10094" s="82"/>
    </row>
    <row r="10095" spans="3:3" x14ac:dyDescent="0.35">
      <c r="C10095" s="82"/>
    </row>
    <row r="10096" spans="3:3" x14ac:dyDescent="0.35">
      <c r="C10096" s="82"/>
    </row>
    <row r="10097" spans="1:9" x14ac:dyDescent="0.35">
      <c r="C10097" s="82"/>
    </row>
    <row r="10098" spans="1:9" x14ac:dyDescent="0.35">
      <c r="C10098" s="82"/>
    </row>
    <row r="10099" spans="1:9" x14ac:dyDescent="0.35">
      <c r="C10099" s="82"/>
    </row>
    <row r="10100" spans="1:9" x14ac:dyDescent="0.35">
      <c r="C10100" s="82"/>
    </row>
    <row r="10101" spans="1:9" x14ac:dyDescent="0.35">
      <c r="C10101" s="82"/>
    </row>
    <row r="10102" spans="1:9" x14ac:dyDescent="0.35">
      <c r="C10102" s="82"/>
    </row>
    <row r="10103" spans="1:9" x14ac:dyDescent="0.35">
      <c r="C10103" s="82"/>
    </row>
    <row r="10104" spans="1:9" x14ac:dyDescent="0.35">
      <c r="C10104" s="82"/>
    </row>
    <row r="10105" spans="1:9" x14ac:dyDescent="0.35">
      <c r="C10105" s="82"/>
    </row>
    <row r="10106" spans="1:9" x14ac:dyDescent="0.35">
      <c r="C10106" s="82"/>
    </row>
    <row r="10107" spans="1:9" x14ac:dyDescent="0.35">
      <c r="C10107" s="82"/>
    </row>
    <row r="10108" spans="1:9" x14ac:dyDescent="0.35">
      <c r="C10108" s="82"/>
    </row>
    <row r="10109" spans="1:9" x14ac:dyDescent="0.35">
      <c r="C10109" s="82"/>
    </row>
    <row r="10110" spans="1:9" s="83" customFormat="1" x14ac:dyDescent="0.35">
      <c r="A10110" s="77"/>
      <c r="B10110" s="64"/>
      <c r="C10110" s="82"/>
      <c r="D10110" s="64"/>
      <c r="E10110" s="96"/>
      <c r="F10110" s="64"/>
      <c r="G10110" s="70"/>
      <c r="H10110" s="84"/>
      <c r="I10110" s="84"/>
    </row>
    <row r="10111" spans="1:9" s="83" customFormat="1" x14ac:dyDescent="0.35">
      <c r="A10111" s="77"/>
      <c r="B10111" s="64"/>
      <c r="C10111" s="82"/>
      <c r="D10111" s="64"/>
      <c r="E10111" s="96"/>
      <c r="F10111" s="64"/>
      <c r="G10111" s="70"/>
      <c r="H10111" s="84"/>
      <c r="I10111" s="84"/>
    </row>
    <row r="10112" spans="1:9" s="83" customFormat="1" x14ac:dyDescent="0.35">
      <c r="A10112" s="77"/>
      <c r="B10112" s="64"/>
      <c r="C10112" s="82"/>
      <c r="D10112" s="86"/>
      <c r="E10112" s="96"/>
      <c r="F10112" s="64"/>
      <c r="G10112" s="70"/>
      <c r="H10112" s="84"/>
      <c r="I10112" s="84"/>
    </row>
    <row r="10113" spans="1:9" s="83" customFormat="1" x14ac:dyDescent="0.35">
      <c r="A10113" s="77"/>
      <c r="B10113" s="64"/>
      <c r="C10113" s="82"/>
      <c r="D10113" s="86"/>
      <c r="E10113" s="96"/>
      <c r="F10113" s="64"/>
      <c r="G10113" s="70"/>
      <c r="H10113" s="84"/>
      <c r="I10113" s="84"/>
    </row>
    <row r="10114" spans="1:9" s="83" customFormat="1" x14ac:dyDescent="0.35">
      <c r="A10114" s="77"/>
      <c r="B10114" s="64"/>
      <c r="C10114" s="82"/>
      <c r="D10114" s="64"/>
      <c r="E10114" s="96"/>
      <c r="F10114" s="64"/>
      <c r="G10114" s="70"/>
      <c r="H10114" s="84"/>
      <c r="I10114" s="84"/>
    </row>
    <row r="10115" spans="1:9" s="83" customFormat="1" x14ac:dyDescent="0.35">
      <c r="A10115" s="77"/>
      <c r="B10115" s="64"/>
      <c r="C10115" s="82"/>
      <c r="D10115" s="64"/>
      <c r="E10115" s="96"/>
      <c r="F10115" s="64"/>
      <c r="G10115" s="70"/>
      <c r="H10115" s="84"/>
      <c r="I10115" s="84"/>
    </row>
    <row r="10116" spans="1:9" s="83" customFormat="1" x14ac:dyDescent="0.35">
      <c r="A10116" s="77"/>
      <c r="B10116" s="64"/>
      <c r="C10116" s="82"/>
      <c r="D10116" s="64"/>
      <c r="E10116" s="96"/>
      <c r="F10116" s="64"/>
      <c r="G10116" s="70"/>
      <c r="H10116" s="84"/>
      <c r="I10116" s="84"/>
    </row>
    <row r="10117" spans="1:9" s="83" customFormat="1" x14ac:dyDescent="0.35">
      <c r="A10117" s="77"/>
      <c r="B10117" s="64"/>
      <c r="C10117" s="82"/>
      <c r="D10117" s="86"/>
      <c r="E10117" s="96"/>
      <c r="F10117" s="64"/>
      <c r="G10117" s="70"/>
      <c r="H10117" s="84"/>
      <c r="I10117" s="84"/>
    </row>
    <row r="10118" spans="1:9" s="83" customFormat="1" x14ac:dyDescent="0.35">
      <c r="A10118" s="77"/>
      <c r="B10118" s="64"/>
      <c r="C10118" s="82"/>
      <c r="D10118" s="64"/>
      <c r="E10118" s="96"/>
      <c r="F10118" s="64"/>
      <c r="G10118" s="70"/>
      <c r="H10118" s="84"/>
      <c r="I10118" s="84"/>
    </row>
    <row r="10119" spans="1:9" s="83" customFormat="1" x14ac:dyDescent="0.35">
      <c r="A10119" s="77"/>
      <c r="B10119" s="64"/>
      <c r="C10119" s="82"/>
      <c r="D10119" s="86"/>
      <c r="E10119" s="96"/>
      <c r="F10119" s="64"/>
      <c r="G10119" s="70"/>
      <c r="H10119" s="84"/>
      <c r="I10119" s="84"/>
    </row>
    <row r="10120" spans="1:9" s="83" customFormat="1" x14ac:dyDescent="0.35">
      <c r="A10120" s="77"/>
      <c r="B10120" s="64"/>
      <c r="C10120" s="82"/>
      <c r="D10120" s="64"/>
      <c r="E10120" s="96"/>
      <c r="F10120" s="64"/>
      <c r="G10120" s="70"/>
      <c r="H10120" s="84"/>
      <c r="I10120" s="84"/>
    </row>
    <row r="10121" spans="1:9" s="83" customFormat="1" x14ac:dyDescent="0.35">
      <c r="A10121" s="77"/>
      <c r="B10121" s="64"/>
      <c r="C10121" s="82"/>
      <c r="D10121" s="64"/>
      <c r="E10121" s="96"/>
      <c r="F10121" s="64"/>
      <c r="G10121" s="70"/>
      <c r="H10121" s="84"/>
      <c r="I10121" s="84"/>
    </row>
    <row r="10122" spans="1:9" s="83" customFormat="1" x14ac:dyDescent="0.35">
      <c r="A10122" s="77"/>
      <c r="B10122" s="64"/>
      <c r="C10122" s="82"/>
      <c r="D10122" s="64"/>
      <c r="E10122" s="96"/>
      <c r="F10122" s="64"/>
      <c r="G10122" s="70"/>
      <c r="H10122" s="84"/>
      <c r="I10122" s="84"/>
    </row>
    <row r="10123" spans="1:9" s="83" customFormat="1" x14ac:dyDescent="0.35">
      <c r="A10123" s="77"/>
      <c r="B10123" s="64"/>
      <c r="C10123" s="82"/>
      <c r="D10123" s="64"/>
      <c r="E10123" s="96"/>
      <c r="F10123" s="64"/>
      <c r="G10123" s="70"/>
      <c r="H10123" s="84"/>
      <c r="I10123" s="84"/>
    </row>
    <row r="10124" spans="1:9" s="83" customFormat="1" x14ac:dyDescent="0.35">
      <c r="A10124" s="77"/>
      <c r="B10124" s="64"/>
      <c r="C10124" s="82"/>
      <c r="D10124" s="64"/>
      <c r="E10124" s="96"/>
      <c r="F10124" s="64"/>
      <c r="G10124" s="70"/>
      <c r="H10124" s="84"/>
      <c r="I10124" s="84"/>
    </row>
    <row r="10125" spans="1:9" s="83" customFormat="1" x14ac:dyDescent="0.35">
      <c r="A10125" s="77"/>
      <c r="B10125" s="64"/>
      <c r="C10125" s="82"/>
      <c r="D10125" s="64"/>
      <c r="E10125" s="96"/>
      <c r="F10125" s="64"/>
      <c r="G10125" s="70"/>
      <c r="H10125" s="84"/>
      <c r="I10125" s="84"/>
    </row>
    <row r="10126" spans="1:9" x14ac:dyDescent="0.35">
      <c r="C10126" s="82"/>
    </row>
    <row r="10127" spans="1:9" x14ac:dyDescent="0.35">
      <c r="C10127" s="82"/>
    </row>
    <row r="10128" spans="1:9" x14ac:dyDescent="0.35">
      <c r="C10128" s="82"/>
    </row>
    <row r="10129" spans="1:7" x14ac:dyDescent="0.35">
      <c r="C10129" s="82"/>
    </row>
    <row r="10130" spans="1:7" x14ac:dyDescent="0.35">
      <c r="C10130" s="82"/>
    </row>
    <row r="10131" spans="1:7" x14ac:dyDescent="0.35">
      <c r="C10131" s="82"/>
    </row>
    <row r="10132" spans="1:7" x14ac:dyDescent="0.35">
      <c r="C10132" s="82"/>
    </row>
    <row r="10133" spans="1:7" x14ac:dyDescent="0.35">
      <c r="C10133" s="82"/>
    </row>
    <row r="10134" spans="1:7" x14ac:dyDescent="0.35">
      <c r="C10134" s="82"/>
    </row>
    <row r="10135" spans="1:7" x14ac:dyDescent="0.35">
      <c r="C10135" s="82"/>
    </row>
    <row r="10136" spans="1:7" x14ac:dyDescent="0.35">
      <c r="C10136" s="82"/>
    </row>
    <row r="10137" spans="1:7" x14ac:dyDescent="0.35">
      <c r="C10137" s="82"/>
    </row>
    <row r="10138" spans="1:7" x14ac:dyDescent="0.35">
      <c r="C10138" s="82"/>
    </row>
    <row r="10139" spans="1:7" x14ac:dyDescent="0.35">
      <c r="C10139" s="82"/>
    </row>
    <row r="10140" spans="1:7" x14ac:dyDescent="0.35">
      <c r="C10140" s="82"/>
    </row>
    <row r="10141" spans="1:7" x14ac:dyDescent="0.35">
      <c r="C10141" s="82"/>
    </row>
    <row r="10142" spans="1:7" s="84" customFormat="1" x14ac:dyDescent="0.35">
      <c r="A10142" s="77"/>
      <c r="B10142" s="64"/>
      <c r="C10142" s="82"/>
      <c r="D10142" s="64"/>
      <c r="E10142" s="96"/>
      <c r="F10142" s="64"/>
      <c r="G10142" s="70"/>
    </row>
    <row r="10143" spans="1:7" s="84" customFormat="1" x14ac:dyDescent="0.35">
      <c r="A10143" s="77"/>
      <c r="B10143" s="64"/>
      <c r="C10143" s="82"/>
      <c r="D10143" s="64"/>
      <c r="E10143" s="96"/>
      <c r="F10143" s="64"/>
      <c r="G10143" s="70"/>
    </row>
    <row r="10144" spans="1:7" s="84" customFormat="1" x14ac:dyDescent="0.35">
      <c r="A10144" s="77"/>
      <c r="B10144" s="64"/>
      <c r="C10144" s="82"/>
      <c r="D10144" s="64"/>
      <c r="E10144" s="96"/>
      <c r="F10144" s="64"/>
      <c r="G10144" s="70"/>
    </row>
    <row r="10145" spans="1:7" s="84" customFormat="1" x14ac:dyDescent="0.35">
      <c r="A10145" s="77"/>
      <c r="B10145" s="64"/>
      <c r="C10145" s="82"/>
      <c r="D10145" s="64"/>
      <c r="E10145" s="96"/>
      <c r="F10145" s="64"/>
      <c r="G10145" s="70"/>
    </row>
    <row r="10146" spans="1:7" s="84" customFormat="1" x14ac:dyDescent="0.35">
      <c r="A10146" s="77"/>
      <c r="B10146" s="64"/>
      <c r="C10146" s="82"/>
      <c r="D10146" s="64"/>
      <c r="E10146" s="96"/>
      <c r="F10146" s="64"/>
      <c r="G10146" s="70"/>
    </row>
    <row r="10147" spans="1:7" s="84" customFormat="1" x14ac:dyDescent="0.35">
      <c r="A10147" s="77"/>
      <c r="B10147" s="64"/>
      <c r="C10147" s="82"/>
      <c r="D10147" s="64"/>
      <c r="E10147" s="96"/>
      <c r="F10147" s="64"/>
      <c r="G10147" s="70"/>
    </row>
    <row r="10148" spans="1:7" s="84" customFormat="1" x14ac:dyDescent="0.35">
      <c r="A10148" s="77"/>
      <c r="B10148" s="64"/>
      <c r="C10148" s="82"/>
      <c r="D10148" s="64"/>
      <c r="E10148" s="96"/>
      <c r="F10148" s="64"/>
      <c r="G10148" s="70"/>
    </row>
    <row r="10149" spans="1:7" s="84" customFormat="1" x14ac:dyDescent="0.35">
      <c r="A10149" s="77"/>
      <c r="B10149" s="64"/>
      <c r="C10149" s="82"/>
      <c r="D10149" s="64"/>
      <c r="E10149" s="96"/>
      <c r="F10149" s="64"/>
      <c r="G10149" s="70"/>
    </row>
    <row r="10150" spans="1:7" s="84" customFormat="1" x14ac:dyDescent="0.35">
      <c r="A10150" s="77"/>
      <c r="B10150" s="64"/>
      <c r="C10150" s="82"/>
      <c r="D10150" s="64"/>
      <c r="E10150" s="96"/>
      <c r="F10150" s="64"/>
      <c r="G10150" s="70"/>
    </row>
    <row r="10151" spans="1:7" s="84" customFormat="1" x14ac:dyDescent="0.35">
      <c r="A10151" s="77"/>
      <c r="B10151" s="64"/>
      <c r="C10151" s="82"/>
      <c r="D10151" s="64"/>
      <c r="E10151" s="96"/>
      <c r="F10151" s="64"/>
      <c r="G10151" s="70"/>
    </row>
    <row r="10152" spans="1:7" s="84" customFormat="1" x14ac:dyDescent="0.35">
      <c r="A10152" s="77"/>
      <c r="B10152" s="64"/>
      <c r="C10152" s="82"/>
      <c r="D10152" s="64"/>
      <c r="E10152" s="96"/>
      <c r="F10152" s="64"/>
      <c r="G10152" s="70"/>
    </row>
    <row r="10153" spans="1:7" s="84" customFormat="1" x14ac:dyDescent="0.35">
      <c r="A10153" s="77"/>
      <c r="B10153" s="64"/>
      <c r="C10153" s="82"/>
      <c r="D10153" s="64"/>
      <c r="E10153" s="96"/>
      <c r="F10153" s="64"/>
      <c r="G10153" s="85"/>
    </row>
    <row r="10154" spans="1:7" s="84" customFormat="1" x14ac:dyDescent="0.35">
      <c r="A10154" s="77"/>
      <c r="B10154" s="64"/>
      <c r="C10154" s="82"/>
      <c r="D10154" s="64"/>
      <c r="E10154" s="96"/>
      <c r="F10154" s="64"/>
      <c r="G10154" s="70"/>
    </row>
    <row r="10155" spans="1:7" s="84" customFormat="1" x14ac:dyDescent="0.35">
      <c r="A10155" s="77"/>
      <c r="B10155" s="64"/>
      <c r="C10155" s="82"/>
      <c r="D10155" s="64"/>
      <c r="E10155" s="96"/>
      <c r="F10155" s="64"/>
      <c r="G10155" s="70"/>
    </row>
    <row r="10156" spans="1:7" s="84" customFormat="1" x14ac:dyDescent="0.35">
      <c r="A10156" s="77"/>
      <c r="B10156" s="64"/>
      <c r="C10156" s="82"/>
      <c r="D10156" s="64"/>
      <c r="E10156" s="96"/>
      <c r="F10156" s="64"/>
      <c r="G10156" s="70"/>
    </row>
    <row r="10157" spans="1:7" s="84" customFormat="1" x14ac:dyDescent="0.35">
      <c r="A10157" s="77"/>
      <c r="B10157" s="64"/>
      <c r="C10157" s="82"/>
      <c r="D10157" s="64"/>
      <c r="E10157" s="96"/>
      <c r="F10157" s="64"/>
      <c r="G10157" s="70"/>
    </row>
    <row r="10158" spans="1:7" x14ac:dyDescent="0.35">
      <c r="C10158" s="82"/>
    </row>
    <row r="10159" spans="1:7" x14ac:dyDescent="0.35">
      <c r="C10159" s="82"/>
    </row>
    <row r="10160" spans="1:7" x14ac:dyDescent="0.35">
      <c r="C10160" s="82"/>
    </row>
    <row r="10161" spans="3:3" x14ac:dyDescent="0.35">
      <c r="C10161" s="82"/>
    </row>
    <row r="10162" spans="3:3" x14ac:dyDescent="0.35">
      <c r="C10162" s="82"/>
    </row>
    <row r="10163" spans="3:3" x14ac:dyDescent="0.35">
      <c r="C10163" s="82"/>
    </row>
    <row r="10164" spans="3:3" x14ac:dyDescent="0.35">
      <c r="C10164" s="82"/>
    </row>
    <row r="10165" spans="3:3" x14ac:dyDescent="0.35">
      <c r="C10165" s="82"/>
    </row>
    <row r="10166" spans="3:3" x14ac:dyDescent="0.35">
      <c r="C10166" s="82"/>
    </row>
    <row r="10167" spans="3:3" x14ac:dyDescent="0.35">
      <c r="C10167" s="82"/>
    </row>
    <row r="10168" spans="3:3" x14ac:dyDescent="0.35">
      <c r="C10168" s="82"/>
    </row>
    <row r="10169" spans="3:3" x14ac:dyDescent="0.35">
      <c r="C10169" s="82"/>
    </row>
    <row r="10170" spans="3:3" x14ac:dyDescent="0.35">
      <c r="C10170" s="82"/>
    </row>
    <row r="10171" spans="3:3" x14ac:dyDescent="0.35">
      <c r="C10171" s="82"/>
    </row>
    <row r="10172" spans="3:3" x14ac:dyDescent="0.35">
      <c r="C10172" s="82"/>
    </row>
    <row r="10173" spans="3:3" x14ac:dyDescent="0.35">
      <c r="C10173" s="82"/>
    </row>
    <row r="10174" spans="3:3" x14ac:dyDescent="0.35">
      <c r="C10174" s="82"/>
    </row>
    <row r="10175" spans="3:3" x14ac:dyDescent="0.35">
      <c r="C10175" s="82"/>
    </row>
    <row r="10176" spans="3:3" x14ac:dyDescent="0.35">
      <c r="C10176" s="82"/>
    </row>
    <row r="10177" spans="3:3" x14ac:dyDescent="0.35">
      <c r="C10177" s="82"/>
    </row>
    <row r="10178" spans="3:3" x14ac:dyDescent="0.35">
      <c r="C10178" s="82"/>
    </row>
    <row r="10179" spans="3:3" x14ac:dyDescent="0.35">
      <c r="C10179" s="82"/>
    </row>
    <row r="10180" spans="3:3" x14ac:dyDescent="0.35">
      <c r="C10180" s="82"/>
    </row>
    <row r="10181" spans="3:3" x14ac:dyDescent="0.35">
      <c r="C10181" s="82"/>
    </row>
    <row r="10182" spans="3:3" x14ac:dyDescent="0.35">
      <c r="C10182" s="82"/>
    </row>
    <row r="10183" spans="3:3" x14ac:dyDescent="0.35">
      <c r="C10183" s="82"/>
    </row>
    <row r="10184" spans="3:3" x14ac:dyDescent="0.35">
      <c r="C10184" s="82"/>
    </row>
    <row r="10185" spans="3:3" x14ac:dyDescent="0.35">
      <c r="C10185" s="82"/>
    </row>
    <row r="10186" spans="3:3" x14ac:dyDescent="0.35">
      <c r="C10186" s="82"/>
    </row>
    <row r="10187" spans="3:3" x14ac:dyDescent="0.35">
      <c r="C10187" s="82"/>
    </row>
    <row r="10188" spans="3:3" x14ac:dyDescent="0.35">
      <c r="C10188" s="82"/>
    </row>
    <row r="10189" spans="3:3" x14ac:dyDescent="0.35">
      <c r="C10189" s="82"/>
    </row>
    <row r="10190" spans="3:3" x14ac:dyDescent="0.35">
      <c r="C10190" s="82"/>
    </row>
    <row r="10191" spans="3:3" x14ac:dyDescent="0.35">
      <c r="C10191" s="82"/>
    </row>
    <row r="10192" spans="3:3" x14ac:dyDescent="0.35">
      <c r="C10192" s="82"/>
    </row>
    <row r="10193" spans="3:3" x14ac:dyDescent="0.35">
      <c r="C10193" s="82"/>
    </row>
    <row r="10194" spans="3:3" x14ac:dyDescent="0.35">
      <c r="C10194" s="82"/>
    </row>
    <row r="10195" spans="3:3" x14ac:dyDescent="0.35">
      <c r="C10195" s="82"/>
    </row>
    <row r="10196" spans="3:3" x14ac:dyDescent="0.35">
      <c r="C10196" s="82"/>
    </row>
    <row r="10197" spans="3:3" x14ac:dyDescent="0.35">
      <c r="C10197" s="82"/>
    </row>
    <row r="10198" spans="3:3" x14ac:dyDescent="0.35">
      <c r="C10198" s="82"/>
    </row>
    <row r="10199" spans="3:3" x14ac:dyDescent="0.35">
      <c r="C10199" s="82"/>
    </row>
    <row r="10200" spans="3:3" x14ac:dyDescent="0.35">
      <c r="C10200" s="82"/>
    </row>
    <row r="10201" spans="3:3" x14ac:dyDescent="0.35">
      <c r="C10201" s="82"/>
    </row>
    <row r="10202" spans="3:3" x14ac:dyDescent="0.35">
      <c r="C10202" s="82"/>
    </row>
    <row r="10203" spans="3:3" x14ac:dyDescent="0.35">
      <c r="C10203" s="82"/>
    </row>
    <row r="10204" spans="3:3" x14ac:dyDescent="0.35">
      <c r="C10204" s="82"/>
    </row>
    <row r="10205" spans="3:3" x14ac:dyDescent="0.35">
      <c r="C10205" s="82"/>
    </row>
    <row r="10206" spans="3:3" x14ac:dyDescent="0.35">
      <c r="C10206" s="82"/>
    </row>
    <row r="10207" spans="3:3" x14ac:dyDescent="0.35">
      <c r="C10207" s="82"/>
    </row>
    <row r="10208" spans="3:3" x14ac:dyDescent="0.35">
      <c r="C10208" s="82"/>
    </row>
    <row r="10209" spans="1:9" x14ac:dyDescent="0.35">
      <c r="C10209" s="82"/>
    </row>
    <row r="10210" spans="1:9" x14ac:dyDescent="0.35">
      <c r="C10210" s="82"/>
    </row>
    <row r="10211" spans="1:9" x14ac:dyDescent="0.35">
      <c r="C10211" s="82"/>
    </row>
    <row r="10212" spans="1:9" x14ac:dyDescent="0.35">
      <c r="C10212" s="82"/>
    </row>
    <row r="10213" spans="1:9" x14ac:dyDescent="0.35">
      <c r="C10213" s="82"/>
    </row>
    <row r="10214" spans="1:9" x14ac:dyDescent="0.35">
      <c r="C10214" s="82"/>
    </row>
    <row r="10215" spans="1:9" x14ac:dyDescent="0.35">
      <c r="C10215" s="82"/>
    </row>
    <row r="10216" spans="1:9" x14ac:dyDescent="0.35">
      <c r="C10216" s="82"/>
    </row>
    <row r="10217" spans="1:9" x14ac:dyDescent="0.35">
      <c r="C10217" s="82"/>
    </row>
    <row r="10218" spans="1:9" x14ac:dyDescent="0.35">
      <c r="C10218" s="82"/>
    </row>
    <row r="10219" spans="1:9" x14ac:dyDescent="0.35">
      <c r="C10219" s="82"/>
    </row>
    <row r="10220" spans="1:9" x14ac:dyDescent="0.35">
      <c r="C10220" s="82"/>
    </row>
    <row r="10221" spans="1:9" x14ac:dyDescent="0.35">
      <c r="C10221" s="82"/>
    </row>
    <row r="10222" spans="1:9" s="83" customFormat="1" x14ac:dyDescent="0.35">
      <c r="A10222" s="77"/>
      <c r="B10222" s="64"/>
      <c r="C10222" s="82"/>
      <c r="D10222" s="64"/>
      <c r="E10222" s="96"/>
      <c r="F10222" s="64"/>
      <c r="G10222" s="70"/>
      <c r="H10222" s="84"/>
      <c r="I10222" s="84"/>
    </row>
    <row r="10223" spans="1:9" s="83" customFormat="1" x14ac:dyDescent="0.35">
      <c r="A10223" s="77"/>
      <c r="B10223" s="64"/>
      <c r="C10223" s="82"/>
      <c r="D10223" s="64"/>
      <c r="E10223" s="96"/>
      <c r="F10223" s="64"/>
      <c r="G10223" s="70"/>
      <c r="H10223" s="84"/>
      <c r="I10223" s="84"/>
    </row>
    <row r="10224" spans="1:9" s="83" customFormat="1" x14ac:dyDescent="0.35">
      <c r="A10224" s="77"/>
      <c r="B10224" s="64"/>
      <c r="C10224" s="82"/>
      <c r="D10224" s="64"/>
      <c r="E10224" s="96"/>
      <c r="F10224" s="64"/>
      <c r="G10224" s="70"/>
      <c r="H10224" s="84"/>
      <c r="I10224" s="84"/>
    </row>
    <row r="10225" spans="1:9" s="83" customFormat="1" x14ac:dyDescent="0.35">
      <c r="A10225" s="77"/>
      <c r="B10225" s="64"/>
      <c r="C10225" s="82"/>
      <c r="D10225" s="64"/>
      <c r="E10225" s="96"/>
      <c r="F10225" s="64"/>
      <c r="G10225" s="70"/>
      <c r="H10225" s="84"/>
      <c r="I10225" s="84"/>
    </row>
    <row r="10226" spans="1:9" s="83" customFormat="1" x14ac:dyDescent="0.35">
      <c r="A10226" s="77"/>
      <c r="B10226" s="64"/>
      <c r="C10226" s="82"/>
      <c r="D10226" s="64"/>
      <c r="E10226" s="96"/>
      <c r="F10226" s="64"/>
      <c r="G10226" s="70"/>
      <c r="H10226" s="84"/>
      <c r="I10226" s="84"/>
    </row>
    <row r="10227" spans="1:9" s="83" customFormat="1" x14ac:dyDescent="0.35">
      <c r="A10227" s="77"/>
      <c r="B10227" s="64"/>
      <c r="C10227" s="82"/>
      <c r="D10227" s="64"/>
      <c r="E10227" s="96"/>
      <c r="F10227" s="64"/>
      <c r="G10227" s="70"/>
      <c r="H10227" s="84"/>
      <c r="I10227" s="84"/>
    </row>
    <row r="10228" spans="1:9" s="83" customFormat="1" x14ac:dyDescent="0.35">
      <c r="A10228" s="77"/>
      <c r="B10228" s="64"/>
      <c r="C10228" s="82"/>
      <c r="D10228" s="64"/>
      <c r="E10228" s="96"/>
      <c r="F10228" s="64"/>
      <c r="G10228" s="70"/>
      <c r="H10228" s="84"/>
      <c r="I10228" s="84"/>
    </row>
    <row r="10229" spans="1:9" s="83" customFormat="1" x14ac:dyDescent="0.35">
      <c r="A10229" s="77"/>
      <c r="B10229" s="64"/>
      <c r="C10229" s="82"/>
      <c r="D10229" s="64"/>
      <c r="E10229" s="96"/>
      <c r="F10229" s="64"/>
      <c r="G10229" s="70"/>
      <c r="H10229" s="84"/>
      <c r="I10229" s="84"/>
    </row>
    <row r="10230" spans="1:9" s="83" customFormat="1" x14ac:dyDescent="0.35">
      <c r="A10230" s="77"/>
      <c r="B10230" s="64"/>
      <c r="C10230" s="82"/>
      <c r="D10230" s="64"/>
      <c r="E10230" s="96"/>
      <c r="F10230" s="64"/>
      <c r="G10230" s="70"/>
      <c r="H10230" s="84"/>
      <c r="I10230" s="84"/>
    </row>
    <row r="10231" spans="1:9" s="83" customFormat="1" x14ac:dyDescent="0.35">
      <c r="A10231" s="77"/>
      <c r="B10231" s="64"/>
      <c r="C10231" s="82"/>
      <c r="D10231" s="64"/>
      <c r="E10231" s="96"/>
      <c r="F10231" s="64"/>
      <c r="G10231" s="70"/>
      <c r="H10231" s="84"/>
      <c r="I10231" s="84"/>
    </row>
    <row r="10232" spans="1:9" s="83" customFormat="1" x14ac:dyDescent="0.35">
      <c r="A10232" s="77"/>
      <c r="B10232" s="64"/>
      <c r="C10232" s="82"/>
      <c r="D10232" s="64"/>
      <c r="E10232" s="96"/>
      <c r="F10232" s="64"/>
      <c r="G10232" s="70"/>
      <c r="H10232" s="84"/>
      <c r="I10232" s="84"/>
    </row>
    <row r="10233" spans="1:9" s="83" customFormat="1" x14ac:dyDescent="0.35">
      <c r="A10233" s="77"/>
      <c r="B10233" s="64"/>
      <c r="C10233" s="82"/>
      <c r="D10233" s="86"/>
      <c r="E10233" s="96"/>
      <c r="F10233" s="64"/>
      <c r="G10233" s="70"/>
      <c r="H10233" s="84"/>
      <c r="I10233" s="84"/>
    </row>
    <row r="10234" spans="1:9" s="83" customFormat="1" x14ac:dyDescent="0.35">
      <c r="A10234" s="77"/>
      <c r="B10234" s="64"/>
      <c r="C10234" s="82"/>
      <c r="D10234" s="64"/>
      <c r="E10234" s="96"/>
      <c r="F10234" s="64"/>
      <c r="G10234" s="70"/>
      <c r="H10234" s="84"/>
      <c r="I10234" s="84"/>
    </row>
    <row r="10235" spans="1:9" s="83" customFormat="1" x14ac:dyDescent="0.35">
      <c r="A10235" s="77"/>
      <c r="B10235" s="64"/>
      <c r="C10235" s="82"/>
      <c r="D10235" s="64"/>
      <c r="E10235" s="96"/>
      <c r="F10235" s="64"/>
      <c r="G10235" s="70"/>
      <c r="H10235" s="84"/>
      <c r="I10235" s="84"/>
    </row>
    <row r="10236" spans="1:9" s="83" customFormat="1" x14ac:dyDescent="0.35">
      <c r="A10236" s="77"/>
      <c r="B10236" s="64"/>
      <c r="C10236" s="82"/>
      <c r="D10236" s="64"/>
      <c r="E10236" s="96"/>
      <c r="F10236" s="64"/>
      <c r="G10236" s="70"/>
      <c r="H10236" s="84"/>
      <c r="I10236" s="84"/>
    </row>
    <row r="10237" spans="1:9" s="83" customFormat="1" x14ac:dyDescent="0.35">
      <c r="A10237" s="77"/>
      <c r="B10237" s="64"/>
      <c r="C10237" s="82"/>
      <c r="D10237" s="64"/>
      <c r="E10237" s="96"/>
      <c r="F10237" s="64"/>
      <c r="G10237" s="70"/>
      <c r="H10237" s="84"/>
      <c r="I10237" s="84"/>
    </row>
    <row r="10238" spans="1:9" x14ac:dyDescent="0.35">
      <c r="C10238" s="82"/>
    </row>
    <row r="10239" spans="1:9" x14ac:dyDescent="0.35">
      <c r="C10239" s="82"/>
    </row>
    <row r="10240" spans="1:9" x14ac:dyDescent="0.35">
      <c r="C10240" s="82"/>
    </row>
    <row r="10241" spans="3:3" x14ac:dyDescent="0.35">
      <c r="C10241" s="82"/>
    </row>
    <row r="10242" spans="3:3" x14ac:dyDescent="0.35">
      <c r="C10242" s="82"/>
    </row>
    <row r="10243" spans="3:3" x14ac:dyDescent="0.35">
      <c r="C10243" s="82"/>
    </row>
    <row r="10244" spans="3:3" x14ac:dyDescent="0.35">
      <c r="C10244" s="82"/>
    </row>
    <row r="10245" spans="3:3" x14ac:dyDescent="0.35">
      <c r="C10245" s="82"/>
    </row>
    <row r="10246" spans="3:3" x14ac:dyDescent="0.35">
      <c r="C10246" s="82"/>
    </row>
    <row r="10247" spans="3:3" x14ac:dyDescent="0.35">
      <c r="C10247" s="82"/>
    </row>
    <row r="10248" spans="3:3" x14ac:dyDescent="0.35">
      <c r="C10248" s="82"/>
    </row>
    <row r="10249" spans="3:3" x14ac:dyDescent="0.35">
      <c r="C10249" s="82"/>
    </row>
    <row r="10250" spans="3:3" x14ac:dyDescent="0.35">
      <c r="C10250" s="82"/>
    </row>
    <row r="10251" spans="3:3" x14ac:dyDescent="0.35">
      <c r="C10251" s="82"/>
    </row>
    <row r="10252" spans="3:3" x14ac:dyDescent="0.35">
      <c r="C10252" s="82"/>
    </row>
    <row r="10253" spans="3:3" x14ac:dyDescent="0.35">
      <c r="C10253" s="82"/>
    </row>
    <row r="10254" spans="3:3" x14ac:dyDescent="0.35">
      <c r="C10254" s="82"/>
    </row>
    <row r="10255" spans="3:3" x14ac:dyDescent="0.35">
      <c r="C10255" s="82"/>
    </row>
    <row r="10256" spans="3:3" x14ac:dyDescent="0.35">
      <c r="C10256" s="82"/>
    </row>
    <row r="10257" spans="1:9" x14ac:dyDescent="0.35">
      <c r="C10257" s="82"/>
    </row>
    <row r="10258" spans="1:9" x14ac:dyDescent="0.35">
      <c r="C10258" s="82"/>
    </row>
    <row r="10259" spans="1:9" x14ac:dyDescent="0.35">
      <c r="C10259" s="82"/>
    </row>
    <row r="10260" spans="1:9" x14ac:dyDescent="0.35">
      <c r="C10260" s="82"/>
    </row>
    <row r="10261" spans="1:9" x14ac:dyDescent="0.35">
      <c r="C10261" s="82"/>
    </row>
    <row r="10262" spans="1:9" x14ac:dyDescent="0.35">
      <c r="C10262" s="82"/>
    </row>
    <row r="10263" spans="1:9" x14ac:dyDescent="0.35">
      <c r="C10263" s="82"/>
    </row>
    <row r="10264" spans="1:9" x14ac:dyDescent="0.35">
      <c r="C10264" s="82"/>
    </row>
    <row r="10265" spans="1:9" x14ac:dyDescent="0.35">
      <c r="C10265" s="82"/>
    </row>
    <row r="10266" spans="1:9" x14ac:dyDescent="0.35">
      <c r="C10266" s="82"/>
    </row>
    <row r="10267" spans="1:9" x14ac:dyDescent="0.35">
      <c r="C10267" s="82"/>
    </row>
    <row r="10268" spans="1:9" x14ac:dyDescent="0.35">
      <c r="C10268" s="82"/>
    </row>
    <row r="10269" spans="1:9" x14ac:dyDescent="0.35">
      <c r="C10269" s="82"/>
    </row>
    <row r="10270" spans="1:9" s="83" customFormat="1" x14ac:dyDescent="0.35">
      <c r="A10270" s="77"/>
      <c r="B10270" s="64"/>
      <c r="C10270" s="82"/>
      <c r="D10270" s="64"/>
      <c r="E10270" s="96"/>
      <c r="F10270" s="64"/>
      <c r="G10270" s="70"/>
      <c r="H10270" s="84"/>
      <c r="I10270" s="84"/>
    </row>
    <row r="10271" spans="1:9" s="83" customFormat="1" x14ac:dyDescent="0.35">
      <c r="A10271" s="77"/>
      <c r="B10271" s="64"/>
      <c r="C10271" s="82"/>
      <c r="D10271" s="64"/>
      <c r="E10271" s="96"/>
      <c r="F10271" s="64"/>
      <c r="G10271" s="70"/>
      <c r="H10271" s="84"/>
      <c r="I10271" s="84"/>
    </row>
    <row r="10272" spans="1:9" s="83" customFormat="1" x14ac:dyDescent="0.35">
      <c r="A10272" s="77"/>
      <c r="B10272" s="64"/>
      <c r="C10272" s="82"/>
      <c r="D10272" s="64"/>
      <c r="E10272" s="96"/>
      <c r="F10272" s="64"/>
      <c r="G10272" s="70"/>
      <c r="H10272" s="84"/>
      <c r="I10272" s="84"/>
    </row>
    <row r="10273" spans="1:9" s="83" customFormat="1" x14ac:dyDescent="0.35">
      <c r="A10273" s="77"/>
      <c r="B10273" s="64"/>
      <c r="C10273" s="82"/>
      <c r="D10273" s="64"/>
      <c r="E10273" s="96"/>
      <c r="F10273" s="64"/>
      <c r="G10273" s="70"/>
      <c r="H10273" s="84"/>
      <c r="I10273" s="84"/>
    </row>
    <row r="10274" spans="1:9" s="83" customFormat="1" x14ac:dyDescent="0.35">
      <c r="A10274" s="77"/>
      <c r="B10274" s="64"/>
      <c r="C10274" s="82"/>
      <c r="D10274" s="64"/>
      <c r="E10274" s="96"/>
      <c r="F10274" s="64"/>
      <c r="G10274" s="70"/>
      <c r="H10274" s="84"/>
      <c r="I10274" s="84"/>
    </row>
    <row r="10275" spans="1:9" s="83" customFormat="1" x14ac:dyDescent="0.35">
      <c r="A10275" s="77"/>
      <c r="B10275" s="64"/>
      <c r="C10275" s="82"/>
      <c r="D10275" s="64"/>
      <c r="E10275" s="96"/>
      <c r="F10275" s="64"/>
      <c r="G10275" s="70"/>
      <c r="H10275" s="84"/>
      <c r="I10275" s="84"/>
    </row>
    <row r="10276" spans="1:9" s="83" customFormat="1" x14ac:dyDescent="0.35">
      <c r="A10276" s="77"/>
      <c r="B10276" s="64"/>
      <c r="C10276" s="82"/>
      <c r="D10276" s="64"/>
      <c r="E10276" s="96"/>
      <c r="F10276" s="64"/>
      <c r="G10276" s="70"/>
      <c r="H10276" s="84"/>
      <c r="I10276" s="84"/>
    </row>
    <row r="10277" spans="1:9" s="83" customFormat="1" x14ac:dyDescent="0.35">
      <c r="A10277" s="77"/>
      <c r="B10277" s="64"/>
      <c r="C10277" s="82"/>
      <c r="D10277" s="64"/>
      <c r="E10277" s="96"/>
      <c r="F10277" s="64"/>
      <c r="G10277" s="70"/>
      <c r="H10277" s="84"/>
      <c r="I10277" s="84"/>
    </row>
    <row r="10278" spans="1:9" s="83" customFormat="1" x14ac:dyDescent="0.35">
      <c r="A10278" s="77"/>
      <c r="B10278" s="64"/>
      <c r="C10278" s="82"/>
      <c r="D10278" s="64"/>
      <c r="E10278" s="96"/>
      <c r="F10278" s="64"/>
      <c r="G10278" s="70"/>
      <c r="H10278" s="84"/>
      <c r="I10278" s="84"/>
    </row>
    <row r="10279" spans="1:9" s="83" customFormat="1" x14ac:dyDescent="0.35">
      <c r="A10279" s="77"/>
      <c r="B10279" s="64"/>
      <c r="C10279" s="82"/>
      <c r="D10279" s="64"/>
      <c r="E10279" s="96"/>
      <c r="F10279" s="64"/>
      <c r="G10279" s="70"/>
      <c r="H10279" s="84"/>
      <c r="I10279" s="84"/>
    </row>
    <row r="10280" spans="1:9" s="83" customFormat="1" x14ac:dyDescent="0.35">
      <c r="A10280" s="77"/>
      <c r="B10280" s="64"/>
      <c r="C10280" s="82"/>
      <c r="D10280" s="64"/>
      <c r="E10280" s="96"/>
      <c r="F10280" s="64"/>
      <c r="G10280" s="70"/>
      <c r="H10280" s="84"/>
      <c r="I10280" s="84"/>
    </row>
    <row r="10281" spans="1:9" s="83" customFormat="1" x14ac:dyDescent="0.35">
      <c r="A10281" s="77"/>
      <c r="B10281" s="64"/>
      <c r="C10281" s="82"/>
      <c r="D10281" s="64"/>
      <c r="E10281" s="96"/>
      <c r="F10281" s="64"/>
      <c r="G10281" s="70"/>
      <c r="H10281" s="84"/>
      <c r="I10281" s="84"/>
    </row>
    <row r="10282" spans="1:9" s="83" customFormat="1" x14ac:dyDescent="0.35">
      <c r="A10282" s="77"/>
      <c r="B10282" s="64"/>
      <c r="C10282" s="82"/>
      <c r="D10282" s="86"/>
      <c r="E10282" s="96"/>
      <c r="F10282" s="64"/>
      <c r="G10282" s="70"/>
      <c r="H10282" s="84"/>
      <c r="I10282" s="84"/>
    </row>
    <row r="10283" spans="1:9" s="83" customFormat="1" x14ac:dyDescent="0.35">
      <c r="A10283" s="77"/>
      <c r="B10283" s="64"/>
      <c r="C10283" s="82"/>
      <c r="D10283" s="64"/>
      <c r="E10283" s="96"/>
      <c r="F10283" s="64"/>
      <c r="G10283" s="70"/>
      <c r="H10283" s="84"/>
      <c r="I10283" s="84"/>
    </row>
    <row r="10284" spans="1:9" s="83" customFormat="1" x14ac:dyDescent="0.35">
      <c r="A10284" s="77"/>
      <c r="B10284" s="64"/>
      <c r="C10284" s="82"/>
      <c r="D10284" s="64"/>
      <c r="E10284" s="96"/>
      <c r="F10284" s="64"/>
      <c r="G10284" s="70"/>
      <c r="H10284" s="84"/>
      <c r="I10284" s="84"/>
    </row>
    <row r="10285" spans="1:9" s="83" customFormat="1" x14ac:dyDescent="0.35">
      <c r="A10285" s="77"/>
      <c r="B10285" s="64"/>
      <c r="C10285" s="82"/>
      <c r="D10285" s="64"/>
      <c r="E10285" s="96"/>
      <c r="F10285" s="64"/>
      <c r="G10285" s="70"/>
      <c r="H10285" s="84"/>
      <c r="I10285" s="84"/>
    </row>
    <row r="10286" spans="1:9" x14ac:dyDescent="0.35">
      <c r="C10286" s="82"/>
    </row>
    <row r="10287" spans="1:9" x14ac:dyDescent="0.35">
      <c r="C10287" s="82"/>
    </row>
    <row r="10288" spans="1:9" x14ac:dyDescent="0.35">
      <c r="C10288" s="82"/>
    </row>
    <row r="10289" spans="3:3" x14ac:dyDescent="0.35">
      <c r="C10289" s="82"/>
    </row>
    <row r="10290" spans="3:3" x14ac:dyDescent="0.35">
      <c r="C10290" s="82"/>
    </row>
    <row r="10291" spans="3:3" x14ac:dyDescent="0.35">
      <c r="C10291" s="82"/>
    </row>
    <row r="10292" spans="3:3" x14ac:dyDescent="0.35">
      <c r="C10292" s="82"/>
    </row>
    <row r="10293" spans="3:3" x14ac:dyDescent="0.35">
      <c r="C10293" s="82"/>
    </row>
    <row r="10294" spans="3:3" x14ac:dyDescent="0.35">
      <c r="C10294" s="82"/>
    </row>
    <row r="10295" spans="3:3" x14ac:dyDescent="0.35">
      <c r="C10295" s="82"/>
    </row>
    <row r="10296" spans="3:3" x14ac:dyDescent="0.35">
      <c r="C10296" s="82"/>
    </row>
    <row r="10297" spans="3:3" x14ac:dyDescent="0.35">
      <c r="C10297" s="82"/>
    </row>
    <row r="10298" spans="3:3" x14ac:dyDescent="0.35">
      <c r="C10298" s="82"/>
    </row>
    <row r="10299" spans="3:3" x14ac:dyDescent="0.35">
      <c r="C10299" s="82"/>
    </row>
    <row r="10300" spans="3:3" x14ac:dyDescent="0.35">
      <c r="C10300" s="82"/>
    </row>
    <row r="10301" spans="3:3" x14ac:dyDescent="0.35">
      <c r="C10301" s="82"/>
    </row>
    <row r="10302" spans="3:3" x14ac:dyDescent="0.35">
      <c r="C10302" s="82"/>
    </row>
    <row r="10303" spans="3:3" x14ac:dyDescent="0.35">
      <c r="C10303" s="82"/>
    </row>
    <row r="10304" spans="3:3" x14ac:dyDescent="0.35">
      <c r="C10304" s="82"/>
    </row>
    <row r="10305" spans="1:9" x14ac:dyDescent="0.35">
      <c r="C10305" s="82"/>
    </row>
    <row r="10306" spans="1:9" x14ac:dyDescent="0.35">
      <c r="C10306" s="82"/>
    </row>
    <row r="10307" spans="1:9" x14ac:dyDescent="0.35">
      <c r="C10307" s="82"/>
    </row>
    <row r="10308" spans="1:9" x14ac:dyDescent="0.35">
      <c r="C10308" s="82"/>
    </row>
    <row r="10309" spans="1:9" x14ac:dyDescent="0.35">
      <c r="C10309" s="82"/>
    </row>
    <row r="10310" spans="1:9" x14ac:dyDescent="0.35">
      <c r="C10310" s="82"/>
    </row>
    <row r="10311" spans="1:9" x14ac:dyDescent="0.35">
      <c r="C10311" s="82"/>
    </row>
    <row r="10312" spans="1:9" x14ac:dyDescent="0.35">
      <c r="C10312" s="82"/>
    </row>
    <row r="10313" spans="1:9" x14ac:dyDescent="0.35">
      <c r="C10313" s="82"/>
    </row>
    <row r="10314" spans="1:9" x14ac:dyDescent="0.35">
      <c r="C10314" s="82"/>
    </row>
    <row r="10315" spans="1:9" x14ac:dyDescent="0.35">
      <c r="C10315" s="82"/>
    </row>
    <row r="10316" spans="1:9" x14ac:dyDescent="0.35">
      <c r="C10316" s="82"/>
    </row>
    <row r="10317" spans="1:9" x14ac:dyDescent="0.35">
      <c r="C10317" s="82"/>
    </row>
    <row r="10318" spans="1:9" s="83" customFormat="1" x14ac:dyDescent="0.35">
      <c r="A10318" s="77"/>
      <c r="B10318" s="64"/>
      <c r="C10318" s="82"/>
      <c r="D10318" s="64"/>
      <c r="E10318" s="96"/>
      <c r="F10318" s="64"/>
      <c r="G10318" s="70"/>
      <c r="H10318" s="84"/>
      <c r="I10318" s="84"/>
    </row>
    <row r="10319" spans="1:9" s="83" customFormat="1" x14ac:dyDescent="0.35">
      <c r="A10319" s="77"/>
      <c r="B10319" s="64"/>
      <c r="C10319" s="82"/>
      <c r="D10319" s="64"/>
      <c r="E10319" s="96"/>
      <c r="F10319" s="64"/>
      <c r="G10319" s="70"/>
      <c r="H10319" s="84"/>
      <c r="I10319" s="84"/>
    </row>
    <row r="10320" spans="1:9" s="83" customFormat="1" x14ac:dyDescent="0.35">
      <c r="A10320" s="77"/>
      <c r="B10320" s="64"/>
      <c r="C10320" s="82"/>
      <c r="D10320" s="64"/>
      <c r="E10320" s="96"/>
      <c r="F10320" s="64"/>
      <c r="G10320" s="70"/>
      <c r="H10320" s="84"/>
      <c r="I10320" s="84"/>
    </row>
    <row r="10321" spans="1:9" s="83" customFormat="1" x14ac:dyDescent="0.35">
      <c r="A10321" s="77"/>
      <c r="B10321" s="64"/>
      <c r="C10321" s="82"/>
      <c r="D10321" s="64"/>
      <c r="E10321" s="96"/>
      <c r="F10321" s="64"/>
      <c r="G10321" s="70"/>
      <c r="H10321" s="84"/>
      <c r="I10321" s="84"/>
    </row>
    <row r="10322" spans="1:9" s="83" customFormat="1" x14ac:dyDescent="0.35">
      <c r="A10322" s="77"/>
      <c r="B10322" s="64"/>
      <c r="C10322" s="82"/>
      <c r="D10322" s="86"/>
      <c r="E10322" s="96"/>
      <c r="F10322" s="64"/>
      <c r="G10322" s="70"/>
      <c r="H10322" s="84"/>
      <c r="I10322" s="84"/>
    </row>
    <row r="10323" spans="1:9" s="83" customFormat="1" x14ac:dyDescent="0.35">
      <c r="A10323" s="77"/>
      <c r="B10323" s="64"/>
      <c r="C10323" s="87"/>
      <c r="D10323" s="86"/>
      <c r="E10323" s="96"/>
      <c r="F10323" s="64"/>
      <c r="G10323" s="70"/>
      <c r="H10323" s="84"/>
      <c r="I10323" s="84"/>
    </row>
    <row r="10324" spans="1:9" s="83" customFormat="1" x14ac:dyDescent="0.35">
      <c r="A10324" s="77"/>
      <c r="B10324" s="64"/>
      <c r="C10324" s="82"/>
      <c r="D10324" s="64"/>
      <c r="E10324" s="96"/>
      <c r="F10324" s="64"/>
      <c r="G10324" s="70"/>
      <c r="H10324" s="84"/>
      <c r="I10324" s="84"/>
    </row>
    <row r="10325" spans="1:9" s="83" customFormat="1" x14ac:dyDescent="0.35">
      <c r="A10325" s="77"/>
      <c r="B10325" s="64"/>
      <c r="C10325" s="82"/>
      <c r="D10325" s="64"/>
      <c r="E10325" s="96"/>
      <c r="F10325" s="64"/>
      <c r="G10325" s="70"/>
      <c r="H10325" s="84"/>
      <c r="I10325" s="84"/>
    </row>
    <row r="10326" spans="1:9" s="83" customFormat="1" x14ac:dyDescent="0.35">
      <c r="A10326" s="77"/>
      <c r="B10326" s="64"/>
      <c r="C10326" s="82"/>
      <c r="D10326" s="64"/>
      <c r="E10326" s="96"/>
      <c r="F10326" s="64"/>
      <c r="G10326" s="70"/>
      <c r="H10326" s="84"/>
      <c r="I10326" s="84"/>
    </row>
    <row r="10327" spans="1:9" s="83" customFormat="1" x14ac:dyDescent="0.35">
      <c r="A10327" s="77"/>
      <c r="B10327" s="64"/>
      <c r="C10327" s="82"/>
      <c r="D10327" s="64"/>
      <c r="E10327" s="96"/>
      <c r="F10327" s="64"/>
      <c r="G10327" s="70"/>
      <c r="H10327" s="84"/>
      <c r="I10327" s="84"/>
    </row>
    <row r="10328" spans="1:9" s="83" customFormat="1" x14ac:dyDescent="0.35">
      <c r="A10328" s="77"/>
      <c r="B10328" s="64"/>
      <c r="C10328" s="82"/>
      <c r="D10328" s="64"/>
      <c r="E10328" s="96"/>
      <c r="F10328" s="64"/>
      <c r="G10328" s="70"/>
      <c r="H10328" s="84"/>
      <c r="I10328" s="84"/>
    </row>
    <row r="10329" spans="1:9" s="83" customFormat="1" x14ac:dyDescent="0.35">
      <c r="A10329" s="77"/>
      <c r="B10329" s="64"/>
      <c r="C10329" s="82"/>
      <c r="D10329" s="64"/>
      <c r="E10329" s="96"/>
      <c r="F10329" s="64"/>
      <c r="G10329" s="70"/>
      <c r="H10329" s="84"/>
      <c r="I10329" s="84"/>
    </row>
    <row r="10330" spans="1:9" s="83" customFormat="1" x14ac:dyDescent="0.35">
      <c r="A10330" s="77"/>
      <c r="B10330" s="64"/>
      <c r="C10330" s="82"/>
      <c r="D10330" s="64"/>
      <c r="E10330" s="96"/>
      <c r="F10330" s="64"/>
      <c r="G10330" s="70"/>
      <c r="H10330" s="84"/>
      <c r="I10330" s="84"/>
    </row>
    <row r="10331" spans="1:9" s="83" customFormat="1" x14ac:dyDescent="0.35">
      <c r="A10331" s="77"/>
      <c r="B10331" s="64"/>
      <c r="C10331" s="82"/>
      <c r="D10331" s="64"/>
      <c r="E10331" s="96"/>
      <c r="F10331" s="64"/>
      <c r="G10331" s="70"/>
      <c r="H10331" s="84"/>
      <c r="I10331" s="84"/>
    </row>
    <row r="10332" spans="1:9" s="83" customFormat="1" x14ac:dyDescent="0.35">
      <c r="A10332" s="77"/>
      <c r="B10332" s="64"/>
      <c r="C10332" s="82"/>
      <c r="D10332" s="64"/>
      <c r="E10332" s="96"/>
      <c r="F10332" s="64"/>
      <c r="G10332" s="70"/>
      <c r="H10332" s="84"/>
      <c r="I10332" s="84"/>
    </row>
    <row r="10333" spans="1:9" s="83" customFormat="1" x14ac:dyDescent="0.35">
      <c r="A10333" s="77"/>
      <c r="B10333" s="64"/>
      <c r="C10333" s="82"/>
      <c r="D10333" s="64"/>
      <c r="E10333" s="96"/>
      <c r="F10333" s="64"/>
      <c r="G10333" s="70"/>
      <c r="H10333" s="84"/>
      <c r="I10333" s="84"/>
    </row>
    <row r="10334" spans="1:9" x14ac:dyDescent="0.35">
      <c r="C10334" s="82"/>
      <c r="D10334" s="86"/>
    </row>
    <row r="10335" spans="1:9" x14ac:dyDescent="0.35">
      <c r="C10335" s="82"/>
    </row>
    <row r="10336" spans="1:9" x14ac:dyDescent="0.35">
      <c r="C10336" s="82"/>
      <c r="D10336" s="86"/>
    </row>
    <row r="10337" spans="1:9" x14ac:dyDescent="0.35">
      <c r="C10337" s="82"/>
    </row>
    <row r="10338" spans="1:9" x14ac:dyDescent="0.35">
      <c r="C10338" s="82"/>
    </row>
    <row r="10339" spans="1:9" x14ac:dyDescent="0.35">
      <c r="C10339" s="82"/>
    </row>
    <row r="10340" spans="1:9" x14ac:dyDescent="0.35">
      <c r="C10340" s="82"/>
    </row>
    <row r="10341" spans="1:9" x14ac:dyDescent="0.35">
      <c r="B10341" s="86"/>
      <c r="C10341" s="88"/>
      <c r="D10341" s="86"/>
      <c r="E10341" s="97"/>
      <c r="F10341" s="86"/>
      <c r="G10341" s="85"/>
      <c r="H10341" s="89"/>
      <c r="I10341" s="89"/>
    </row>
    <row r="10342" spans="1:9" x14ac:dyDescent="0.35">
      <c r="C10342" s="88"/>
    </row>
    <row r="10343" spans="1:9" x14ac:dyDescent="0.35">
      <c r="C10343" s="82"/>
    </row>
    <row r="10344" spans="1:9" x14ac:dyDescent="0.35">
      <c r="C10344" s="82"/>
    </row>
    <row r="10345" spans="1:9" x14ac:dyDescent="0.35">
      <c r="C10345" s="82"/>
    </row>
    <row r="10346" spans="1:9" x14ac:dyDescent="0.35">
      <c r="C10346" s="82"/>
    </row>
    <row r="10347" spans="1:9" x14ac:dyDescent="0.35">
      <c r="C10347" s="82"/>
    </row>
    <row r="10348" spans="1:9" x14ac:dyDescent="0.35">
      <c r="C10348" s="82"/>
    </row>
    <row r="10349" spans="1:9" x14ac:dyDescent="0.35">
      <c r="C10349" s="82"/>
    </row>
    <row r="10350" spans="1:9" s="83" customFormat="1" x14ac:dyDescent="0.35">
      <c r="A10350" s="77"/>
      <c r="B10350" s="64"/>
      <c r="C10350" s="82"/>
      <c r="D10350" s="64"/>
      <c r="E10350" s="96"/>
      <c r="F10350" s="64"/>
      <c r="G10350" s="70"/>
      <c r="H10350" s="84"/>
      <c r="I10350" s="84"/>
    </row>
    <row r="10351" spans="1:9" s="83" customFormat="1" x14ac:dyDescent="0.35">
      <c r="A10351" s="77"/>
      <c r="B10351" s="64"/>
      <c r="C10351" s="82"/>
      <c r="D10351" s="64"/>
      <c r="E10351" s="96"/>
      <c r="F10351" s="64"/>
      <c r="G10351" s="70"/>
      <c r="H10351" s="84"/>
      <c r="I10351" s="84"/>
    </row>
    <row r="10352" spans="1:9" s="83" customFormat="1" x14ac:dyDescent="0.35">
      <c r="A10352" s="77"/>
      <c r="B10352" s="64"/>
      <c r="C10352" s="82"/>
      <c r="D10352" s="64"/>
      <c r="E10352" s="96"/>
      <c r="F10352" s="64"/>
      <c r="G10352" s="70"/>
      <c r="H10352" s="84"/>
      <c r="I10352" s="84"/>
    </row>
    <row r="10353" spans="1:9" s="83" customFormat="1" x14ac:dyDescent="0.35">
      <c r="A10353" s="77"/>
      <c r="B10353" s="64"/>
      <c r="C10353" s="82"/>
      <c r="D10353" s="64"/>
      <c r="E10353" s="96"/>
      <c r="F10353" s="64"/>
      <c r="G10353" s="70"/>
      <c r="H10353" s="84"/>
      <c r="I10353" s="84"/>
    </row>
    <row r="10354" spans="1:9" s="83" customFormat="1" x14ac:dyDescent="0.35">
      <c r="A10354" s="77"/>
      <c r="B10354" s="64"/>
      <c r="C10354" s="82"/>
      <c r="D10354" s="64"/>
      <c r="E10354" s="96"/>
      <c r="F10354" s="64"/>
      <c r="G10354" s="70"/>
      <c r="H10354" s="84"/>
      <c r="I10354" s="84"/>
    </row>
    <row r="10355" spans="1:9" s="83" customFormat="1" x14ac:dyDescent="0.35">
      <c r="A10355" s="77"/>
      <c r="B10355" s="64"/>
      <c r="C10355" s="82"/>
      <c r="D10355" s="64"/>
      <c r="E10355" s="96"/>
      <c r="F10355" s="64"/>
      <c r="G10355" s="70"/>
      <c r="H10355" s="84"/>
      <c r="I10355" s="84"/>
    </row>
    <row r="10356" spans="1:9" s="83" customFormat="1" x14ac:dyDescent="0.35">
      <c r="A10356" s="77"/>
      <c r="B10356" s="64"/>
      <c r="C10356" s="82"/>
      <c r="D10356" s="64"/>
      <c r="E10356" s="96"/>
      <c r="F10356" s="64"/>
      <c r="G10356" s="70"/>
      <c r="H10356" s="84"/>
      <c r="I10356" s="84"/>
    </row>
    <row r="10357" spans="1:9" s="83" customFormat="1" x14ac:dyDescent="0.35">
      <c r="A10357" s="77"/>
      <c r="B10357" s="64"/>
      <c r="C10357" s="82"/>
      <c r="D10357" s="64"/>
      <c r="E10357" s="96"/>
      <c r="F10357" s="64"/>
      <c r="G10357" s="70"/>
      <c r="H10357" s="84"/>
      <c r="I10357" s="84"/>
    </row>
    <row r="10358" spans="1:9" s="83" customFormat="1" x14ac:dyDescent="0.35">
      <c r="A10358" s="77"/>
      <c r="B10358" s="64"/>
      <c r="C10358" s="82"/>
      <c r="D10358" s="64"/>
      <c r="E10358" s="96"/>
      <c r="F10358" s="64"/>
      <c r="G10358" s="70"/>
      <c r="H10358" s="84"/>
      <c r="I10358" s="84"/>
    </row>
    <row r="10359" spans="1:9" s="83" customFormat="1" x14ac:dyDescent="0.35">
      <c r="A10359" s="77"/>
      <c r="B10359" s="64"/>
      <c r="C10359" s="82"/>
      <c r="D10359" s="64"/>
      <c r="E10359" s="96"/>
      <c r="F10359" s="64"/>
      <c r="G10359" s="70"/>
      <c r="H10359" s="84"/>
      <c r="I10359" s="84"/>
    </row>
    <row r="10360" spans="1:9" s="83" customFormat="1" x14ac:dyDescent="0.35">
      <c r="A10360" s="77"/>
      <c r="B10360" s="64"/>
      <c r="C10360" s="82"/>
      <c r="D10360" s="86"/>
      <c r="E10360" s="96"/>
      <c r="F10360" s="64"/>
      <c r="G10360" s="70"/>
      <c r="H10360" s="84"/>
      <c r="I10360" s="84"/>
    </row>
    <row r="10361" spans="1:9" s="83" customFormat="1" x14ac:dyDescent="0.35">
      <c r="A10361" s="77"/>
      <c r="B10361" s="64"/>
      <c r="C10361" s="82"/>
      <c r="D10361" s="64"/>
      <c r="E10361" s="96"/>
      <c r="F10361" s="64"/>
      <c r="G10361" s="70"/>
      <c r="H10361" s="84"/>
      <c r="I10361" s="84"/>
    </row>
    <row r="10362" spans="1:9" s="83" customFormat="1" x14ac:dyDescent="0.35">
      <c r="A10362" s="77"/>
      <c r="B10362" s="64"/>
      <c r="C10362" s="82"/>
      <c r="D10362" s="86"/>
      <c r="E10362" s="96"/>
      <c r="F10362" s="64"/>
      <c r="G10362" s="70"/>
      <c r="H10362" s="84"/>
      <c r="I10362" s="84"/>
    </row>
    <row r="10363" spans="1:9" s="83" customFormat="1" x14ac:dyDescent="0.35">
      <c r="A10363" s="77"/>
      <c r="B10363" s="64"/>
      <c r="C10363" s="82"/>
      <c r="D10363" s="64"/>
      <c r="E10363" s="96"/>
      <c r="F10363" s="64"/>
      <c r="G10363" s="70"/>
      <c r="H10363" s="84"/>
      <c r="I10363" s="84"/>
    </row>
    <row r="10364" spans="1:9" s="83" customFormat="1" x14ac:dyDescent="0.35">
      <c r="A10364" s="77"/>
      <c r="B10364" s="64"/>
      <c r="C10364" s="82"/>
      <c r="D10364" s="86"/>
      <c r="E10364" s="96"/>
      <c r="F10364" s="64"/>
      <c r="G10364" s="70"/>
      <c r="H10364" s="84"/>
      <c r="I10364" s="84"/>
    </row>
    <row r="10365" spans="1:9" s="83" customFormat="1" x14ac:dyDescent="0.35">
      <c r="A10365" s="77"/>
      <c r="B10365" s="64"/>
      <c r="C10365" s="82"/>
      <c r="D10365" s="64"/>
      <c r="E10365" s="96"/>
      <c r="F10365" s="64"/>
      <c r="G10365" s="70"/>
      <c r="H10365" s="84"/>
      <c r="I10365" s="84"/>
    </row>
    <row r="10366" spans="1:9" s="83" customFormat="1" x14ac:dyDescent="0.35">
      <c r="A10366" s="77"/>
      <c r="B10366" s="64"/>
      <c r="C10366" s="82"/>
      <c r="D10366" s="64"/>
      <c r="E10366" s="96"/>
      <c r="F10366" s="64"/>
      <c r="G10366" s="70"/>
      <c r="H10366" s="84"/>
      <c r="I10366" s="84"/>
    </row>
    <row r="10367" spans="1:9" s="83" customFormat="1" x14ac:dyDescent="0.35">
      <c r="A10367" s="77"/>
      <c r="B10367" s="64"/>
      <c r="C10367" s="82"/>
      <c r="D10367" s="64"/>
      <c r="E10367" s="96"/>
      <c r="F10367" s="64"/>
      <c r="G10367" s="70"/>
      <c r="H10367" s="84"/>
      <c r="I10367" s="84"/>
    </row>
    <row r="10368" spans="1:9" s="83" customFormat="1" x14ac:dyDescent="0.35">
      <c r="A10368" s="77"/>
      <c r="B10368" s="64"/>
      <c r="C10368" s="82"/>
      <c r="D10368" s="64"/>
      <c r="E10368" s="96"/>
      <c r="F10368" s="64"/>
      <c r="G10368" s="70"/>
      <c r="H10368" s="84"/>
      <c r="I10368" s="84"/>
    </row>
    <row r="10369" spans="1:9" s="83" customFormat="1" x14ac:dyDescent="0.35">
      <c r="A10369" s="77"/>
      <c r="B10369" s="64"/>
      <c r="C10369" s="82"/>
      <c r="D10369" s="86"/>
      <c r="E10369" s="96"/>
      <c r="F10369" s="64"/>
      <c r="G10369" s="70"/>
      <c r="H10369" s="84"/>
      <c r="I10369" s="84"/>
    </row>
    <row r="10370" spans="1:9" s="83" customFormat="1" x14ac:dyDescent="0.35">
      <c r="A10370" s="77"/>
      <c r="B10370" s="64"/>
      <c r="C10370" s="82"/>
      <c r="D10370" s="64"/>
      <c r="E10370" s="96"/>
      <c r="F10370" s="64"/>
      <c r="G10370" s="70"/>
      <c r="H10370" s="84"/>
      <c r="I10370" s="84"/>
    </row>
    <row r="10371" spans="1:9" s="83" customFormat="1" x14ac:dyDescent="0.35">
      <c r="A10371" s="77"/>
      <c r="B10371" s="64"/>
      <c r="C10371" s="82"/>
      <c r="D10371" s="64"/>
      <c r="E10371" s="96"/>
      <c r="F10371" s="64"/>
      <c r="G10371" s="70"/>
      <c r="H10371" s="84"/>
      <c r="I10371" s="84"/>
    </row>
    <row r="10372" spans="1:9" s="83" customFormat="1" x14ac:dyDescent="0.35">
      <c r="A10372" s="77"/>
      <c r="B10372" s="64"/>
      <c r="C10372" s="82"/>
      <c r="D10372" s="64"/>
      <c r="E10372" s="96"/>
      <c r="F10372" s="64"/>
      <c r="G10372" s="70"/>
      <c r="H10372" s="84"/>
      <c r="I10372" s="84"/>
    </row>
    <row r="10373" spans="1:9" s="83" customFormat="1" x14ac:dyDescent="0.35">
      <c r="A10373" s="77"/>
      <c r="B10373" s="64"/>
      <c r="C10373" s="82"/>
      <c r="D10373" s="64"/>
      <c r="E10373" s="96"/>
      <c r="F10373" s="64"/>
      <c r="G10373" s="70"/>
      <c r="H10373" s="84"/>
      <c r="I10373" s="84"/>
    </row>
    <row r="10374" spans="1:9" s="83" customFormat="1" x14ac:dyDescent="0.35">
      <c r="A10374" s="77"/>
      <c r="B10374" s="64"/>
      <c r="C10374" s="82"/>
      <c r="D10374" s="64"/>
      <c r="E10374" s="96"/>
      <c r="F10374" s="64"/>
      <c r="G10374" s="70"/>
      <c r="H10374" s="84"/>
      <c r="I10374" s="84"/>
    </row>
    <row r="10375" spans="1:9" s="83" customFormat="1" x14ac:dyDescent="0.35">
      <c r="A10375" s="77"/>
      <c r="B10375" s="64"/>
      <c r="C10375" s="82"/>
      <c r="D10375" s="64"/>
      <c r="E10375" s="96"/>
      <c r="F10375" s="64"/>
      <c r="G10375" s="70"/>
      <c r="H10375" s="84"/>
      <c r="I10375" s="84"/>
    </row>
    <row r="10376" spans="1:9" s="83" customFormat="1" x14ac:dyDescent="0.35">
      <c r="A10376" s="77"/>
      <c r="B10376" s="64"/>
      <c r="C10376" s="82"/>
      <c r="D10376" s="64"/>
      <c r="E10376" s="96"/>
      <c r="F10376" s="64"/>
      <c r="G10376" s="70"/>
      <c r="H10376" s="84"/>
      <c r="I10376" s="84"/>
    </row>
    <row r="10377" spans="1:9" s="83" customFormat="1" x14ac:dyDescent="0.35">
      <c r="A10377" s="77"/>
      <c r="B10377" s="64"/>
      <c r="C10377" s="82"/>
      <c r="D10377" s="64"/>
      <c r="E10377" s="96"/>
      <c r="F10377" s="64"/>
      <c r="G10377" s="70"/>
      <c r="H10377" s="84"/>
      <c r="I10377" s="84"/>
    </row>
    <row r="10378" spans="1:9" s="83" customFormat="1" x14ac:dyDescent="0.35">
      <c r="A10378" s="77"/>
      <c r="B10378" s="64"/>
      <c r="C10378" s="82"/>
      <c r="D10378" s="64"/>
      <c r="E10378" s="96"/>
      <c r="F10378" s="64"/>
      <c r="G10378" s="70"/>
      <c r="H10378" s="84"/>
      <c r="I10378" s="84"/>
    </row>
    <row r="10379" spans="1:9" s="83" customFormat="1" x14ac:dyDescent="0.35">
      <c r="A10379" s="77"/>
      <c r="B10379" s="64"/>
      <c r="C10379" s="82"/>
      <c r="D10379" s="64"/>
      <c r="E10379" s="96"/>
      <c r="F10379" s="64"/>
      <c r="G10379" s="70"/>
      <c r="H10379" s="84"/>
      <c r="I10379" s="84"/>
    </row>
    <row r="10380" spans="1:9" s="83" customFormat="1" x14ac:dyDescent="0.35">
      <c r="A10380" s="77"/>
      <c r="B10380" s="64"/>
      <c r="C10380" s="82"/>
      <c r="D10380" s="64"/>
      <c r="E10380" s="96"/>
      <c r="F10380" s="64"/>
      <c r="G10380" s="70"/>
      <c r="H10380" s="84"/>
      <c r="I10380" s="84"/>
    </row>
    <row r="10381" spans="1:9" s="83" customFormat="1" x14ac:dyDescent="0.35">
      <c r="A10381" s="77"/>
      <c r="B10381" s="64"/>
      <c r="C10381" s="82"/>
      <c r="D10381" s="64"/>
      <c r="E10381" s="96"/>
      <c r="F10381" s="64"/>
      <c r="G10381" s="70"/>
      <c r="H10381" s="84"/>
      <c r="I10381" s="84"/>
    </row>
    <row r="10382" spans="1:9" x14ac:dyDescent="0.35">
      <c r="C10382" s="82"/>
    </row>
    <row r="10383" spans="1:9" x14ac:dyDescent="0.35">
      <c r="C10383" s="82"/>
    </row>
    <row r="10384" spans="1:9" x14ac:dyDescent="0.35">
      <c r="C10384" s="82"/>
    </row>
    <row r="10385" spans="3:3" x14ac:dyDescent="0.35">
      <c r="C10385" s="82"/>
    </row>
    <row r="10386" spans="3:3" x14ac:dyDescent="0.35">
      <c r="C10386" s="82"/>
    </row>
    <row r="10387" spans="3:3" x14ac:dyDescent="0.35">
      <c r="C10387" s="82"/>
    </row>
    <row r="10388" spans="3:3" x14ac:dyDescent="0.35">
      <c r="C10388" s="82"/>
    </row>
    <row r="10389" spans="3:3" x14ac:dyDescent="0.35">
      <c r="C10389" s="82"/>
    </row>
    <row r="10390" spans="3:3" x14ac:dyDescent="0.35">
      <c r="C10390" s="82"/>
    </row>
    <row r="10391" spans="3:3" x14ac:dyDescent="0.35">
      <c r="C10391" s="82"/>
    </row>
    <row r="10392" spans="3:3" x14ac:dyDescent="0.35">
      <c r="C10392" s="82"/>
    </row>
    <row r="10393" spans="3:3" x14ac:dyDescent="0.35">
      <c r="C10393" s="82"/>
    </row>
    <row r="10394" spans="3:3" x14ac:dyDescent="0.35">
      <c r="C10394" s="82"/>
    </row>
    <row r="10395" spans="3:3" x14ac:dyDescent="0.35">
      <c r="C10395" s="82"/>
    </row>
    <row r="10396" spans="3:3" x14ac:dyDescent="0.35">
      <c r="C10396" s="82"/>
    </row>
    <row r="10397" spans="3:3" x14ac:dyDescent="0.35">
      <c r="C10397" s="82"/>
    </row>
    <row r="10398" spans="3:3" x14ac:dyDescent="0.35">
      <c r="C10398" s="82"/>
    </row>
    <row r="10399" spans="3:3" x14ac:dyDescent="0.35">
      <c r="C10399" s="82"/>
    </row>
    <row r="10400" spans="3:3" x14ac:dyDescent="0.35">
      <c r="C10400" s="82"/>
    </row>
    <row r="10401" spans="3:3" x14ac:dyDescent="0.35">
      <c r="C10401" s="82"/>
    </row>
    <row r="10402" spans="3:3" x14ac:dyDescent="0.35">
      <c r="C10402" s="82"/>
    </row>
    <row r="10403" spans="3:3" x14ac:dyDescent="0.35">
      <c r="C10403" s="82"/>
    </row>
    <row r="10404" spans="3:3" x14ac:dyDescent="0.35">
      <c r="C10404" s="82"/>
    </row>
    <row r="10405" spans="3:3" x14ac:dyDescent="0.35">
      <c r="C10405" s="82"/>
    </row>
    <row r="10406" spans="3:3" x14ac:dyDescent="0.35">
      <c r="C10406" s="82"/>
    </row>
    <row r="10407" spans="3:3" x14ac:dyDescent="0.35">
      <c r="C10407" s="82"/>
    </row>
    <row r="10408" spans="3:3" x14ac:dyDescent="0.35">
      <c r="C10408" s="82"/>
    </row>
    <row r="10409" spans="3:3" x14ac:dyDescent="0.35">
      <c r="C10409" s="82"/>
    </row>
    <row r="10410" spans="3:3" x14ac:dyDescent="0.35">
      <c r="C10410" s="82"/>
    </row>
    <row r="10411" spans="3:3" x14ac:dyDescent="0.35">
      <c r="C10411" s="82"/>
    </row>
    <row r="10412" spans="3:3" x14ac:dyDescent="0.35">
      <c r="C10412" s="82"/>
    </row>
    <row r="10413" spans="3:3" x14ac:dyDescent="0.35">
      <c r="C10413" s="82"/>
    </row>
    <row r="10414" spans="3:3" x14ac:dyDescent="0.35">
      <c r="C10414" s="82"/>
    </row>
    <row r="10415" spans="3:3" x14ac:dyDescent="0.35">
      <c r="C10415" s="82"/>
    </row>
    <row r="10416" spans="3:3" x14ac:dyDescent="0.35">
      <c r="C10416" s="82"/>
    </row>
    <row r="10417" spans="1:9" x14ac:dyDescent="0.35">
      <c r="C10417" s="82"/>
    </row>
    <row r="10418" spans="1:9" x14ac:dyDescent="0.35">
      <c r="C10418" s="82"/>
    </row>
    <row r="10419" spans="1:9" x14ac:dyDescent="0.35">
      <c r="C10419" s="82"/>
    </row>
    <row r="10420" spans="1:9" x14ac:dyDescent="0.35">
      <c r="C10420" s="82"/>
    </row>
    <row r="10421" spans="1:9" x14ac:dyDescent="0.35">
      <c r="C10421" s="82"/>
    </row>
    <row r="10422" spans="1:9" x14ac:dyDescent="0.35">
      <c r="C10422" s="82"/>
    </row>
    <row r="10423" spans="1:9" x14ac:dyDescent="0.35">
      <c r="C10423" s="82"/>
    </row>
    <row r="10424" spans="1:9" x14ac:dyDescent="0.35">
      <c r="C10424" s="82"/>
    </row>
    <row r="10425" spans="1:9" x14ac:dyDescent="0.35">
      <c r="C10425" s="82"/>
    </row>
    <row r="10426" spans="1:9" x14ac:dyDescent="0.35">
      <c r="C10426" s="82"/>
    </row>
    <row r="10427" spans="1:9" x14ac:dyDescent="0.35">
      <c r="C10427" s="82"/>
    </row>
    <row r="10428" spans="1:9" x14ac:dyDescent="0.35">
      <c r="C10428" s="82"/>
    </row>
    <row r="10429" spans="1:9" x14ac:dyDescent="0.35">
      <c r="C10429" s="82"/>
    </row>
    <row r="10430" spans="1:9" s="83" customFormat="1" x14ac:dyDescent="0.35">
      <c r="A10430" s="77"/>
      <c r="B10430" s="64"/>
      <c r="C10430" s="82"/>
      <c r="D10430" s="64"/>
      <c r="E10430" s="96"/>
      <c r="F10430" s="64"/>
      <c r="G10430" s="70"/>
      <c r="H10430" s="84"/>
      <c r="I10430" s="84"/>
    </row>
    <row r="10431" spans="1:9" s="83" customFormat="1" x14ac:dyDescent="0.35">
      <c r="A10431" s="77"/>
      <c r="B10431" s="64"/>
      <c r="C10431" s="82"/>
      <c r="D10431" s="64"/>
      <c r="E10431" s="96"/>
      <c r="F10431" s="64"/>
      <c r="G10431" s="70"/>
      <c r="H10431" s="84"/>
      <c r="I10431" s="84"/>
    </row>
    <row r="10432" spans="1:9" s="83" customFormat="1" x14ac:dyDescent="0.35">
      <c r="A10432" s="77"/>
      <c r="B10432" s="64"/>
      <c r="C10432" s="82"/>
      <c r="D10432" s="64"/>
      <c r="E10432" s="96"/>
      <c r="F10432" s="64"/>
      <c r="G10432" s="70"/>
      <c r="H10432" s="84"/>
      <c r="I10432" s="84"/>
    </row>
    <row r="10433" spans="1:9" s="83" customFormat="1" x14ac:dyDescent="0.35">
      <c r="A10433" s="77"/>
      <c r="B10433" s="64"/>
      <c r="C10433" s="82"/>
      <c r="D10433" s="86"/>
      <c r="E10433" s="96"/>
      <c r="F10433" s="64"/>
      <c r="G10433" s="70"/>
      <c r="H10433" s="84"/>
      <c r="I10433" s="84"/>
    </row>
    <row r="10434" spans="1:9" s="83" customFormat="1" x14ac:dyDescent="0.35">
      <c r="A10434" s="77"/>
      <c r="B10434" s="64"/>
      <c r="C10434" s="82"/>
      <c r="D10434" s="64"/>
      <c r="E10434" s="96"/>
      <c r="F10434" s="64"/>
      <c r="G10434" s="70"/>
      <c r="H10434" s="84"/>
      <c r="I10434" s="84"/>
    </row>
    <row r="10435" spans="1:9" s="83" customFormat="1" x14ac:dyDescent="0.35">
      <c r="A10435" s="77"/>
      <c r="B10435" s="64"/>
      <c r="C10435" s="82"/>
      <c r="D10435" s="86"/>
      <c r="E10435" s="96"/>
      <c r="F10435" s="64"/>
      <c r="G10435" s="70"/>
      <c r="H10435" s="84"/>
      <c r="I10435" s="84"/>
    </row>
    <row r="10436" spans="1:9" s="83" customFormat="1" x14ac:dyDescent="0.35">
      <c r="A10436" s="77"/>
      <c r="B10436" s="64"/>
      <c r="C10436" s="82"/>
      <c r="D10436" s="64"/>
      <c r="E10436" s="96"/>
      <c r="F10436" s="64"/>
      <c r="G10436" s="70"/>
      <c r="H10436" s="84"/>
      <c r="I10436" s="84"/>
    </row>
    <row r="10437" spans="1:9" s="83" customFormat="1" x14ac:dyDescent="0.35">
      <c r="A10437" s="77"/>
      <c r="B10437" s="64"/>
      <c r="C10437" s="82"/>
      <c r="D10437" s="64"/>
      <c r="E10437" s="96"/>
      <c r="F10437" s="64"/>
      <c r="G10437" s="70"/>
      <c r="H10437" s="84"/>
      <c r="I10437" s="84"/>
    </row>
    <row r="10438" spans="1:9" s="83" customFormat="1" x14ac:dyDescent="0.35">
      <c r="A10438" s="77"/>
      <c r="B10438" s="64"/>
      <c r="C10438" s="82"/>
      <c r="D10438" s="64"/>
      <c r="E10438" s="96"/>
      <c r="F10438" s="64"/>
      <c r="G10438" s="70"/>
      <c r="H10438" s="84"/>
      <c r="I10438" s="84"/>
    </row>
    <row r="10439" spans="1:9" s="83" customFormat="1" x14ac:dyDescent="0.35">
      <c r="A10439" s="77"/>
      <c r="B10439" s="64"/>
      <c r="C10439" s="82"/>
      <c r="D10439" s="64"/>
      <c r="E10439" s="96"/>
      <c r="F10439" s="64"/>
      <c r="G10439" s="70"/>
      <c r="H10439" s="84"/>
      <c r="I10439" s="84"/>
    </row>
    <row r="10440" spans="1:9" s="83" customFormat="1" x14ac:dyDescent="0.35">
      <c r="A10440" s="77"/>
      <c r="B10440" s="64"/>
      <c r="C10440" s="82"/>
      <c r="D10440" s="64"/>
      <c r="E10440" s="96"/>
      <c r="F10440" s="64"/>
      <c r="G10440" s="70"/>
      <c r="H10440" s="84"/>
      <c r="I10440" s="84"/>
    </row>
    <row r="10441" spans="1:9" s="83" customFormat="1" x14ac:dyDescent="0.35">
      <c r="A10441" s="77"/>
      <c r="B10441" s="64"/>
      <c r="C10441" s="82"/>
      <c r="D10441" s="64"/>
      <c r="E10441" s="96"/>
      <c r="F10441" s="64"/>
      <c r="G10441" s="70"/>
      <c r="H10441" s="84"/>
      <c r="I10441" s="84"/>
    </row>
    <row r="10442" spans="1:9" s="83" customFormat="1" x14ac:dyDescent="0.35">
      <c r="A10442" s="77"/>
      <c r="B10442" s="64"/>
      <c r="C10442" s="82"/>
      <c r="D10442" s="64"/>
      <c r="E10442" s="96"/>
      <c r="F10442" s="64"/>
      <c r="G10442" s="70"/>
      <c r="H10442" s="84"/>
      <c r="I10442" s="84"/>
    </row>
    <row r="10443" spans="1:9" s="83" customFormat="1" x14ac:dyDescent="0.35">
      <c r="A10443" s="77"/>
      <c r="B10443" s="64"/>
      <c r="C10443" s="82"/>
      <c r="D10443" s="64"/>
      <c r="E10443" s="96"/>
      <c r="F10443" s="64"/>
      <c r="G10443" s="70"/>
      <c r="H10443" s="84"/>
      <c r="I10443" s="84"/>
    </row>
    <row r="10444" spans="1:9" s="83" customFormat="1" x14ac:dyDescent="0.35">
      <c r="A10444" s="77"/>
      <c r="B10444" s="64"/>
      <c r="C10444" s="82"/>
      <c r="D10444" s="64"/>
      <c r="E10444" s="96"/>
      <c r="F10444" s="64"/>
      <c r="G10444" s="70"/>
      <c r="H10444" s="84"/>
      <c r="I10444" s="84"/>
    </row>
    <row r="10445" spans="1:9" s="83" customFormat="1" x14ac:dyDescent="0.35">
      <c r="A10445" s="77"/>
      <c r="B10445" s="64"/>
      <c r="C10445" s="82"/>
      <c r="D10445" s="64"/>
      <c r="E10445" s="96"/>
      <c r="F10445" s="64"/>
      <c r="G10445" s="70"/>
      <c r="H10445" s="84"/>
      <c r="I10445" s="84"/>
    </row>
    <row r="10446" spans="1:9" x14ac:dyDescent="0.35">
      <c r="C10446" s="82"/>
    </row>
    <row r="10447" spans="1:9" x14ac:dyDescent="0.35">
      <c r="C10447" s="82"/>
    </row>
    <row r="10448" spans="1:9" x14ac:dyDescent="0.35">
      <c r="C10448" s="82"/>
    </row>
    <row r="10449" spans="3:3" x14ac:dyDescent="0.35">
      <c r="C10449" s="82"/>
    </row>
    <row r="10450" spans="3:3" x14ac:dyDescent="0.35">
      <c r="C10450" s="82"/>
    </row>
    <row r="10451" spans="3:3" x14ac:dyDescent="0.35">
      <c r="C10451" s="82"/>
    </row>
    <row r="10452" spans="3:3" x14ac:dyDescent="0.35">
      <c r="C10452" s="82"/>
    </row>
    <row r="10453" spans="3:3" x14ac:dyDescent="0.35">
      <c r="C10453" s="82"/>
    </row>
    <row r="10454" spans="3:3" x14ac:dyDescent="0.35">
      <c r="C10454" s="82"/>
    </row>
    <row r="10455" spans="3:3" x14ac:dyDescent="0.35">
      <c r="C10455" s="82"/>
    </row>
    <row r="10456" spans="3:3" x14ac:dyDescent="0.35">
      <c r="C10456" s="82"/>
    </row>
    <row r="10457" spans="3:3" x14ac:dyDescent="0.35">
      <c r="C10457" s="82"/>
    </row>
    <row r="10458" spans="3:3" x14ac:dyDescent="0.35">
      <c r="C10458" s="82"/>
    </row>
    <row r="10459" spans="3:3" x14ac:dyDescent="0.35">
      <c r="C10459" s="82"/>
    </row>
    <row r="10460" spans="3:3" x14ac:dyDescent="0.35">
      <c r="C10460" s="82"/>
    </row>
    <row r="10461" spans="3:3" x14ac:dyDescent="0.35">
      <c r="C10461" s="82"/>
    </row>
    <row r="10462" spans="3:3" x14ac:dyDescent="0.35">
      <c r="C10462" s="82"/>
    </row>
    <row r="10463" spans="3:3" x14ac:dyDescent="0.35">
      <c r="C10463" s="82"/>
    </row>
    <row r="10464" spans="3:3" x14ac:dyDescent="0.35">
      <c r="C10464" s="82"/>
    </row>
    <row r="10465" spans="3:3" x14ac:dyDescent="0.35">
      <c r="C10465" s="82"/>
    </row>
    <row r="10466" spans="3:3" x14ac:dyDescent="0.35">
      <c r="C10466" s="82"/>
    </row>
    <row r="10467" spans="3:3" x14ac:dyDescent="0.35">
      <c r="C10467" s="82"/>
    </row>
    <row r="10468" spans="3:3" x14ac:dyDescent="0.35">
      <c r="C10468" s="82"/>
    </row>
    <row r="10469" spans="3:3" x14ac:dyDescent="0.35">
      <c r="C10469" s="82"/>
    </row>
    <row r="10470" spans="3:3" x14ac:dyDescent="0.35">
      <c r="C10470" s="82"/>
    </row>
    <row r="10471" spans="3:3" x14ac:dyDescent="0.35">
      <c r="C10471" s="82"/>
    </row>
    <row r="10472" spans="3:3" x14ac:dyDescent="0.35">
      <c r="C10472" s="82"/>
    </row>
    <row r="10473" spans="3:3" x14ac:dyDescent="0.35">
      <c r="C10473" s="82"/>
    </row>
    <row r="10474" spans="3:3" x14ac:dyDescent="0.35">
      <c r="C10474" s="82"/>
    </row>
    <row r="10475" spans="3:3" x14ac:dyDescent="0.35">
      <c r="C10475" s="82"/>
    </row>
    <row r="10476" spans="3:3" x14ac:dyDescent="0.35">
      <c r="C10476" s="82"/>
    </row>
    <row r="10477" spans="3:3" x14ac:dyDescent="0.35">
      <c r="C10477" s="82"/>
    </row>
    <row r="10478" spans="3:3" x14ac:dyDescent="0.35">
      <c r="C10478" s="82"/>
    </row>
    <row r="10479" spans="3:3" x14ac:dyDescent="0.35">
      <c r="C10479" s="82"/>
    </row>
    <row r="10480" spans="3:3" x14ac:dyDescent="0.35">
      <c r="C10480" s="82"/>
    </row>
    <row r="10481" spans="3:3" x14ac:dyDescent="0.35">
      <c r="C10481" s="82"/>
    </row>
    <row r="10482" spans="3:3" x14ac:dyDescent="0.35">
      <c r="C10482" s="82"/>
    </row>
    <row r="10483" spans="3:3" x14ac:dyDescent="0.35">
      <c r="C10483" s="82"/>
    </row>
    <row r="10484" spans="3:3" x14ac:dyDescent="0.35">
      <c r="C10484" s="82"/>
    </row>
    <row r="10485" spans="3:3" x14ac:dyDescent="0.35">
      <c r="C10485" s="82"/>
    </row>
    <row r="10486" spans="3:3" x14ac:dyDescent="0.35">
      <c r="C10486" s="82"/>
    </row>
    <row r="10487" spans="3:3" x14ac:dyDescent="0.35">
      <c r="C10487" s="82"/>
    </row>
    <row r="10488" spans="3:3" x14ac:dyDescent="0.35">
      <c r="C10488" s="82"/>
    </row>
    <row r="10489" spans="3:3" x14ac:dyDescent="0.35">
      <c r="C10489" s="82"/>
    </row>
    <row r="10490" spans="3:3" x14ac:dyDescent="0.35">
      <c r="C10490" s="82"/>
    </row>
    <row r="10491" spans="3:3" x14ac:dyDescent="0.35">
      <c r="C10491" s="82"/>
    </row>
    <row r="10492" spans="3:3" x14ac:dyDescent="0.35">
      <c r="C10492" s="82"/>
    </row>
    <row r="10493" spans="3:3" x14ac:dyDescent="0.35">
      <c r="C10493" s="82"/>
    </row>
    <row r="10494" spans="3:3" x14ac:dyDescent="0.35">
      <c r="C10494" s="82"/>
    </row>
    <row r="10495" spans="3:3" x14ac:dyDescent="0.35">
      <c r="C10495" s="82"/>
    </row>
    <row r="10496" spans="3:3" x14ac:dyDescent="0.35">
      <c r="C10496" s="82"/>
    </row>
    <row r="10497" spans="1:9" x14ac:dyDescent="0.35">
      <c r="C10497" s="82"/>
    </row>
    <row r="10498" spans="1:9" x14ac:dyDescent="0.35">
      <c r="C10498" s="82"/>
    </row>
    <row r="10499" spans="1:9" x14ac:dyDescent="0.35">
      <c r="C10499" s="82"/>
    </row>
    <row r="10500" spans="1:9" x14ac:dyDescent="0.35">
      <c r="C10500" s="82"/>
    </row>
    <row r="10501" spans="1:9" x14ac:dyDescent="0.35">
      <c r="C10501" s="82"/>
    </row>
    <row r="10502" spans="1:9" x14ac:dyDescent="0.35">
      <c r="C10502" s="82"/>
    </row>
    <row r="10503" spans="1:9" x14ac:dyDescent="0.35">
      <c r="C10503" s="82"/>
    </row>
    <row r="10504" spans="1:9" x14ac:dyDescent="0.35">
      <c r="C10504" s="82"/>
    </row>
    <row r="10505" spans="1:9" x14ac:dyDescent="0.35">
      <c r="C10505" s="82"/>
    </row>
    <row r="10506" spans="1:9" x14ac:dyDescent="0.35">
      <c r="C10506" s="82"/>
    </row>
    <row r="10507" spans="1:9" x14ac:dyDescent="0.35">
      <c r="C10507" s="82"/>
    </row>
    <row r="10508" spans="1:9" x14ac:dyDescent="0.35">
      <c r="C10508" s="82"/>
    </row>
    <row r="10509" spans="1:9" x14ac:dyDescent="0.35">
      <c r="C10509" s="82"/>
    </row>
    <row r="10510" spans="1:9" s="83" customFormat="1" x14ac:dyDescent="0.35">
      <c r="A10510" s="77"/>
      <c r="B10510" s="64"/>
      <c r="C10510" s="82"/>
      <c r="D10510" s="64"/>
      <c r="E10510" s="96"/>
      <c r="F10510" s="64"/>
      <c r="G10510" s="70"/>
      <c r="H10510" s="84"/>
      <c r="I10510" s="84"/>
    </row>
    <row r="10511" spans="1:9" s="83" customFormat="1" x14ac:dyDescent="0.35">
      <c r="A10511" s="77"/>
      <c r="B10511" s="64"/>
      <c r="C10511" s="82"/>
      <c r="D10511" s="64"/>
      <c r="E10511" s="96"/>
      <c r="F10511" s="64"/>
      <c r="G10511" s="70"/>
      <c r="H10511" s="84"/>
      <c r="I10511" s="84"/>
    </row>
    <row r="10512" spans="1:9" s="83" customFormat="1" x14ac:dyDescent="0.35">
      <c r="A10512" s="77"/>
      <c r="B10512" s="64"/>
      <c r="C10512" s="82"/>
      <c r="D10512" s="64"/>
      <c r="E10512" s="96"/>
      <c r="F10512" s="64"/>
      <c r="G10512" s="70"/>
      <c r="H10512" s="84"/>
      <c r="I10512" s="84"/>
    </row>
    <row r="10513" spans="1:9" s="83" customFormat="1" x14ac:dyDescent="0.35">
      <c r="A10513" s="77"/>
      <c r="B10513" s="64"/>
      <c r="C10513" s="82"/>
      <c r="D10513" s="64"/>
      <c r="E10513" s="96"/>
      <c r="F10513" s="64"/>
      <c r="G10513" s="70"/>
      <c r="H10513" s="84"/>
      <c r="I10513" s="84"/>
    </row>
    <row r="10514" spans="1:9" s="83" customFormat="1" x14ac:dyDescent="0.35">
      <c r="A10514" s="77"/>
      <c r="B10514" s="64"/>
      <c r="C10514" s="82"/>
      <c r="D10514" s="64"/>
      <c r="E10514" s="96"/>
      <c r="F10514" s="64"/>
      <c r="G10514" s="70"/>
      <c r="H10514" s="84"/>
      <c r="I10514" s="84"/>
    </row>
    <row r="10515" spans="1:9" s="83" customFormat="1" x14ac:dyDescent="0.35">
      <c r="A10515" s="77"/>
      <c r="B10515" s="64"/>
      <c r="C10515" s="82"/>
      <c r="D10515" s="86"/>
      <c r="E10515" s="96"/>
      <c r="F10515" s="64"/>
      <c r="G10515" s="70"/>
      <c r="H10515" s="84"/>
      <c r="I10515" s="84"/>
    </row>
    <row r="10516" spans="1:9" s="83" customFormat="1" x14ac:dyDescent="0.35">
      <c r="A10516" s="77"/>
      <c r="B10516" s="64"/>
      <c r="C10516" s="82"/>
      <c r="D10516" s="64"/>
      <c r="E10516" s="96"/>
      <c r="F10516" s="64"/>
      <c r="G10516" s="70"/>
      <c r="H10516" s="84"/>
      <c r="I10516" s="84"/>
    </row>
    <row r="10517" spans="1:9" s="83" customFormat="1" x14ac:dyDescent="0.35">
      <c r="A10517" s="77"/>
      <c r="B10517" s="64"/>
      <c r="C10517" s="82"/>
      <c r="D10517" s="64"/>
      <c r="E10517" s="96"/>
      <c r="F10517" s="64"/>
      <c r="G10517" s="70"/>
      <c r="H10517" s="84"/>
      <c r="I10517" s="84"/>
    </row>
    <row r="10518" spans="1:9" s="83" customFormat="1" x14ac:dyDescent="0.35">
      <c r="A10518" s="77"/>
      <c r="B10518" s="64"/>
      <c r="C10518" s="82"/>
      <c r="D10518" s="64"/>
      <c r="E10518" s="96"/>
      <c r="F10518" s="64"/>
      <c r="G10518" s="70"/>
      <c r="H10518" s="84"/>
      <c r="I10518" s="84"/>
    </row>
    <row r="10519" spans="1:9" s="83" customFormat="1" x14ac:dyDescent="0.35">
      <c r="A10519" s="77"/>
      <c r="B10519" s="64"/>
      <c r="C10519" s="82"/>
      <c r="D10519" s="64"/>
      <c r="E10519" s="96"/>
      <c r="F10519" s="64"/>
      <c r="G10519" s="70"/>
      <c r="H10519" s="84"/>
      <c r="I10519" s="84"/>
    </row>
    <row r="10520" spans="1:9" s="83" customFormat="1" x14ac:dyDescent="0.35">
      <c r="A10520" s="77"/>
      <c r="B10520" s="64"/>
      <c r="C10520" s="82"/>
      <c r="D10520" s="64"/>
      <c r="E10520" s="96"/>
      <c r="F10520" s="64"/>
      <c r="G10520" s="70"/>
      <c r="H10520" s="84"/>
      <c r="I10520" s="84"/>
    </row>
    <row r="10521" spans="1:9" s="83" customFormat="1" x14ac:dyDescent="0.35">
      <c r="A10521" s="77"/>
      <c r="B10521" s="64"/>
      <c r="C10521" s="82"/>
      <c r="D10521" s="64"/>
      <c r="E10521" s="96"/>
      <c r="F10521" s="64"/>
      <c r="G10521" s="70"/>
      <c r="H10521" s="84"/>
      <c r="I10521" s="84"/>
    </row>
    <row r="10522" spans="1:9" s="83" customFormat="1" x14ac:dyDescent="0.35">
      <c r="A10522" s="77"/>
      <c r="B10522" s="64"/>
      <c r="C10522" s="82"/>
      <c r="D10522" s="64"/>
      <c r="E10522" s="96"/>
      <c r="F10522" s="64"/>
      <c r="G10522" s="70"/>
      <c r="H10522" s="84"/>
      <c r="I10522" s="84"/>
    </row>
    <row r="10523" spans="1:9" s="83" customFormat="1" x14ac:dyDescent="0.35">
      <c r="A10523" s="77"/>
      <c r="B10523" s="64"/>
      <c r="C10523" s="82"/>
      <c r="D10523" s="64"/>
      <c r="E10523" s="96"/>
      <c r="F10523" s="64"/>
      <c r="G10523" s="70"/>
      <c r="H10523" s="84"/>
      <c r="I10523" s="84"/>
    </row>
    <row r="10524" spans="1:9" s="83" customFormat="1" x14ac:dyDescent="0.35">
      <c r="A10524" s="77"/>
      <c r="B10524" s="64"/>
      <c r="C10524" s="82"/>
      <c r="D10524" s="64"/>
      <c r="E10524" s="96"/>
      <c r="F10524" s="64"/>
      <c r="G10524" s="70"/>
      <c r="H10524" s="84"/>
      <c r="I10524" s="84"/>
    </row>
    <row r="10525" spans="1:9" s="83" customFormat="1" x14ac:dyDescent="0.35">
      <c r="A10525" s="77"/>
      <c r="B10525" s="64"/>
      <c r="C10525" s="82"/>
      <c r="D10525" s="64"/>
      <c r="E10525" s="96"/>
      <c r="F10525" s="64"/>
      <c r="G10525" s="70"/>
      <c r="H10525" s="84"/>
      <c r="I10525" s="84"/>
    </row>
    <row r="10526" spans="1:9" s="83" customFormat="1" x14ac:dyDescent="0.35">
      <c r="A10526" s="77"/>
      <c r="B10526" s="64"/>
      <c r="C10526" s="82"/>
      <c r="D10526" s="64"/>
      <c r="E10526" s="96"/>
      <c r="F10526" s="64"/>
      <c r="G10526" s="70"/>
      <c r="H10526" s="84"/>
      <c r="I10526" s="84"/>
    </row>
    <row r="10527" spans="1:9" s="83" customFormat="1" x14ac:dyDescent="0.35">
      <c r="A10527" s="77"/>
      <c r="B10527" s="64"/>
      <c r="C10527" s="82"/>
      <c r="D10527" s="64"/>
      <c r="E10527" s="96"/>
      <c r="F10527" s="64"/>
      <c r="G10527" s="70"/>
      <c r="H10527" s="84"/>
      <c r="I10527" s="84"/>
    </row>
    <row r="10528" spans="1:9" s="83" customFormat="1" x14ac:dyDescent="0.35">
      <c r="A10528" s="77"/>
      <c r="B10528" s="64"/>
      <c r="C10528" s="82"/>
      <c r="D10528" s="64"/>
      <c r="E10528" s="96"/>
      <c r="F10528" s="64"/>
      <c r="G10528" s="70"/>
      <c r="H10528" s="84"/>
      <c r="I10528" s="84"/>
    </row>
    <row r="10529" spans="1:9" s="83" customFormat="1" x14ac:dyDescent="0.35">
      <c r="A10529" s="77"/>
      <c r="B10529" s="64"/>
      <c r="C10529" s="82"/>
      <c r="D10529" s="86"/>
      <c r="E10529" s="96"/>
      <c r="F10529" s="64"/>
      <c r="G10529" s="70"/>
      <c r="H10529" s="84"/>
      <c r="I10529" s="84"/>
    </row>
    <row r="10530" spans="1:9" s="83" customFormat="1" x14ac:dyDescent="0.35">
      <c r="A10530" s="77"/>
      <c r="B10530" s="64"/>
      <c r="C10530" s="82"/>
      <c r="D10530" s="64"/>
      <c r="E10530" s="96"/>
      <c r="F10530" s="64"/>
      <c r="G10530" s="70"/>
      <c r="H10530" s="84"/>
      <c r="I10530" s="84"/>
    </row>
    <row r="10531" spans="1:9" s="83" customFormat="1" x14ac:dyDescent="0.35">
      <c r="A10531" s="77"/>
      <c r="B10531" s="64"/>
      <c r="C10531" s="82"/>
      <c r="D10531" s="64"/>
      <c r="E10531" s="96"/>
      <c r="F10531" s="64"/>
      <c r="G10531" s="70"/>
      <c r="H10531" s="84"/>
      <c r="I10531" s="84"/>
    </row>
    <row r="10532" spans="1:9" s="83" customFormat="1" x14ac:dyDescent="0.35">
      <c r="A10532" s="77"/>
      <c r="B10532" s="64"/>
      <c r="C10532" s="82"/>
      <c r="D10532" s="64"/>
      <c r="E10532" s="96"/>
      <c r="F10532" s="64"/>
      <c r="G10532" s="70"/>
      <c r="H10532" s="84"/>
      <c r="I10532" s="84"/>
    </row>
    <row r="10533" spans="1:9" s="83" customFormat="1" x14ac:dyDescent="0.35">
      <c r="A10533" s="77"/>
      <c r="B10533" s="64"/>
      <c r="C10533" s="82"/>
      <c r="D10533" s="64"/>
      <c r="E10533" s="96"/>
      <c r="F10533" s="64"/>
      <c r="G10533" s="70"/>
      <c r="H10533" s="84"/>
      <c r="I10533" s="84"/>
    </row>
    <row r="10534" spans="1:9" s="83" customFormat="1" x14ac:dyDescent="0.35">
      <c r="A10534" s="77"/>
      <c r="B10534" s="64"/>
      <c r="C10534" s="82"/>
      <c r="D10534" s="64"/>
      <c r="E10534" s="96"/>
      <c r="F10534" s="64"/>
      <c r="G10534" s="70"/>
      <c r="H10534" s="84"/>
      <c r="I10534" s="84"/>
    </row>
    <row r="10535" spans="1:9" s="83" customFormat="1" x14ac:dyDescent="0.35">
      <c r="A10535" s="77"/>
      <c r="B10535" s="64"/>
      <c r="C10535" s="82"/>
      <c r="D10535" s="64"/>
      <c r="E10535" s="96"/>
      <c r="F10535" s="64"/>
      <c r="G10535" s="70"/>
      <c r="H10535" s="84"/>
      <c r="I10535" s="84"/>
    </row>
    <row r="10536" spans="1:9" s="83" customFormat="1" x14ac:dyDescent="0.35">
      <c r="A10536" s="77"/>
      <c r="B10536" s="64"/>
      <c r="C10536" s="82"/>
      <c r="D10536" s="64"/>
      <c r="E10536" s="96"/>
      <c r="F10536" s="64"/>
      <c r="G10536" s="70"/>
      <c r="H10536" s="84"/>
      <c r="I10536" s="84"/>
    </row>
    <row r="10537" spans="1:9" s="83" customFormat="1" x14ac:dyDescent="0.35">
      <c r="A10537" s="77"/>
      <c r="B10537" s="64"/>
      <c r="C10537" s="82"/>
      <c r="D10537" s="64"/>
      <c r="E10537" s="96"/>
      <c r="F10537" s="64"/>
      <c r="G10537" s="70"/>
      <c r="H10537" s="84"/>
      <c r="I10537" s="84"/>
    </row>
    <row r="10538" spans="1:9" s="83" customFormat="1" x14ac:dyDescent="0.35">
      <c r="A10538" s="77"/>
      <c r="B10538" s="64"/>
      <c r="C10538" s="82"/>
      <c r="D10538" s="86"/>
      <c r="E10538" s="96"/>
      <c r="F10538" s="64"/>
      <c r="G10538" s="70"/>
      <c r="H10538" s="84"/>
      <c r="I10538" s="84"/>
    </row>
    <row r="10539" spans="1:9" s="83" customFormat="1" x14ac:dyDescent="0.35">
      <c r="A10539" s="77"/>
      <c r="B10539" s="64"/>
      <c r="C10539" s="82"/>
      <c r="D10539" s="64"/>
      <c r="E10539" s="96"/>
      <c r="F10539" s="64"/>
      <c r="G10539" s="70"/>
      <c r="H10539" s="84"/>
      <c r="I10539" s="84"/>
    </row>
    <row r="10540" spans="1:9" s="83" customFormat="1" x14ac:dyDescent="0.35">
      <c r="A10540" s="77"/>
      <c r="B10540" s="64"/>
      <c r="C10540" s="82"/>
      <c r="D10540" s="64"/>
      <c r="E10540" s="96"/>
      <c r="F10540" s="64"/>
      <c r="G10540" s="70"/>
      <c r="H10540" s="84"/>
      <c r="I10540" s="84"/>
    </row>
    <row r="10541" spans="1:9" s="83" customFormat="1" x14ac:dyDescent="0.35">
      <c r="A10541" s="77"/>
      <c r="B10541" s="64"/>
      <c r="C10541" s="82"/>
      <c r="D10541" s="64"/>
      <c r="E10541" s="96"/>
      <c r="F10541" s="64"/>
      <c r="G10541" s="70"/>
      <c r="H10541" s="84"/>
      <c r="I10541" s="84"/>
    </row>
    <row r="10542" spans="1:9" x14ac:dyDescent="0.35">
      <c r="C10542" s="82"/>
    </row>
    <row r="10543" spans="1:9" x14ac:dyDescent="0.35">
      <c r="C10543" s="82"/>
    </row>
    <row r="10544" spans="1:9" x14ac:dyDescent="0.35">
      <c r="C10544" s="82"/>
    </row>
    <row r="10545" spans="3:3" x14ac:dyDescent="0.35">
      <c r="C10545" s="82"/>
    </row>
    <row r="10546" spans="3:3" x14ac:dyDescent="0.35">
      <c r="C10546" s="82"/>
    </row>
    <row r="10547" spans="3:3" x14ac:dyDescent="0.35">
      <c r="C10547" s="82"/>
    </row>
    <row r="10548" spans="3:3" x14ac:dyDescent="0.35">
      <c r="C10548" s="82"/>
    </row>
    <row r="10549" spans="3:3" x14ac:dyDescent="0.35">
      <c r="C10549" s="82"/>
    </row>
    <row r="10550" spans="3:3" x14ac:dyDescent="0.35">
      <c r="C10550" s="82"/>
    </row>
    <row r="10551" spans="3:3" x14ac:dyDescent="0.35">
      <c r="C10551" s="82"/>
    </row>
    <row r="10552" spans="3:3" x14ac:dyDescent="0.35">
      <c r="C10552" s="82"/>
    </row>
    <row r="10553" spans="3:3" x14ac:dyDescent="0.35">
      <c r="C10553" s="82"/>
    </row>
    <row r="10554" spans="3:3" x14ac:dyDescent="0.35">
      <c r="C10554" s="82"/>
    </row>
    <row r="10555" spans="3:3" x14ac:dyDescent="0.35">
      <c r="C10555" s="82"/>
    </row>
    <row r="10556" spans="3:3" x14ac:dyDescent="0.35">
      <c r="C10556" s="82"/>
    </row>
    <row r="10557" spans="3:3" x14ac:dyDescent="0.35">
      <c r="C10557" s="82"/>
    </row>
    <row r="10558" spans="3:3" x14ac:dyDescent="0.35">
      <c r="C10558" s="82"/>
    </row>
    <row r="10559" spans="3:3" x14ac:dyDescent="0.35">
      <c r="C10559" s="82"/>
    </row>
    <row r="10560" spans="3:3" x14ac:dyDescent="0.35">
      <c r="C10560" s="82"/>
    </row>
    <row r="10561" spans="1:9" x14ac:dyDescent="0.35">
      <c r="C10561" s="82"/>
    </row>
    <row r="10562" spans="1:9" x14ac:dyDescent="0.35">
      <c r="C10562" s="82"/>
    </row>
    <row r="10563" spans="1:9" x14ac:dyDescent="0.35">
      <c r="C10563" s="82"/>
    </row>
    <row r="10564" spans="1:9" x14ac:dyDescent="0.35">
      <c r="C10564" s="82"/>
    </row>
    <row r="10565" spans="1:9" x14ac:dyDescent="0.35">
      <c r="C10565" s="82"/>
    </row>
    <row r="10566" spans="1:9" x14ac:dyDescent="0.35">
      <c r="C10566" s="82"/>
    </row>
    <row r="10567" spans="1:9" x14ac:dyDescent="0.35">
      <c r="C10567" s="82"/>
    </row>
    <row r="10568" spans="1:9" x14ac:dyDescent="0.35">
      <c r="C10568" s="82"/>
    </row>
    <row r="10569" spans="1:9" x14ac:dyDescent="0.35">
      <c r="C10569" s="82"/>
    </row>
    <row r="10570" spans="1:9" x14ac:dyDescent="0.35">
      <c r="C10570" s="82"/>
    </row>
    <row r="10571" spans="1:9" x14ac:dyDescent="0.35">
      <c r="C10571" s="82"/>
    </row>
    <row r="10572" spans="1:9" x14ac:dyDescent="0.35">
      <c r="C10572" s="82"/>
    </row>
    <row r="10573" spans="1:9" x14ac:dyDescent="0.35">
      <c r="C10573" s="82"/>
    </row>
    <row r="10574" spans="1:9" s="83" customFormat="1" x14ac:dyDescent="0.35">
      <c r="A10574" s="77"/>
      <c r="B10574" s="64"/>
      <c r="C10574" s="82"/>
      <c r="D10574" s="64"/>
      <c r="E10574" s="96"/>
      <c r="F10574" s="64"/>
      <c r="G10574" s="70"/>
      <c r="H10574" s="84"/>
      <c r="I10574" s="84"/>
    </row>
    <row r="10575" spans="1:9" s="83" customFormat="1" x14ac:dyDescent="0.35">
      <c r="A10575" s="77"/>
      <c r="B10575" s="64"/>
      <c r="C10575" s="82"/>
      <c r="D10575" s="64"/>
      <c r="E10575" s="96"/>
      <c r="F10575" s="64"/>
      <c r="G10575" s="70"/>
      <c r="H10575" s="84"/>
      <c r="I10575" s="84"/>
    </row>
    <row r="10576" spans="1:9" s="83" customFormat="1" x14ac:dyDescent="0.35">
      <c r="A10576" s="77"/>
      <c r="B10576" s="64"/>
      <c r="C10576" s="82"/>
      <c r="D10576" s="64"/>
      <c r="E10576" s="96"/>
      <c r="F10576" s="64"/>
      <c r="G10576" s="70"/>
      <c r="H10576" s="84"/>
      <c r="I10576" s="84"/>
    </row>
    <row r="10577" spans="1:9" s="83" customFormat="1" x14ac:dyDescent="0.35">
      <c r="A10577" s="77"/>
      <c r="B10577" s="64"/>
      <c r="C10577" s="82"/>
      <c r="D10577" s="64"/>
      <c r="E10577" s="96"/>
      <c r="F10577" s="64"/>
      <c r="G10577" s="70"/>
      <c r="H10577" s="84"/>
      <c r="I10577" s="84"/>
    </row>
    <row r="10578" spans="1:9" s="83" customFormat="1" x14ac:dyDescent="0.35">
      <c r="A10578" s="77"/>
      <c r="B10578" s="64"/>
      <c r="C10578" s="82"/>
      <c r="D10578" s="64"/>
      <c r="E10578" s="96"/>
      <c r="F10578" s="64"/>
      <c r="G10578" s="70"/>
      <c r="H10578" s="84"/>
      <c r="I10578" s="84"/>
    </row>
    <row r="10579" spans="1:9" s="83" customFormat="1" x14ac:dyDescent="0.35">
      <c r="A10579" s="77"/>
      <c r="B10579" s="64"/>
      <c r="C10579" s="82"/>
      <c r="D10579" s="86"/>
      <c r="E10579" s="96"/>
      <c r="F10579" s="64"/>
      <c r="G10579" s="70"/>
      <c r="H10579" s="84"/>
      <c r="I10579" s="84"/>
    </row>
    <row r="10580" spans="1:9" s="83" customFormat="1" x14ac:dyDescent="0.35">
      <c r="A10580" s="77"/>
      <c r="B10580" s="64"/>
      <c r="C10580" s="82"/>
      <c r="D10580" s="64"/>
      <c r="E10580" s="96"/>
      <c r="F10580" s="64"/>
      <c r="G10580" s="70"/>
      <c r="H10580" s="84"/>
      <c r="I10580" s="84"/>
    </row>
    <row r="10581" spans="1:9" s="83" customFormat="1" x14ac:dyDescent="0.35">
      <c r="A10581" s="77"/>
      <c r="B10581" s="64"/>
      <c r="C10581" s="82"/>
      <c r="D10581" s="64"/>
      <c r="E10581" s="96"/>
      <c r="F10581" s="64"/>
      <c r="G10581" s="70"/>
      <c r="H10581" s="84"/>
      <c r="I10581" s="84"/>
    </row>
    <row r="10582" spans="1:9" s="83" customFormat="1" x14ac:dyDescent="0.35">
      <c r="A10582" s="77"/>
      <c r="B10582" s="64"/>
      <c r="C10582" s="82"/>
      <c r="D10582" s="64"/>
      <c r="E10582" s="96"/>
      <c r="F10582" s="64"/>
      <c r="G10582" s="70"/>
      <c r="H10582" s="84"/>
      <c r="I10582" s="84"/>
    </row>
    <row r="10583" spans="1:9" s="83" customFormat="1" x14ac:dyDescent="0.35">
      <c r="A10583" s="77"/>
      <c r="B10583" s="64"/>
      <c r="C10583" s="82"/>
      <c r="D10583" s="64"/>
      <c r="E10583" s="96"/>
      <c r="F10583" s="64"/>
      <c r="G10583" s="70"/>
      <c r="H10583" s="84"/>
      <c r="I10583" s="84"/>
    </row>
    <row r="10584" spans="1:9" s="83" customFormat="1" x14ac:dyDescent="0.35">
      <c r="A10584" s="77"/>
      <c r="B10584" s="64"/>
      <c r="C10584" s="82"/>
      <c r="D10584" s="64"/>
      <c r="E10584" s="96"/>
      <c r="F10584" s="64"/>
      <c r="G10584" s="70"/>
      <c r="H10584" s="84"/>
      <c r="I10584" s="84"/>
    </row>
    <row r="10585" spans="1:9" s="83" customFormat="1" x14ac:dyDescent="0.35">
      <c r="A10585" s="77"/>
      <c r="B10585" s="64"/>
      <c r="C10585" s="82"/>
      <c r="D10585" s="64"/>
      <c r="E10585" s="96"/>
      <c r="F10585" s="64"/>
      <c r="G10585" s="70"/>
      <c r="H10585" s="84"/>
      <c r="I10585" s="84"/>
    </row>
    <row r="10586" spans="1:9" s="83" customFormat="1" x14ac:dyDescent="0.35">
      <c r="A10586" s="77"/>
      <c r="B10586" s="64"/>
      <c r="C10586" s="82"/>
      <c r="D10586" s="64"/>
      <c r="E10586" s="96"/>
      <c r="F10586" s="64"/>
      <c r="G10586" s="70"/>
      <c r="H10586" s="84"/>
      <c r="I10586" s="84"/>
    </row>
    <row r="10587" spans="1:9" s="83" customFormat="1" x14ac:dyDescent="0.35">
      <c r="A10587" s="77"/>
      <c r="B10587" s="64"/>
      <c r="C10587" s="82"/>
      <c r="D10587" s="64"/>
      <c r="E10587" s="96"/>
      <c r="F10587" s="64"/>
      <c r="G10587" s="70"/>
      <c r="H10587" s="84"/>
      <c r="I10587" s="84"/>
    </row>
    <row r="10588" spans="1:9" s="83" customFormat="1" x14ac:dyDescent="0.35">
      <c r="A10588" s="77"/>
      <c r="B10588" s="64"/>
      <c r="C10588" s="82"/>
      <c r="D10588" s="86"/>
      <c r="E10588" s="96"/>
      <c r="F10588" s="64"/>
      <c r="G10588" s="70"/>
      <c r="H10588" s="84"/>
      <c r="I10588" s="84"/>
    </row>
    <row r="10589" spans="1:9" s="83" customFormat="1" x14ac:dyDescent="0.35">
      <c r="A10589" s="77"/>
      <c r="B10589" s="64"/>
      <c r="C10589" s="82"/>
      <c r="D10589" s="64"/>
      <c r="E10589" s="96"/>
      <c r="F10589" s="64"/>
      <c r="G10589" s="70"/>
      <c r="H10589" s="84"/>
      <c r="I10589" s="84"/>
    </row>
    <row r="10590" spans="1:9" x14ac:dyDescent="0.35">
      <c r="C10590" s="82"/>
    </row>
    <row r="10591" spans="1:9" x14ac:dyDescent="0.35">
      <c r="C10591" s="82"/>
    </row>
    <row r="10592" spans="1:9" x14ac:dyDescent="0.35">
      <c r="C10592" s="82"/>
    </row>
    <row r="10593" spans="3:3" x14ac:dyDescent="0.35">
      <c r="C10593" s="82"/>
    </row>
    <row r="10594" spans="3:3" x14ac:dyDescent="0.35">
      <c r="C10594" s="82"/>
    </row>
    <row r="10595" spans="3:3" x14ac:dyDescent="0.35">
      <c r="C10595" s="82"/>
    </row>
    <row r="10596" spans="3:3" x14ac:dyDescent="0.35">
      <c r="C10596" s="82"/>
    </row>
    <row r="10597" spans="3:3" x14ac:dyDescent="0.35">
      <c r="C10597" s="82"/>
    </row>
    <row r="10598" spans="3:3" x14ac:dyDescent="0.35">
      <c r="C10598" s="82"/>
    </row>
    <row r="10599" spans="3:3" x14ac:dyDescent="0.35">
      <c r="C10599" s="82"/>
    </row>
    <row r="10600" spans="3:3" x14ac:dyDescent="0.35">
      <c r="C10600" s="82"/>
    </row>
    <row r="10601" spans="3:3" x14ac:dyDescent="0.35">
      <c r="C10601" s="82"/>
    </row>
    <row r="10602" spans="3:3" x14ac:dyDescent="0.35">
      <c r="C10602" s="82"/>
    </row>
    <row r="10603" spans="3:3" x14ac:dyDescent="0.35">
      <c r="C10603" s="82"/>
    </row>
    <row r="10604" spans="3:3" x14ac:dyDescent="0.35">
      <c r="C10604" s="82"/>
    </row>
    <row r="10605" spans="3:3" x14ac:dyDescent="0.35">
      <c r="C10605" s="82"/>
    </row>
    <row r="10606" spans="3:3" x14ac:dyDescent="0.35">
      <c r="C10606" s="82"/>
    </row>
    <row r="10607" spans="3:3" x14ac:dyDescent="0.35">
      <c r="C10607" s="82"/>
    </row>
    <row r="10608" spans="3:3" x14ac:dyDescent="0.35">
      <c r="C10608" s="82"/>
    </row>
    <row r="10609" spans="3:3" x14ac:dyDescent="0.35">
      <c r="C10609" s="82"/>
    </row>
    <row r="10610" spans="3:3" x14ac:dyDescent="0.35">
      <c r="C10610" s="82"/>
    </row>
    <row r="10611" spans="3:3" x14ac:dyDescent="0.35">
      <c r="C10611" s="82"/>
    </row>
    <row r="10612" spans="3:3" x14ac:dyDescent="0.35">
      <c r="C10612" s="82"/>
    </row>
    <row r="10613" spans="3:3" x14ac:dyDescent="0.35">
      <c r="C10613" s="82"/>
    </row>
    <row r="10614" spans="3:3" x14ac:dyDescent="0.35">
      <c r="C10614" s="82"/>
    </row>
    <row r="10615" spans="3:3" x14ac:dyDescent="0.35">
      <c r="C10615" s="82"/>
    </row>
    <row r="10616" spans="3:3" x14ac:dyDescent="0.35">
      <c r="C10616" s="82"/>
    </row>
    <row r="10617" spans="3:3" x14ac:dyDescent="0.35">
      <c r="C10617" s="82"/>
    </row>
    <row r="10618" spans="3:3" x14ac:dyDescent="0.35">
      <c r="C10618" s="82"/>
    </row>
    <row r="10619" spans="3:3" x14ac:dyDescent="0.35">
      <c r="C10619" s="82"/>
    </row>
    <row r="10620" spans="3:3" x14ac:dyDescent="0.35">
      <c r="C10620" s="82"/>
    </row>
    <row r="10621" spans="3:3" x14ac:dyDescent="0.35">
      <c r="C10621" s="82"/>
    </row>
    <row r="10622" spans="3:3" x14ac:dyDescent="0.35">
      <c r="C10622" s="82"/>
    </row>
    <row r="10623" spans="3:3" x14ac:dyDescent="0.35">
      <c r="C10623" s="82"/>
    </row>
    <row r="10624" spans="3:3" x14ac:dyDescent="0.35">
      <c r="C10624" s="82"/>
    </row>
    <row r="10625" spans="3:3" x14ac:dyDescent="0.35">
      <c r="C10625" s="82"/>
    </row>
    <row r="10626" spans="3:3" x14ac:dyDescent="0.35">
      <c r="C10626" s="82"/>
    </row>
    <row r="10627" spans="3:3" x14ac:dyDescent="0.35">
      <c r="C10627" s="82"/>
    </row>
    <row r="10628" spans="3:3" x14ac:dyDescent="0.35">
      <c r="C10628" s="82"/>
    </row>
    <row r="10629" spans="3:3" x14ac:dyDescent="0.35">
      <c r="C10629" s="82"/>
    </row>
    <row r="10630" spans="3:3" x14ac:dyDescent="0.35">
      <c r="C10630" s="82"/>
    </row>
    <row r="10631" spans="3:3" x14ac:dyDescent="0.35">
      <c r="C10631" s="82"/>
    </row>
    <row r="10632" spans="3:3" x14ac:dyDescent="0.35">
      <c r="C10632" s="82"/>
    </row>
    <row r="10633" spans="3:3" x14ac:dyDescent="0.35">
      <c r="C10633" s="82"/>
    </row>
    <row r="10634" spans="3:3" x14ac:dyDescent="0.35">
      <c r="C10634" s="82"/>
    </row>
    <row r="10635" spans="3:3" x14ac:dyDescent="0.35">
      <c r="C10635" s="82"/>
    </row>
    <row r="10636" spans="3:3" x14ac:dyDescent="0.35">
      <c r="C10636" s="82"/>
    </row>
    <row r="10637" spans="3:3" x14ac:dyDescent="0.35">
      <c r="C10637" s="82"/>
    </row>
    <row r="10638" spans="3:3" x14ac:dyDescent="0.35">
      <c r="C10638" s="82"/>
    </row>
    <row r="10639" spans="3:3" x14ac:dyDescent="0.35">
      <c r="C10639" s="82"/>
    </row>
    <row r="10640" spans="3:3" x14ac:dyDescent="0.35">
      <c r="C10640" s="82"/>
    </row>
    <row r="10641" spans="1:9" x14ac:dyDescent="0.35">
      <c r="C10641" s="82"/>
    </row>
    <row r="10642" spans="1:9" x14ac:dyDescent="0.35">
      <c r="C10642" s="82"/>
    </row>
    <row r="10643" spans="1:9" x14ac:dyDescent="0.35">
      <c r="C10643" s="82"/>
    </row>
    <row r="10644" spans="1:9" x14ac:dyDescent="0.35">
      <c r="C10644" s="82"/>
    </row>
    <row r="10645" spans="1:9" x14ac:dyDescent="0.35">
      <c r="C10645" s="82"/>
    </row>
    <row r="10646" spans="1:9" x14ac:dyDescent="0.35">
      <c r="C10646" s="82"/>
    </row>
    <row r="10647" spans="1:9" x14ac:dyDescent="0.35">
      <c r="C10647" s="82"/>
    </row>
    <row r="10648" spans="1:9" x14ac:dyDescent="0.35">
      <c r="C10648" s="82"/>
    </row>
    <row r="10649" spans="1:9" x14ac:dyDescent="0.35">
      <c r="C10649" s="82"/>
    </row>
    <row r="10650" spans="1:9" x14ac:dyDescent="0.35">
      <c r="C10650" s="82"/>
    </row>
    <row r="10651" spans="1:9" x14ac:dyDescent="0.35">
      <c r="C10651" s="82"/>
    </row>
    <row r="10652" spans="1:9" x14ac:dyDescent="0.35">
      <c r="C10652" s="82"/>
    </row>
    <row r="10653" spans="1:9" x14ac:dyDescent="0.35">
      <c r="C10653" s="82"/>
    </row>
    <row r="10654" spans="1:9" s="83" customFormat="1" x14ac:dyDescent="0.35">
      <c r="A10654" s="77"/>
      <c r="B10654" s="64"/>
      <c r="C10654" s="82"/>
      <c r="D10654" s="64"/>
      <c r="E10654" s="96"/>
      <c r="F10654" s="64"/>
      <c r="G10654" s="70"/>
      <c r="H10654" s="84"/>
      <c r="I10654" s="84"/>
    </row>
    <row r="10655" spans="1:9" s="83" customFormat="1" x14ac:dyDescent="0.35">
      <c r="A10655" s="77"/>
      <c r="B10655" s="64"/>
      <c r="C10655" s="82"/>
      <c r="D10655" s="86"/>
      <c r="E10655" s="96"/>
      <c r="F10655" s="64"/>
      <c r="G10655" s="70"/>
      <c r="H10655" s="84"/>
      <c r="I10655" s="84"/>
    </row>
    <row r="10656" spans="1:9" s="83" customFormat="1" x14ac:dyDescent="0.35">
      <c r="A10656" s="77"/>
      <c r="B10656" s="64"/>
      <c r="C10656" s="82"/>
      <c r="D10656" s="64"/>
      <c r="E10656" s="96"/>
      <c r="F10656" s="64"/>
      <c r="G10656" s="70"/>
      <c r="H10656" s="84"/>
      <c r="I10656" s="84"/>
    </row>
    <row r="10657" spans="1:9" s="83" customFormat="1" x14ac:dyDescent="0.35">
      <c r="A10657" s="77"/>
      <c r="B10657" s="64"/>
      <c r="C10657" s="82"/>
      <c r="D10657" s="64"/>
      <c r="E10657" s="96"/>
      <c r="F10657" s="64"/>
      <c r="G10657" s="70"/>
      <c r="H10657" s="84"/>
      <c r="I10657" s="84"/>
    </row>
    <row r="10658" spans="1:9" s="83" customFormat="1" x14ac:dyDescent="0.35">
      <c r="A10658" s="77"/>
      <c r="B10658" s="64"/>
      <c r="C10658" s="82"/>
      <c r="D10658" s="64"/>
      <c r="E10658" s="96"/>
      <c r="F10658" s="64"/>
      <c r="G10658" s="70"/>
      <c r="H10658" s="84"/>
      <c r="I10658" s="84"/>
    </row>
    <row r="10659" spans="1:9" s="83" customFormat="1" x14ac:dyDescent="0.35">
      <c r="A10659" s="77"/>
      <c r="B10659" s="64"/>
      <c r="C10659" s="82"/>
      <c r="D10659" s="64"/>
      <c r="E10659" s="96"/>
      <c r="F10659" s="64"/>
      <c r="G10659" s="70"/>
      <c r="H10659" s="84"/>
      <c r="I10659" s="84"/>
    </row>
    <row r="10660" spans="1:9" s="83" customFormat="1" x14ac:dyDescent="0.35">
      <c r="A10660" s="77"/>
      <c r="B10660" s="64"/>
      <c r="C10660" s="82"/>
      <c r="D10660" s="64"/>
      <c r="E10660" s="96"/>
      <c r="F10660" s="64"/>
      <c r="G10660" s="70"/>
      <c r="H10660" s="84"/>
      <c r="I10660" s="84"/>
    </row>
    <row r="10661" spans="1:9" s="83" customFormat="1" x14ac:dyDescent="0.35">
      <c r="A10661" s="77"/>
      <c r="B10661" s="64"/>
      <c r="C10661" s="82"/>
      <c r="D10661" s="64"/>
      <c r="E10661" s="96"/>
      <c r="F10661" s="64"/>
      <c r="G10661" s="70"/>
      <c r="H10661" s="84"/>
      <c r="I10661" s="84"/>
    </row>
    <row r="10662" spans="1:9" s="83" customFormat="1" x14ac:dyDescent="0.35">
      <c r="A10662" s="77"/>
      <c r="B10662" s="64"/>
      <c r="C10662" s="82"/>
      <c r="D10662" s="64"/>
      <c r="E10662" s="96"/>
      <c r="F10662" s="64"/>
      <c r="G10662" s="70"/>
      <c r="H10662" s="84"/>
      <c r="I10662" s="84"/>
    </row>
    <row r="10663" spans="1:9" s="83" customFormat="1" x14ac:dyDescent="0.35">
      <c r="A10663" s="77"/>
      <c r="B10663" s="64"/>
      <c r="C10663" s="82"/>
      <c r="D10663" s="64"/>
      <c r="E10663" s="96"/>
      <c r="F10663" s="64"/>
      <c r="G10663" s="70"/>
      <c r="H10663" s="84"/>
      <c r="I10663" s="84"/>
    </row>
    <row r="10664" spans="1:9" s="83" customFormat="1" x14ac:dyDescent="0.35">
      <c r="A10664" s="77"/>
      <c r="B10664" s="64"/>
      <c r="C10664" s="82"/>
      <c r="D10664" s="64"/>
      <c r="E10664" s="96"/>
      <c r="F10664" s="64"/>
      <c r="G10664" s="70"/>
      <c r="H10664" s="84"/>
      <c r="I10664" s="84"/>
    </row>
    <row r="10665" spans="1:9" s="83" customFormat="1" x14ac:dyDescent="0.35">
      <c r="A10665" s="77"/>
      <c r="B10665" s="64"/>
      <c r="C10665" s="82"/>
      <c r="D10665" s="64"/>
      <c r="E10665" s="96"/>
      <c r="F10665" s="64"/>
      <c r="G10665" s="70"/>
      <c r="H10665" s="84"/>
      <c r="I10665" s="84"/>
    </row>
    <row r="10666" spans="1:9" s="83" customFormat="1" x14ac:dyDescent="0.35">
      <c r="A10666" s="77"/>
      <c r="B10666" s="64"/>
      <c r="C10666" s="82"/>
      <c r="D10666" s="64"/>
      <c r="E10666" s="96"/>
      <c r="F10666" s="64"/>
      <c r="G10666" s="70"/>
      <c r="H10666" s="84"/>
      <c r="I10666" s="84"/>
    </row>
    <row r="10667" spans="1:9" s="83" customFormat="1" x14ac:dyDescent="0.35">
      <c r="A10667" s="77"/>
      <c r="B10667" s="64"/>
      <c r="C10667" s="82"/>
      <c r="D10667" s="64"/>
      <c r="E10667" s="96"/>
      <c r="F10667" s="64"/>
      <c r="G10667" s="70"/>
      <c r="H10667" s="84"/>
      <c r="I10667" s="84"/>
    </row>
    <row r="10668" spans="1:9" s="83" customFormat="1" x14ac:dyDescent="0.35">
      <c r="A10668" s="77"/>
      <c r="B10668" s="64"/>
      <c r="C10668" s="82"/>
      <c r="D10668" s="64"/>
      <c r="E10668" s="96"/>
      <c r="F10668" s="64"/>
      <c r="G10668" s="70"/>
      <c r="H10668" s="84"/>
      <c r="I10668" s="84"/>
    </row>
    <row r="10669" spans="1:9" s="83" customFormat="1" x14ac:dyDescent="0.35">
      <c r="A10669" s="77"/>
      <c r="B10669" s="64"/>
      <c r="C10669" s="82"/>
      <c r="D10669" s="64"/>
      <c r="E10669" s="96"/>
      <c r="F10669" s="64"/>
      <c r="G10669" s="70"/>
      <c r="H10669" s="84"/>
      <c r="I10669" s="84"/>
    </row>
    <row r="10670" spans="1:9" s="83" customFormat="1" x14ac:dyDescent="0.35">
      <c r="A10670" s="77"/>
      <c r="B10670" s="64"/>
      <c r="C10670" s="82"/>
      <c r="D10670" s="64"/>
      <c r="E10670" s="96"/>
      <c r="F10670" s="64"/>
      <c r="G10670" s="70"/>
      <c r="H10670" s="84"/>
      <c r="I10670" s="84"/>
    </row>
    <row r="10671" spans="1:9" s="83" customFormat="1" x14ac:dyDescent="0.35">
      <c r="A10671" s="77"/>
      <c r="B10671" s="64"/>
      <c r="C10671" s="82"/>
      <c r="D10671" s="64"/>
      <c r="E10671" s="96"/>
      <c r="F10671" s="64"/>
      <c r="G10671" s="70"/>
      <c r="H10671" s="84"/>
      <c r="I10671" s="84"/>
    </row>
    <row r="10672" spans="1:9" s="83" customFormat="1" x14ac:dyDescent="0.35">
      <c r="A10672" s="77"/>
      <c r="B10672" s="64"/>
      <c r="C10672" s="82"/>
      <c r="D10672" s="64"/>
      <c r="E10672" s="96"/>
      <c r="F10672" s="64"/>
      <c r="G10672" s="70"/>
      <c r="H10672" s="84"/>
      <c r="I10672" s="84"/>
    </row>
    <row r="10673" spans="1:9" s="83" customFormat="1" x14ac:dyDescent="0.35">
      <c r="A10673" s="77"/>
      <c r="B10673" s="64"/>
      <c r="C10673" s="82"/>
      <c r="D10673" s="64"/>
      <c r="E10673" s="96"/>
      <c r="F10673" s="64"/>
      <c r="G10673" s="70"/>
      <c r="H10673" s="84"/>
      <c r="I10673" s="84"/>
    </row>
    <row r="10674" spans="1:9" s="83" customFormat="1" x14ac:dyDescent="0.35">
      <c r="A10674" s="77"/>
      <c r="B10674" s="64"/>
      <c r="C10674" s="82"/>
      <c r="D10674" s="64"/>
      <c r="E10674" s="96"/>
      <c r="F10674" s="64"/>
      <c r="G10674" s="70"/>
      <c r="H10674" s="84"/>
      <c r="I10674" s="84"/>
    </row>
    <row r="10675" spans="1:9" s="83" customFormat="1" x14ac:dyDescent="0.35">
      <c r="A10675" s="77"/>
      <c r="B10675" s="64"/>
      <c r="C10675" s="82"/>
      <c r="D10675" s="64"/>
      <c r="E10675" s="96"/>
      <c r="F10675" s="64"/>
      <c r="G10675" s="70"/>
      <c r="H10675" s="84"/>
      <c r="I10675" s="84"/>
    </row>
    <row r="10676" spans="1:9" s="83" customFormat="1" x14ac:dyDescent="0.35">
      <c r="A10676" s="77"/>
      <c r="B10676" s="64"/>
      <c r="C10676" s="82"/>
      <c r="D10676" s="64"/>
      <c r="E10676" s="96"/>
      <c r="F10676" s="64"/>
      <c r="G10676" s="70"/>
      <c r="H10676" s="84"/>
      <c r="I10676" s="84"/>
    </row>
    <row r="10677" spans="1:9" s="83" customFormat="1" x14ac:dyDescent="0.35">
      <c r="A10677" s="77"/>
      <c r="B10677" s="64"/>
      <c r="C10677" s="82"/>
      <c r="D10677" s="64"/>
      <c r="E10677" s="96"/>
      <c r="F10677" s="64"/>
      <c r="G10677" s="70"/>
      <c r="H10677" s="84"/>
      <c r="I10677" s="84"/>
    </row>
    <row r="10678" spans="1:9" s="83" customFormat="1" x14ac:dyDescent="0.35">
      <c r="A10678" s="77"/>
      <c r="B10678" s="64"/>
      <c r="C10678" s="82"/>
      <c r="D10678" s="64"/>
      <c r="E10678" s="96"/>
      <c r="F10678" s="64"/>
      <c r="G10678" s="70"/>
      <c r="H10678" s="84"/>
      <c r="I10678" s="84"/>
    </row>
    <row r="10679" spans="1:9" s="83" customFormat="1" x14ac:dyDescent="0.35">
      <c r="A10679" s="77"/>
      <c r="B10679" s="64"/>
      <c r="C10679" s="82"/>
      <c r="D10679" s="86"/>
      <c r="E10679" s="96"/>
      <c r="F10679" s="64"/>
      <c r="G10679" s="70"/>
      <c r="H10679" s="84"/>
      <c r="I10679" s="84"/>
    </row>
    <row r="10680" spans="1:9" s="83" customFormat="1" x14ac:dyDescent="0.35">
      <c r="A10680" s="77"/>
      <c r="B10680" s="64"/>
      <c r="C10680" s="82"/>
      <c r="D10680" s="64"/>
      <c r="E10680" s="96"/>
      <c r="F10680" s="64"/>
      <c r="G10680" s="70"/>
      <c r="H10680" s="84"/>
      <c r="I10680" s="84"/>
    </row>
    <row r="10681" spans="1:9" s="83" customFormat="1" x14ac:dyDescent="0.35">
      <c r="A10681" s="77"/>
      <c r="B10681" s="64"/>
      <c r="C10681" s="82"/>
      <c r="D10681" s="64"/>
      <c r="E10681" s="96"/>
      <c r="F10681" s="64"/>
      <c r="G10681" s="70"/>
      <c r="H10681" s="84"/>
      <c r="I10681" s="84"/>
    </row>
    <row r="10682" spans="1:9" s="83" customFormat="1" x14ac:dyDescent="0.35">
      <c r="A10682" s="77"/>
      <c r="B10682" s="64"/>
      <c r="C10682" s="82"/>
      <c r="D10682" s="64"/>
      <c r="E10682" s="96"/>
      <c r="F10682" s="64"/>
      <c r="G10682" s="70"/>
      <c r="H10682" s="84"/>
      <c r="I10682" s="84"/>
    </row>
    <row r="10683" spans="1:9" s="83" customFormat="1" x14ac:dyDescent="0.35">
      <c r="A10683" s="77"/>
      <c r="B10683" s="64"/>
      <c r="C10683" s="82"/>
      <c r="D10683" s="64"/>
      <c r="E10683" s="96"/>
      <c r="F10683" s="64"/>
      <c r="G10683" s="70"/>
      <c r="H10683" s="84"/>
      <c r="I10683" s="84"/>
    </row>
    <row r="10684" spans="1:9" s="83" customFormat="1" x14ac:dyDescent="0.35">
      <c r="A10684" s="77"/>
      <c r="B10684" s="64"/>
      <c r="C10684" s="82"/>
      <c r="D10684" s="64"/>
      <c r="E10684" s="96"/>
      <c r="F10684" s="64"/>
      <c r="G10684" s="70"/>
      <c r="H10684" s="84"/>
      <c r="I10684" s="84"/>
    </row>
    <row r="10685" spans="1:9" s="83" customFormat="1" x14ac:dyDescent="0.35">
      <c r="A10685" s="77"/>
      <c r="B10685" s="64"/>
      <c r="C10685" s="82"/>
      <c r="D10685" s="64"/>
      <c r="E10685" s="96"/>
      <c r="F10685" s="64"/>
      <c r="G10685" s="70"/>
      <c r="H10685" s="84"/>
      <c r="I10685" s="84"/>
    </row>
    <row r="10686" spans="1:9" x14ac:dyDescent="0.35">
      <c r="C10686" s="82"/>
    </row>
    <row r="10687" spans="1:9" x14ac:dyDescent="0.35">
      <c r="C10687" s="82"/>
    </row>
    <row r="10688" spans="1:9" x14ac:dyDescent="0.35">
      <c r="C10688" s="82"/>
    </row>
    <row r="10689" spans="1:9" x14ac:dyDescent="0.35">
      <c r="C10689" s="82"/>
    </row>
    <row r="10690" spans="1:9" x14ac:dyDescent="0.35">
      <c r="C10690" s="82"/>
    </row>
    <row r="10691" spans="1:9" x14ac:dyDescent="0.35">
      <c r="C10691" s="82"/>
    </row>
    <row r="10692" spans="1:9" x14ac:dyDescent="0.35">
      <c r="C10692" s="82"/>
    </row>
    <row r="10693" spans="1:9" x14ac:dyDescent="0.35">
      <c r="C10693" s="82"/>
    </row>
    <row r="10694" spans="1:9" x14ac:dyDescent="0.35">
      <c r="C10694" s="82"/>
    </row>
    <row r="10695" spans="1:9" x14ac:dyDescent="0.35">
      <c r="C10695" s="82"/>
    </row>
    <row r="10696" spans="1:9" x14ac:dyDescent="0.35">
      <c r="C10696" s="82"/>
    </row>
    <row r="10697" spans="1:9" x14ac:dyDescent="0.35">
      <c r="C10697" s="82"/>
    </row>
    <row r="10698" spans="1:9" x14ac:dyDescent="0.35">
      <c r="C10698" s="82"/>
    </row>
    <row r="10699" spans="1:9" x14ac:dyDescent="0.35">
      <c r="C10699" s="82"/>
    </row>
    <row r="10700" spans="1:9" x14ac:dyDescent="0.35">
      <c r="C10700" s="82"/>
    </row>
    <row r="10701" spans="1:9" x14ac:dyDescent="0.35">
      <c r="C10701" s="82"/>
    </row>
    <row r="10702" spans="1:9" s="83" customFormat="1" x14ac:dyDescent="0.35">
      <c r="A10702" s="77"/>
      <c r="B10702" s="64"/>
      <c r="C10702" s="82"/>
      <c r="D10702" s="64"/>
      <c r="E10702" s="96"/>
      <c r="F10702" s="64"/>
      <c r="G10702" s="70"/>
      <c r="H10702" s="84"/>
      <c r="I10702" s="84"/>
    </row>
    <row r="10703" spans="1:9" s="83" customFormat="1" x14ac:dyDescent="0.35">
      <c r="A10703" s="77"/>
      <c r="B10703" s="64"/>
      <c r="C10703" s="82"/>
      <c r="D10703" s="64"/>
      <c r="E10703" s="96"/>
      <c r="F10703" s="64"/>
      <c r="G10703" s="70"/>
      <c r="H10703" s="84"/>
      <c r="I10703" s="84"/>
    </row>
    <row r="10704" spans="1:9" s="83" customFormat="1" x14ac:dyDescent="0.35">
      <c r="A10704" s="77"/>
      <c r="B10704" s="64"/>
      <c r="C10704" s="82"/>
      <c r="D10704" s="64"/>
      <c r="E10704" s="96"/>
      <c r="F10704" s="64"/>
      <c r="G10704" s="70"/>
      <c r="H10704" s="84"/>
      <c r="I10704" s="84"/>
    </row>
    <row r="10705" spans="1:9" s="83" customFormat="1" x14ac:dyDescent="0.35">
      <c r="A10705" s="77"/>
      <c r="B10705" s="64"/>
      <c r="C10705" s="82"/>
      <c r="D10705" s="64"/>
      <c r="E10705" s="96"/>
      <c r="F10705" s="64"/>
      <c r="G10705" s="70"/>
      <c r="H10705" s="84"/>
      <c r="I10705" s="84"/>
    </row>
    <row r="10706" spans="1:9" s="83" customFormat="1" x14ac:dyDescent="0.35">
      <c r="A10706" s="77"/>
      <c r="B10706" s="64"/>
      <c r="C10706" s="82"/>
      <c r="D10706" s="64"/>
      <c r="E10706" s="96"/>
      <c r="F10706" s="64"/>
      <c r="G10706" s="70"/>
      <c r="H10706" s="84"/>
      <c r="I10706" s="84"/>
    </row>
    <row r="10707" spans="1:9" s="83" customFormat="1" x14ac:dyDescent="0.35">
      <c r="A10707" s="77"/>
      <c r="B10707" s="64"/>
      <c r="C10707" s="82"/>
      <c r="D10707" s="64"/>
      <c r="E10707" s="96"/>
      <c r="F10707" s="64"/>
      <c r="G10707" s="70"/>
      <c r="H10707" s="84"/>
      <c r="I10707" s="84"/>
    </row>
    <row r="10708" spans="1:9" s="83" customFormat="1" x14ac:dyDescent="0.35">
      <c r="A10708" s="77"/>
      <c r="B10708" s="64"/>
      <c r="C10708" s="82"/>
      <c r="D10708" s="64"/>
      <c r="E10708" s="96"/>
      <c r="F10708" s="64"/>
      <c r="G10708" s="70"/>
      <c r="H10708" s="84"/>
      <c r="I10708" s="84"/>
    </row>
    <row r="10709" spans="1:9" s="83" customFormat="1" x14ac:dyDescent="0.35">
      <c r="A10709" s="77"/>
      <c r="B10709" s="64"/>
      <c r="C10709" s="82"/>
      <c r="D10709" s="64"/>
      <c r="E10709" s="96"/>
      <c r="F10709" s="64"/>
      <c r="G10709" s="70"/>
      <c r="H10709" s="84"/>
      <c r="I10709" s="84"/>
    </row>
    <row r="10710" spans="1:9" s="83" customFormat="1" x14ac:dyDescent="0.35">
      <c r="A10710" s="77"/>
      <c r="B10710" s="64"/>
      <c r="C10710" s="82"/>
      <c r="D10710" s="64"/>
      <c r="E10710" s="96"/>
      <c r="F10710" s="64"/>
      <c r="G10710" s="70"/>
      <c r="H10710" s="84"/>
      <c r="I10710" s="84"/>
    </row>
    <row r="10711" spans="1:9" s="83" customFormat="1" x14ac:dyDescent="0.35">
      <c r="A10711" s="77"/>
      <c r="B10711" s="64"/>
      <c r="C10711" s="82"/>
      <c r="D10711" s="64"/>
      <c r="E10711" s="96"/>
      <c r="F10711" s="64"/>
      <c r="G10711" s="70"/>
      <c r="H10711" s="84"/>
      <c r="I10711" s="84"/>
    </row>
    <row r="10712" spans="1:9" s="83" customFormat="1" x14ac:dyDescent="0.35">
      <c r="A10712" s="77"/>
      <c r="B10712" s="64"/>
      <c r="C10712" s="82"/>
      <c r="D10712" s="64"/>
      <c r="E10712" s="96"/>
      <c r="F10712" s="64"/>
      <c r="G10712" s="70"/>
      <c r="H10712" s="84"/>
      <c r="I10712" s="84"/>
    </row>
    <row r="10713" spans="1:9" s="83" customFormat="1" x14ac:dyDescent="0.35">
      <c r="A10713" s="77"/>
      <c r="B10713" s="64"/>
      <c r="C10713" s="82"/>
      <c r="D10713" s="64"/>
      <c r="E10713" s="96"/>
      <c r="F10713" s="64"/>
      <c r="G10713" s="70"/>
      <c r="H10713" s="84"/>
      <c r="I10713" s="84"/>
    </row>
    <row r="10714" spans="1:9" s="83" customFormat="1" x14ac:dyDescent="0.35">
      <c r="A10714" s="77"/>
      <c r="B10714" s="64"/>
      <c r="C10714" s="82"/>
      <c r="D10714" s="64"/>
      <c r="E10714" s="96"/>
      <c r="F10714" s="64"/>
      <c r="G10714" s="70"/>
      <c r="H10714" s="84"/>
      <c r="I10714" s="84"/>
    </row>
    <row r="10715" spans="1:9" s="83" customFormat="1" x14ac:dyDescent="0.35">
      <c r="A10715" s="77"/>
      <c r="B10715" s="64"/>
      <c r="C10715" s="82"/>
      <c r="D10715" s="86"/>
      <c r="E10715" s="96"/>
      <c r="F10715" s="64"/>
      <c r="G10715" s="70"/>
      <c r="H10715" s="84"/>
      <c r="I10715" s="84"/>
    </row>
    <row r="10716" spans="1:9" s="83" customFormat="1" x14ac:dyDescent="0.35">
      <c r="A10716" s="77"/>
      <c r="B10716" s="64"/>
      <c r="C10716" s="82"/>
      <c r="D10716" s="64"/>
      <c r="E10716" s="96"/>
      <c r="F10716" s="64"/>
      <c r="G10716" s="70"/>
      <c r="H10716" s="84"/>
      <c r="I10716" s="84"/>
    </row>
    <row r="10717" spans="1:9" s="83" customFormat="1" x14ac:dyDescent="0.35">
      <c r="A10717" s="77"/>
      <c r="B10717" s="64"/>
      <c r="C10717" s="82"/>
      <c r="D10717" s="64"/>
      <c r="E10717" s="96"/>
      <c r="F10717" s="64"/>
      <c r="G10717" s="70"/>
      <c r="H10717" s="84"/>
      <c r="I10717" s="84"/>
    </row>
    <row r="10718" spans="1:9" x14ac:dyDescent="0.35">
      <c r="C10718" s="82"/>
    </row>
    <row r="10719" spans="1:9" x14ac:dyDescent="0.35">
      <c r="C10719" s="82"/>
    </row>
    <row r="10720" spans="1:9" x14ac:dyDescent="0.35">
      <c r="C10720" s="82"/>
    </row>
    <row r="10721" spans="1:9" x14ac:dyDescent="0.35">
      <c r="C10721" s="82"/>
    </row>
    <row r="10722" spans="1:9" x14ac:dyDescent="0.35">
      <c r="C10722" s="82"/>
    </row>
    <row r="10723" spans="1:9" x14ac:dyDescent="0.35">
      <c r="C10723" s="82"/>
    </row>
    <row r="10724" spans="1:9" x14ac:dyDescent="0.35">
      <c r="C10724" s="82"/>
    </row>
    <row r="10725" spans="1:9" x14ac:dyDescent="0.35">
      <c r="C10725" s="82"/>
    </row>
    <row r="10726" spans="1:9" x14ac:dyDescent="0.35">
      <c r="C10726" s="82"/>
    </row>
    <row r="10727" spans="1:9" x14ac:dyDescent="0.35">
      <c r="C10727" s="82"/>
    </row>
    <row r="10728" spans="1:9" x14ac:dyDescent="0.35">
      <c r="C10728" s="82"/>
    </row>
    <row r="10729" spans="1:9" x14ac:dyDescent="0.35">
      <c r="C10729" s="82"/>
    </row>
    <row r="10730" spans="1:9" x14ac:dyDescent="0.35">
      <c r="C10730" s="82"/>
    </row>
    <row r="10731" spans="1:9" x14ac:dyDescent="0.35">
      <c r="C10731" s="82"/>
    </row>
    <row r="10732" spans="1:9" x14ac:dyDescent="0.35">
      <c r="C10732" s="82"/>
    </row>
    <row r="10733" spans="1:9" x14ac:dyDescent="0.35">
      <c r="C10733" s="82"/>
    </row>
    <row r="10734" spans="1:9" s="83" customFormat="1" x14ac:dyDescent="0.35">
      <c r="A10734" s="77"/>
      <c r="B10734" s="64"/>
      <c r="C10734" s="82"/>
      <c r="D10734" s="64"/>
      <c r="E10734" s="96"/>
      <c r="F10734" s="64"/>
      <c r="G10734" s="70"/>
      <c r="H10734" s="84"/>
      <c r="I10734" s="84"/>
    </row>
    <row r="10735" spans="1:9" s="83" customFormat="1" x14ac:dyDescent="0.35">
      <c r="A10735" s="77"/>
      <c r="B10735" s="64"/>
      <c r="C10735" s="82"/>
      <c r="D10735" s="64"/>
      <c r="E10735" s="96"/>
      <c r="F10735" s="64"/>
      <c r="G10735" s="70"/>
      <c r="H10735" s="84"/>
      <c r="I10735" s="84"/>
    </row>
    <row r="10736" spans="1:9" s="83" customFormat="1" x14ac:dyDescent="0.35">
      <c r="A10736" s="77"/>
      <c r="B10736" s="64"/>
      <c r="C10736" s="82"/>
      <c r="D10736" s="64"/>
      <c r="E10736" s="96"/>
      <c r="F10736" s="64"/>
      <c r="G10736" s="70"/>
      <c r="H10736" s="84"/>
      <c r="I10736" s="84"/>
    </row>
    <row r="10737" spans="1:9" s="83" customFormat="1" x14ac:dyDescent="0.35">
      <c r="A10737" s="77"/>
      <c r="B10737" s="64"/>
      <c r="C10737" s="82"/>
      <c r="D10737" s="64"/>
      <c r="E10737" s="96"/>
      <c r="F10737" s="64"/>
      <c r="G10737" s="70"/>
      <c r="H10737" s="84"/>
      <c r="I10737" s="84"/>
    </row>
    <row r="10738" spans="1:9" s="83" customFormat="1" x14ac:dyDescent="0.35">
      <c r="A10738" s="77"/>
      <c r="B10738" s="64"/>
      <c r="C10738" s="82"/>
      <c r="D10738" s="64"/>
      <c r="E10738" s="96"/>
      <c r="F10738" s="64"/>
      <c r="G10738" s="70"/>
      <c r="H10738" s="84"/>
      <c r="I10738" s="84"/>
    </row>
    <row r="10739" spans="1:9" s="83" customFormat="1" x14ac:dyDescent="0.35">
      <c r="A10739" s="77"/>
      <c r="B10739" s="64"/>
      <c r="C10739" s="82"/>
      <c r="D10739" s="64"/>
      <c r="E10739" s="96"/>
      <c r="F10739" s="64"/>
      <c r="G10739" s="70"/>
      <c r="H10739" s="84"/>
      <c r="I10739" s="84"/>
    </row>
    <row r="10740" spans="1:9" s="83" customFormat="1" x14ac:dyDescent="0.35">
      <c r="A10740" s="77"/>
      <c r="B10740" s="64"/>
      <c r="C10740" s="82"/>
      <c r="D10740" s="64"/>
      <c r="E10740" s="96"/>
      <c r="F10740" s="64"/>
      <c r="G10740" s="70"/>
      <c r="H10740" s="84"/>
      <c r="I10740" s="84"/>
    </row>
    <row r="10741" spans="1:9" s="83" customFormat="1" x14ac:dyDescent="0.35">
      <c r="A10741" s="77"/>
      <c r="B10741" s="64"/>
      <c r="C10741" s="82"/>
      <c r="D10741" s="64"/>
      <c r="E10741" s="96"/>
      <c r="F10741" s="64"/>
      <c r="G10741" s="70"/>
      <c r="H10741" s="84"/>
      <c r="I10741" s="84"/>
    </row>
    <row r="10742" spans="1:9" s="83" customFormat="1" x14ac:dyDescent="0.35">
      <c r="A10742" s="77"/>
      <c r="B10742" s="64"/>
      <c r="C10742" s="82"/>
      <c r="D10742" s="64"/>
      <c r="E10742" s="96"/>
      <c r="F10742" s="64"/>
      <c r="G10742" s="70"/>
      <c r="H10742" s="84"/>
      <c r="I10742" s="84"/>
    </row>
    <row r="10743" spans="1:9" s="83" customFormat="1" x14ac:dyDescent="0.35">
      <c r="A10743" s="77"/>
      <c r="B10743" s="64"/>
      <c r="C10743" s="82"/>
      <c r="D10743" s="86"/>
      <c r="E10743" s="96"/>
      <c r="F10743" s="64"/>
      <c r="G10743" s="70"/>
      <c r="H10743" s="84"/>
      <c r="I10743" s="84"/>
    </row>
    <row r="10744" spans="1:9" s="83" customFormat="1" x14ac:dyDescent="0.35">
      <c r="A10744" s="77"/>
      <c r="B10744" s="64"/>
      <c r="C10744" s="82"/>
      <c r="D10744" s="64"/>
      <c r="E10744" s="96"/>
      <c r="F10744" s="64"/>
      <c r="G10744" s="70"/>
      <c r="H10744" s="84"/>
      <c r="I10744" s="84"/>
    </row>
    <row r="10745" spans="1:9" s="83" customFormat="1" x14ac:dyDescent="0.35">
      <c r="A10745" s="77"/>
      <c r="B10745" s="64"/>
      <c r="C10745" s="82"/>
      <c r="D10745" s="64"/>
      <c r="E10745" s="96"/>
      <c r="F10745" s="64"/>
      <c r="G10745" s="70"/>
      <c r="H10745" s="84"/>
      <c r="I10745" s="84"/>
    </row>
    <row r="10746" spans="1:9" s="83" customFormat="1" x14ac:dyDescent="0.35">
      <c r="A10746" s="77"/>
      <c r="B10746" s="64"/>
      <c r="C10746" s="82"/>
      <c r="D10746" s="64"/>
      <c r="E10746" s="96"/>
      <c r="F10746" s="64"/>
      <c r="G10746" s="70"/>
      <c r="H10746" s="84"/>
      <c r="I10746" s="84"/>
    </row>
    <row r="10747" spans="1:9" s="83" customFormat="1" x14ac:dyDescent="0.35">
      <c r="A10747" s="77"/>
      <c r="B10747" s="64"/>
      <c r="C10747" s="82"/>
      <c r="D10747" s="86"/>
      <c r="E10747" s="96"/>
      <c r="F10747" s="64"/>
      <c r="G10747" s="70"/>
      <c r="H10747" s="84"/>
      <c r="I10747" s="84"/>
    </row>
    <row r="10748" spans="1:9" s="83" customFormat="1" x14ac:dyDescent="0.35">
      <c r="A10748" s="77"/>
      <c r="B10748" s="64"/>
      <c r="C10748" s="82"/>
      <c r="D10748" s="64"/>
      <c r="E10748" s="96"/>
      <c r="F10748" s="64"/>
      <c r="G10748" s="70"/>
      <c r="H10748" s="84"/>
      <c r="I10748" s="84"/>
    </row>
    <row r="10749" spans="1:9" s="83" customFormat="1" x14ac:dyDescent="0.35">
      <c r="A10749" s="77"/>
      <c r="B10749" s="64"/>
      <c r="C10749" s="82"/>
      <c r="D10749" s="64"/>
      <c r="E10749" s="96"/>
      <c r="F10749" s="64"/>
      <c r="G10749" s="70"/>
      <c r="H10749" s="84"/>
      <c r="I10749" s="84"/>
    </row>
    <row r="10750" spans="1:9" x14ac:dyDescent="0.35">
      <c r="C10750" s="82"/>
    </row>
    <row r="10751" spans="1:9" x14ac:dyDescent="0.35">
      <c r="C10751" s="82"/>
    </row>
    <row r="10752" spans="1:9" x14ac:dyDescent="0.35">
      <c r="C10752" s="82"/>
    </row>
    <row r="10753" spans="3:3" x14ac:dyDescent="0.35">
      <c r="C10753" s="82"/>
    </row>
    <row r="10754" spans="3:3" x14ac:dyDescent="0.35">
      <c r="C10754" s="82"/>
    </row>
    <row r="10755" spans="3:3" x14ac:dyDescent="0.35">
      <c r="C10755" s="82"/>
    </row>
    <row r="10756" spans="3:3" x14ac:dyDescent="0.35">
      <c r="C10756" s="82"/>
    </row>
    <row r="10757" spans="3:3" x14ac:dyDescent="0.35">
      <c r="C10757" s="82"/>
    </row>
    <row r="10758" spans="3:3" x14ac:dyDescent="0.35">
      <c r="C10758" s="82"/>
    </row>
    <row r="10759" spans="3:3" x14ac:dyDescent="0.35">
      <c r="C10759" s="82"/>
    </row>
    <row r="10760" spans="3:3" x14ac:dyDescent="0.35">
      <c r="C10760" s="82"/>
    </row>
    <row r="10761" spans="3:3" x14ac:dyDescent="0.35">
      <c r="C10761" s="82"/>
    </row>
    <row r="10762" spans="3:3" x14ac:dyDescent="0.35">
      <c r="C10762" s="82"/>
    </row>
    <row r="10763" spans="3:3" x14ac:dyDescent="0.35">
      <c r="C10763" s="82"/>
    </row>
    <row r="10764" spans="3:3" x14ac:dyDescent="0.35">
      <c r="C10764" s="82"/>
    </row>
    <row r="10765" spans="3:3" x14ac:dyDescent="0.35">
      <c r="C10765" s="82"/>
    </row>
    <row r="10766" spans="3:3" x14ac:dyDescent="0.35">
      <c r="C10766" s="82"/>
    </row>
    <row r="10767" spans="3:3" x14ac:dyDescent="0.35">
      <c r="C10767" s="82"/>
    </row>
    <row r="10768" spans="3:3" x14ac:dyDescent="0.35">
      <c r="C10768" s="82"/>
    </row>
    <row r="10769" spans="3:3" x14ac:dyDescent="0.35">
      <c r="C10769" s="82"/>
    </row>
    <row r="10770" spans="3:3" x14ac:dyDescent="0.35">
      <c r="C10770" s="82"/>
    </row>
    <row r="10771" spans="3:3" x14ac:dyDescent="0.35">
      <c r="C10771" s="82"/>
    </row>
    <row r="10772" spans="3:3" x14ac:dyDescent="0.35">
      <c r="C10772" s="82"/>
    </row>
    <row r="10773" spans="3:3" x14ac:dyDescent="0.35">
      <c r="C10773" s="82"/>
    </row>
    <row r="10774" spans="3:3" x14ac:dyDescent="0.35">
      <c r="C10774" s="82"/>
    </row>
    <row r="10775" spans="3:3" x14ac:dyDescent="0.35">
      <c r="C10775" s="82"/>
    </row>
    <row r="10776" spans="3:3" x14ac:dyDescent="0.35">
      <c r="C10776" s="82"/>
    </row>
    <row r="10777" spans="3:3" x14ac:dyDescent="0.35">
      <c r="C10777" s="82"/>
    </row>
    <row r="10778" spans="3:3" x14ac:dyDescent="0.35">
      <c r="C10778" s="82"/>
    </row>
    <row r="10779" spans="3:3" x14ac:dyDescent="0.35">
      <c r="C10779" s="82"/>
    </row>
    <row r="10780" spans="3:3" x14ac:dyDescent="0.35">
      <c r="C10780" s="82"/>
    </row>
    <row r="10781" spans="3:3" x14ac:dyDescent="0.35">
      <c r="C10781" s="82"/>
    </row>
    <row r="10782" spans="3:3" x14ac:dyDescent="0.35">
      <c r="C10782" s="82"/>
    </row>
    <row r="10783" spans="3:3" x14ac:dyDescent="0.35">
      <c r="C10783" s="82"/>
    </row>
    <row r="10784" spans="3:3" x14ac:dyDescent="0.35">
      <c r="C10784" s="82"/>
    </row>
    <row r="10785" spans="3:3" x14ac:dyDescent="0.35">
      <c r="C10785" s="82"/>
    </row>
    <row r="10786" spans="3:3" x14ac:dyDescent="0.35">
      <c r="C10786" s="82"/>
    </row>
    <row r="10787" spans="3:3" x14ac:dyDescent="0.35">
      <c r="C10787" s="82"/>
    </row>
    <row r="10788" spans="3:3" x14ac:dyDescent="0.35">
      <c r="C10788" s="82"/>
    </row>
    <row r="10789" spans="3:3" x14ac:dyDescent="0.35">
      <c r="C10789" s="82"/>
    </row>
    <row r="10790" spans="3:3" x14ac:dyDescent="0.35">
      <c r="C10790" s="82"/>
    </row>
    <row r="10791" spans="3:3" x14ac:dyDescent="0.35">
      <c r="C10791" s="82"/>
    </row>
    <row r="10792" spans="3:3" x14ac:dyDescent="0.35">
      <c r="C10792" s="82"/>
    </row>
    <row r="10793" spans="3:3" x14ac:dyDescent="0.35">
      <c r="C10793" s="82"/>
    </row>
    <row r="10794" spans="3:3" x14ac:dyDescent="0.35">
      <c r="C10794" s="82"/>
    </row>
    <row r="10795" spans="3:3" x14ac:dyDescent="0.35">
      <c r="C10795" s="82"/>
    </row>
    <row r="10796" spans="3:3" x14ac:dyDescent="0.35">
      <c r="C10796" s="82"/>
    </row>
    <row r="10797" spans="3:3" x14ac:dyDescent="0.35">
      <c r="C10797" s="82"/>
    </row>
    <row r="10798" spans="3:3" x14ac:dyDescent="0.35">
      <c r="C10798" s="82"/>
    </row>
    <row r="10799" spans="3:3" x14ac:dyDescent="0.35">
      <c r="C10799" s="82"/>
    </row>
    <row r="10800" spans="3:3" x14ac:dyDescent="0.35">
      <c r="C10800" s="82"/>
    </row>
    <row r="10801" spans="1:9" x14ac:dyDescent="0.35">
      <c r="C10801" s="82"/>
    </row>
    <row r="10802" spans="1:9" x14ac:dyDescent="0.35">
      <c r="C10802" s="82"/>
    </row>
    <row r="10803" spans="1:9" x14ac:dyDescent="0.35">
      <c r="C10803" s="82"/>
    </row>
    <row r="10804" spans="1:9" x14ac:dyDescent="0.35">
      <c r="C10804" s="82"/>
    </row>
    <row r="10805" spans="1:9" x14ac:dyDescent="0.35">
      <c r="C10805" s="82"/>
    </row>
    <row r="10806" spans="1:9" x14ac:dyDescent="0.35">
      <c r="C10806" s="82"/>
    </row>
    <row r="10807" spans="1:9" x14ac:dyDescent="0.35">
      <c r="C10807" s="82"/>
    </row>
    <row r="10808" spans="1:9" x14ac:dyDescent="0.35">
      <c r="C10808" s="82"/>
    </row>
    <row r="10809" spans="1:9" x14ac:dyDescent="0.35">
      <c r="C10809" s="82"/>
    </row>
    <row r="10810" spans="1:9" x14ac:dyDescent="0.35">
      <c r="C10810" s="82"/>
    </row>
    <row r="10811" spans="1:9" x14ac:dyDescent="0.35">
      <c r="C10811" s="82"/>
    </row>
    <row r="10812" spans="1:9" x14ac:dyDescent="0.35">
      <c r="C10812" s="82"/>
    </row>
    <row r="10813" spans="1:9" x14ac:dyDescent="0.35">
      <c r="C10813" s="82"/>
    </row>
    <row r="10814" spans="1:9" s="83" customFormat="1" x14ac:dyDescent="0.35">
      <c r="A10814" s="77"/>
      <c r="B10814" s="64"/>
      <c r="C10814" s="82"/>
      <c r="D10814" s="64"/>
      <c r="E10814" s="96"/>
      <c r="F10814" s="64"/>
      <c r="G10814" s="70"/>
      <c r="H10814" s="84"/>
      <c r="I10814" s="84"/>
    </row>
    <row r="10815" spans="1:9" s="83" customFormat="1" x14ac:dyDescent="0.35">
      <c r="A10815" s="77"/>
      <c r="B10815" s="64"/>
      <c r="C10815" s="82"/>
      <c r="D10815" s="64"/>
      <c r="E10815" s="96"/>
      <c r="F10815" s="64"/>
      <c r="G10815" s="70"/>
      <c r="H10815" s="84"/>
      <c r="I10815" s="84"/>
    </row>
    <row r="10816" spans="1:9" s="83" customFormat="1" x14ac:dyDescent="0.35">
      <c r="A10816" s="77"/>
      <c r="B10816" s="64"/>
      <c r="C10816" s="82"/>
      <c r="D10816" s="64"/>
      <c r="E10816" s="96"/>
      <c r="F10816" s="64"/>
      <c r="G10816" s="70"/>
      <c r="H10816" s="84"/>
      <c r="I10816" s="84"/>
    </row>
    <row r="10817" spans="1:9" s="83" customFormat="1" x14ac:dyDescent="0.35">
      <c r="A10817" s="77"/>
      <c r="B10817" s="64"/>
      <c r="C10817" s="82"/>
      <c r="D10817" s="64"/>
      <c r="E10817" s="96"/>
      <c r="F10817" s="64"/>
      <c r="G10817" s="70"/>
      <c r="H10817" s="84"/>
      <c r="I10817" s="84"/>
    </row>
    <row r="10818" spans="1:9" s="83" customFormat="1" x14ac:dyDescent="0.35">
      <c r="A10818" s="77"/>
      <c r="B10818" s="64"/>
      <c r="C10818" s="82"/>
      <c r="D10818" s="64"/>
      <c r="E10818" s="96"/>
      <c r="F10818" s="64"/>
      <c r="G10818" s="70"/>
      <c r="H10818" s="84"/>
      <c r="I10818" s="84"/>
    </row>
    <row r="10819" spans="1:9" s="83" customFormat="1" x14ac:dyDescent="0.35">
      <c r="A10819" s="77"/>
      <c r="B10819" s="64"/>
      <c r="C10819" s="82"/>
      <c r="D10819" s="64"/>
      <c r="E10819" s="96"/>
      <c r="F10819" s="64"/>
      <c r="G10819" s="70"/>
      <c r="H10819" s="84"/>
      <c r="I10819" s="84"/>
    </row>
    <row r="10820" spans="1:9" s="83" customFormat="1" x14ac:dyDescent="0.35">
      <c r="A10820" s="77"/>
      <c r="B10820" s="64"/>
      <c r="C10820" s="82"/>
      <c r="D10820" s="64"/>
      <c r="E10820" s="96"/>
      <c r="F10820" s="64"/>
      <c r="G10820" s="70"/>
      <c r="H10820" s="84"/>
      <c r="I10820" s="84"/>
    </row>
    <row r="10821" spans="1:9" s="83" customFormat="1" x14ac:dyDescent="0.35">
      <c r="A10821" s="77"/>
      <c r="B10821" s="64"/>
      <c r="C10821" s="82"/>
      <c r="D10821" s="64"/>
      <c r="E10821" s="96"/>
      <c r="F10821" s="64"/>
      <c r="G10821" s="70"/>
      <c r="H10821" s="84"/>
      <c r="I10821" s="84"/>
    </row>
    <row r="10822" spans="1:9" s="83" customFormat="1" x14ac:dyDescent="0.35">
      <c r="A10822" s="77"/>
      <c r="B10822" s="64"/>
      <c r="C10822" s="82"/>
      <c r="D10822" s="64"/>
      <c r="E10822" s="96"/>
      <c r="F10822" s="64"/>
      <c r="G10822" s="70"/>
      <c r="H10822" s="84"/>
      <c r="I10822" s="84"/>
    </row>
    <row r="10823" spans="1:9" s="83" customFormat="1" x14ac:dyDescent="0.35">
      <c r="A10823" s="77"/>
      <c r="B10823" s="64"/>
      <c r="C10823" s="82"/>
      <c r="D10823" s="64"/>
      <c r="E10823" s="96"/>
      <c r="F10823" s="64"/>
      <c r="G10823" s="70"/>
      <c r="H10823" s="84"/>
      <c r="I10823" s="84"/>
    </row>
    <row r="10824" spans="1:9" s="83" customFormat="1" x14ac:dyDescent="0.35">
      <c r="A10824" s="77"/>
      <c r="B10824" s="64"/>
      <c r="C10824" s="82"/>
      <c r="D10824" s="86"/>
      <c r="E10824" s="96"/>
      <c r="F10824" s="64"/>
      <c r="G10824" s="70"/>
      <c r="H10824" s="84"/>
      <c r="I10824" s="84"/>
    </row>
    <row r="10825" spans="1:9" s="83" customFormat="1" x14ac:dyDescent="0.35">
      <c r="A10825" s="77"/>
      <c r="B10825" s="64"/>
      <c r="C10825" s="82"/>
      <c r="D10825" s="86"/>
      <c r="E10825" s="96"/>
      <c r="F10825" s="64"/>
      <c r="G10825" s="70"/>
      <c r="H10825" s="84"/>
      <c r="I10825" s="84"/>
    </row>
    <row r="10826" spans="1:9" s="83" customFormat="1" x14ac:dyDescent="0.35">
      <c r="A10826" s="77"/>
      <c r="B10826" s="64"/>
      <c r="C10826" s="82"/>
      <c r="D10826" s="64"/>
      <c r="E10826" s="96"/>
      <c r="F10826" s="64"/>
      <c r="G10826" s="70"/>
      <c r="H10826" s="84"/>
      <c r="I10826" s="84"/>
    </row>
    <row r="10827" spans="1:9" s="83" customFormat="1" x14ac:dyDescent="0.35">
      <c r="A10827" s="77"/>
      <c r="B10827" s="64"/>
      <c r="C10827" s="82"/>
      <c r="D10827" s="64"/>
      <c r="E10827" s="96"/>
      <c r="F10827" s="64"/>
      <c r="G10827" s="70"/>
      <c r="H10827" s="84"/>
      <c r="I10827" s="84"/>
    </row>
    <row r="10828" spans="1:9" s="83" customFormat="1" x14ac:dyDescent="0.35">
      <c r="A10828" s="77"/>
      <c r="B10828" s="64"/>
      <c r="C10828" s="82"/>
      <c r="D10828" s="64"/>
      <c r="E10828" s="96"/>
      <c r="F10828" s="64"/>
      <c r="G10828" s="70"/>
      <c r="H10828" s="84"/>
      <c r="I10828" s="84"/>
    </row>
    <row r="10829" spans="1:9" s="83" customFormat="1" x14ac:dyDescent="0.35">
      <c r="A10829" s="77"/>
      <c r="B10829" s="64"/>
      <c r="C10829" s="82"/>
      <c r="D10829" s="64"/>
      <c r="E10829" s="96"/>
      <c r="F10829" s="64"/>
      <c r="G10829" s="70"/>
      <c r="H10829" s="84"/>
      <c r="I10829" s="84"/>
    </row>
    <row r="10830" spans="1:9" x14ac:dyDescent="0.35">
      <c r="C10830" s="82"/>
    </row>
    <row r="10831" spans="1:9" x14ac:dyDescent="0.35">
      <c r="C10831" s="82"/>
    </row>
    <row r="10832" spans="1:9" x14ac:dyDescent="0.35">
      <c r="C10832" s="82"/>
    </row>
    <row r="10833" spans="3:3" x14ac:dyDescent="0.35">
      <c r="C10833" s="82"/>
    </row>
    <row r="10834" spans="3:3" x14ac:dyDescent="0.35">
      <c r="C10834" s="82"/>
    </row>
    <row r="10835" spans="3:3" x14ac:dyDescent="0.35">
      <c r="C10835" s="82"/>
    </row>
    <row r="10836" spans="3:3" x14ac:dyDescent="0.35">
      <c r="C10836" s="82"/>
    </row>
    <row r="10837" spans="3:3" x14ac:dyDescent="0.35">
      <c r="C10837" s="82"/>
    </row>
    <row r="10838" spans="3:3" x14ac:dyDescent="0.35">
      <c r="C10838" s="82"/>
    </row>
    <row r="10839" spans="3:3" x14ac:dyDescent="0.35">
      <c r="C10839" s="82"/>
    </row>
    <row r="10840" spans="3:3" x14ac:dyDescent="0.35">
      <c r="C10840" s="82"/>
    </row>
    <row r="10841" spans="3:3" x14ac:dyDescent="0.35">
      <c r="C10841" s="82"/>
    </row>
    <row r="10842" spans="3:3" x14ac:dyDescent="0.35">
      <c r="C10842" s="82"/>
    </row>
    <row r="10843" spans="3:3" x14ac:dyDescent="0.35">
      <c r="C10843" s="82"/>
    </row>
    <row r="10844" spans="3:3" x14ac:dyDescent="0.35">
      <c r="C10844" s="82"/>
    </row>
    <row r="10845" spans="3:3" x14ac:dyDescent="0.35">
      <c r="C10845" s="82"/>
    </row>
    <row r="10846" spans="3:3" x14ac:dyDescent="0.35">
      <c r="C10846" s="82"/>
    </row>
    <row r="10847" spans="3:3" x14ac:dyDescent="0.35">
      <c r="C10847" s="82"/>
    </row>
    <row r="10848" spans="3:3" x14ac:dyDescent="0.35">
      <c r="C10848" s="82"/>
    </row>
    <row r="10849" spans="3:3" x14ac:dyDescent="0.35">
      <c r="C10849" s="82"/>
    </row>
    <row r="10850" spans="3:3" x14ac:dyDescent="0.35">
      <c r="C10850" s="82"/>
    </row>
    <row r="10851" spans="3:3" x14ac:dyDescent="0.35">
      <c r="C10851" s="82"/>
    </row>
    <row r="10852" spans="3:3" x14ac:dyDescent="0.35">
      <c r="C10852" s="82"/>
    </row>
    <row r="10853" spans="3:3" x14ac:dyDescent="0.35">
      <c r="C10853" s="82"/>
    </row>
    <row r="10854" spans="3:3" x14ac:dyDescent="0.35">
      <c r="C10854" s="82"/>
    </row>
    <row r="10855" spans="3:3" x14ac:dyDescent="0.35">
      <c r="C10855" s="82"/>
    </row>
    <row r="10856" spans="3:3" x14ac:dyDescent="0.35">
      <c r="C10856" s="82"/>
    </row>
    <row r="10857" spans="3:3" x14ac:dyDescent="0.35">
      <c r="C10857" s="82"/>
    </row>
    <row r="10858" spans="3:3" x14ac:dyDescent="0.35">
      <c r="C10858" s="82"/>
    </row>
    <row r="10859" spans="3:3" x14ac:dyDescent="0.35">
      <c r="C10859" s="82"/>
    </row>
    <row r="10860" spans="3:3" x14ac:dyDescent="0.35">
      <c r="C10860" s="82"/>
    </row>
    <row r="10861" spans="3:3" x14ac:dyDescent="0.35">
      <c r="C10861" s="82"/>
    </row>
    <row r="10862" spans="3:3" x14ac:dyDescent="0.35">
      <c r="C10862" s="82"/>
    </row>
    <row r="10863" spans="3:3" x14ac:dyDescent="0.35">
      <c r="C10863" s="82"/>
    </row>
    <row r="10864" spans="3:3" x14ac:dyDescent="0.35">
      <c r="C10864" s="82"/>
    </row>
    <row r="10865" spans="3:3" x14ac:dyDescent="0.35">
      <c r="C10865" s="82"/>
    </row>
    <row r="10866" spans="3:3" x14ac:dyDescent="0.35">
      <c r="C10866" s="82"/>
    </row>
    <row r="10867" spans="3:3" x14ac:dyDescent="0.35">
      <c r="C10867" s="82"/>
    </row>
    <row r="10868" spans="3:3" x14ac:dyDescent="0.35">
      <c r="C10868" s="82"/>
    </row>
    <row r="10869" spans="3:3" x14ac:dyDescent="0.35">
      <c r="C10869" s="82"/>
    </row>
    <row r="10870" spans="3:3" x14ac:dyDescent="0.35">
      <c r="C10870" s="82"/>
    </row>
    <row r="10871" spans="3:3" x14ac:dyDescent="0.35">
      <c r="C10871" s="82"/>
    </row>
    <row r="10872" spans="3:3" x14ac:dyDescent="0.35">
      <c r="C10872" s="82"/>
    </row>
    <row r="10873" spans="3:3" x14ac:dyDescent="0.35">
      <c r="C10873" s="82"/>
    </row>
    <row r="10874" spans="3:3" x14ac:dyDescent="0.35">
      <c r="C10874" s="82"/>
    </row>
    <row r="10875" spans="3:3" x14ac:dyDescent="0.35">
      <c r="C10875" s="82"/>
    </row>
    <row r="10876" spans="3:3" x14ac:dyDescent="0.35">
      <c r="C10876" s="82"/>
    </row>
    <row r="10877" spans="3:3" x14ac:dyDescent="0.35">
      <c r="C10877" s="82"/>
    </row>
    <row r="10878" spans="3:3" x14ac:dyDescent="0.35">
      <c r="C10878" s="82"/>
    </row>
    <row r="10879" spans="3:3" x14ac:dyDescent="0.35">
      <c r="C10879" s="82"/>
    </row>
    <row r="10880" spans="3:3" x14ac:dyDescent="0.35">
      <c r="C10880" s="82"/>
    </row>
    <row r="10881" spans="2:9" x14ac:dyDescent="0.35">
      <c r="C10881" s="82"/>
    </row>
    <row r="10882" spans="2:9" x14ac:dyDescent="0.35">
      <c r="C10882" s="82"/>
    </row>
    <row r="10883" spans="2:9" x14ac:dyDescent="0.35">
      <c r="C10883" s="82"/>
    </row>
    <row r="10884" spans="2:9" x14ac:dyDescent="0.35">
      <c r="C10884" s="82"/>
    </row>
    <row r="10885" spans="2:9" x14ac:dyDescent="0.35">
      <c r="C10885" s="82"/>
    </row>
    <row r="10886" spans="2:9" x14ac:dyDescent="0.35">
      <c r="C10886" s="82"/>
    </row>
    <row r="10887" spans="2:9" x14ac:dyDescent="0.35">
      <c r="C10887" s="82"/>
    </row>
    <row r="10888" spans="2:9" x14ac:dyDescent="0.35">
      <c r="B10888" s="78"/>
      <c r="C10888" s="79"/>
      <c r="D10888" s="78"/>
      <c r="E10888" s="95"/>
      <c r="F10888" s="78"/>
      <c r="G10888" s="80"/>
      <c r="H10888" s="81"/>
      <c r="I10888" s="81"/>
    </row>
    <row r="10890" spans="2:9" x14ac:dyDescent="0.35">
      <c r="C10890" s="90"/>
    </row>
  </sheetData>
  <autoFilter ref="A1:Z3310" xr:uid="{FA679BEE-BEE7-427E-A8BD-A412D19370C7}"/>
  <mergeCells count="1">
    <mergeCell ref="A3310:C3310"/>
  </mergeCells>
  <conditionalFormatting sqref="B1:B1048576">
    <cfRule type="duplicateValues" dxfId="4" priority="3"/>
  </conditionalFormatting>
  <conditionalFormatting sqref="B3311:B1048576 B1:B3309">
    <cfRule type="duplicateValues" dxfId="3" priority="4"/>
  </conditionalFormatting>
  <conditionalFormatting sqref="C1:C1048576">
    <cfRule type="duplicateValues" dxfId="2" priority="1"/>
    <cfRule type="duplicateValues" dxfId="1" priority="2"/>
  </conditionalFormatting>
  <conditionalFormatting sqref="C3311:C1048576 C1:C3309">
    <cfRule type="duplicateValues" dxfId="0" priority="5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FG</vt:lpstr>
      <vt:lpstr>STOCK RAW</vt:lpstr>
      <vt:lpstr>STOCK GENERAL (GT)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SPIN</dc:creator>
  <cp:lastModifiedBy>Panji Depasha</cp:lastModifiedBy>
  <dcterms:created xsi:type="dcterms:W3CDTF">2025-12-01T08:26:16Z</dcterms:created>
  <dcterms:modified xsi:type="dcterms:W3CDTF">2025-12-16T08:00:33Z</dcterms:modified>
</cp:coreProperties>
</file>