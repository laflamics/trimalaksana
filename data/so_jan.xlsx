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<sst xmlns="http://schemas.openxmlformats.org/spreadsheetml/2006/main" count="228" uniqueCount="228">
  <si>
    <t>Bisnis</t>
  </si>
  <si>
    <t xml:space="preserve">Create Date</t>
  </si>
  <si>
    <t xml:space="preserve">No So</t>
  </si>
  <si>
    <t xml:space="preserve">Customer Code</t>
  </si>
  <si>
    <t>CUSTOMER</t>
  </si>
  <si>
    <t xml:space="preserve">Kd. Item</t>
  </si>
  <si>
    <t xml:space="preserve">Nama Item</t>
  </si>
  <si>
    <t>Jml</t>
  </si>
  <si>
    <t>Harga</t>
  </si>
  <si>
    <t>Total</t>
  </si>
  <si>
    <t>Packaging</t>
  </si>
  <si>
    <t>001/F/I/2026</t>
  </si>
  <si>
    <t>PL0132</t>
  </si>
  <si>
    <t xml:space="preserve">FURINDAH FURNITURE</t>
  </si>
  <si>
    <t>KRT02691</t>
  </si>
  <si>
    <t xml:space="preserve">KARDUS BOX KING KOIL UK 200X11X145 CM K200/M125X3/K200</t>
  </si>
  <si>
    <t>PO0000010973</t>
  </si>
  <si>
    <t>PL0114</t>
  </si>
  <si>
    <t xml:space="preserve">PT. INDONESIA KOITO</t>
  </si>
  <si>
    <t>TRM4149</t>
  </si>
  <si>
    <t xml:space="preserve">PARTISI FG D37D HL (PO-26) WARNA ORANGE,STIKER PO-26</t>
  </si>
  <si>
    <t>PO/KBP26-00006</t>
  </si>
  <si>
    <t>PL0112</t>
  </si>
  <si>
    <t xml:space="preserve">PT. KARYA BUMIMAS PERSADA</t>
  </si>
  <si>
    <t>KRT02452</t>
  </si>
  <si>
    <t xml:space="preserve">BOX WASTAFEL (BBP-BOX-WST)</t>
  </si>
  <si>
    <t>A1/STYLEFOX/0A1</t>
  </si>
  <si>
    <t>PL0161</t>
  </si>
  <si>
    <t xml:space="preserve">PT. ANDARI SAKTI</t>
  </si>
  <si>
    <t>KRT05006</t>
  </si>
  <si>
    <t xml:space="preserve">BOX FOX P15XL14XT8</t>
  </si>
  <si>
    <t>001/PO/CAC/1/2026</t>
  </si>
  <si>
    <t>PL0069</t>
  </si>
  <si>
    <t xml:space="preserve">PT. CAC PUTRA PERKASA</t>
  </si>
  <si>
    <t>KRT00131</t>
  </si>
  <si>
    <t xml:space="preserve">CARTON BOX 387X277X125</t>
  </si>
  <si>
    <t>SPG-PO/001/I-2026</t>
  </si>
  <si>
    <t>PL0168</t>
  </si>
  <si>
    <t xml:space="preserve">PT. SIGMA PACK GEMILANG</t>
  </si>
  <si>
    <t>KRT05007</t>
  </si>
  <si>
    <t xml:space="preserve">CB. PANORAMIC/WINDSHIELD BYD UK 1550X160X1040 K150XM125X3/K150 CB/F</t>
  </si>
  <si>
    <t>KRT05008</t>
  </si>
  <si>
    <t xml:space="preserve">CB.RWS BYD UK 1390X240X535  K150XM125X3/K150 CB/F</t>
  </si>
  <si>
    <t>KRT05009</t>
  </si>
  <si>
    <t xml:space="preserve">CB.FR/RR DOOR BYD UK 1065X160X615  K150XM125X3/K150 CB/F</t>
  </si>
  <si>
    <t>KRT05010</t>
  </si>
  <si>
    <t xml:space="preserve">CB.FR SUBROOF BYD UK 1310X100X350 K150XM125X3/K150 CB/F</t>
  </si>
  <si>
    <t>KRT05011</t>
  </si>
  <si>
    <t xml:space="preserve">CB.FV BYD UK 640X100X340 K150XM125X3/K150 CB/F</t>
  </si>
  <si>
    <t>KRT05012</t>
  </si>
  <si>
    <t xml:space="preserve">CB SW BYD UK 750X100X480 K150XM125X3/K150 CB/F</t>
  </si>
  <si>
    <t>PO2601-010</t>
  </si>
  <si>
    <t>PL0138</t>
  </si>
  <si>
    <t xml:space="preserve">PT . EHWA INDONESIA</t>
  </si>
  <si>
    <t>KRT01104</t>
  </si>
  <si>
    <t xml:space="preserve">4.5INCH OUT BOX (10PK) - DW4724 225X155X115MM (PM2156)</t>
  </si>
  <si>
    <t>KRT02166</t>
  </si>
  <si>
    <t xml:space="preserve">OUTBOX SGA 4,5" MP 100PCS (PM2218)</t>
  </si>
  <si>
    <t>MRO/29016/PC/2026</t>
  </si>
  <si>
    <t>PL0049</t>
  </si>
  <si>
    <t xml:space="preserve">PT. PANASONIC MANUFACTURING INDONESIA</t>
  </si>
  <si>
    <t>KRT00203</t>
  </si>
  <si>
    <t xml:space="preserve">CARTON BOX EVAPORATOR REGULER 72X26.5X22.5CM K275/M125/K275 BF 2 LAYER</t>
  </si>
  <si>
    <t>GBU/PO/C/01/2026/00005</t>
  </si>
  <si>
    <t>PL0087</t>
  </si>
  <si>
    <t xml:space="preserve">PT. GUNA BAKTI UNGGUL</t>
  </si>
  <si>
    <t>KRT01135</t>
  </si>
  <si>
    <t xml:space="preserve">DUS NAMPAN FIONA 56X42.5X47 CM</t>
  </si>
  <si>
    <t xml:space="preserve">DUS SAPU WINNY 125X30X32.5 CM</t>
  </si>
  <si>
    <t>3700183161</t>
  </si>
  <si>
    <t>PL0151</t>
  </si>
  <si>
    <t xml:space="preserve">PERSEROAN TERBATAS - BADAN WIRYAMANTA SADINA</t>
  </si>
  <si>
    <t>KRT03785</t>
  </si>
  <si>
    <t xml:space="preserve">PARTY BOX ACTIVITY (1X50 SET)</t>
  </si>
  <si>
    <t>3700183162</t>
  </si>
  <si>
    <t>002/PO/CAC/I/2026</t>
  </si>
  <si>
    <t>KRT05017</t>
  </si>
  <si>
    <t xml:space="preserve">BOX TUTUP UK 113X110X12.5CM 4 WALL KMK 275 CCBF</t>
  </si>
  <si>
    <t>003/PO/CAC/I/2026</t>
  </si>
  <si>
    <t>KRT02024</t>
  </si>
  <si>
    <t xml:space="preserve">CARTON BOX PARTISI 270X2777X145</t>
  </si>
  <si>
    <t>KRT05018</t>
  </si>
  <si>
    <t>PARTISI</t>
  </si>
  <si>
    <t>KRT05019</t>
  </si>
  <si>
    <t>LAYER</t>
  </si>
  <si>
    <t>PA26010087</t>
  </si>
  <si>
    <t>PL0023</t>
  </si>
  <si>
    <t xml:space="preserve">PT. KAWASAKI MOTOR INDONESIA</t>
  </si>
  <si>
    <t>KRT01966</t>
  </si>
  <si>
    <t xml:space="preserve">CARTON BOX K-79 (BROWN) (K8120-0058)</t>
  </si>
  <si>
    <t>WASION2601-PO002</t>
  </si>
  <si>
    <t>PL0207</t>
  </si>
  <si>
    <t xml:space="preserve">WASION GROUP</t>
  </si>
  <si>
    <t>KRT05014</t>
  </si>
  <si>
    <t xml:space="preserve">BOX UK 160X100X315MM K125/M125/K125 C/FLUTE</t>
  </si>
  <si>
    <t>PO20260100032</t>
  </si>
  <si>
    <t>PL0134</t>
  </si>
  <si>
    <t xml:space="preserve">PT WANG SARIMULTI UTAMA</t>
  </si>
  <si>
    <t>KRT03186</t>
  </si>
  <si>
    <t xml:space="preserve">LAYER W6 370X220 - LAYER W6</t>
  </si>
  <si>
    <t>001/CSI/PO/I/2026</t>
  </si>
  <si>
    <t>PL0188</t>
  </si>
  <si>
    <t xml:space="preserve">PT. Cipta Synergi Indonesia</t>
  </si>
  <si>
    <t>KRT01466</t>
  </si>
  <si>
    <t xml:space="preserve">BOX PM 550X360X300MM K125/M125X4 CBF</t>
  </si>
  <si>
    <t>KRT00242</t>
  </si>
  <si>
    <t xml:space="preserve">CARTON BOX SIZE : 70CM X 40CM X 26CM (NB354)</t>
  </si>
  <si>
    <t>KRT00243</t>
  </si>
  <si>
    <t xml:space="preserve">CARTON BOX SIZE : 70CM X 40CM X 40CM (NB355)</t>
  </si>
  <si>
    <t>PO20251215000157</t>
  </si>
  <si>
    <t>PL0113</t>
  </si>
  <si>
    <t xml:space="preserve">PT. EVERPRO INDONESIA TECHNOLOGIES</t>
  </si>
  <si>
    <t>KRT04061</t>
  </si>
  <si>
    <t xml:space="preserve">(994819000010083) PACKAGING BOX/NEUTRAL LOGO PACKAGING/UK 370X370X430 MM</t>
  </si>
  <si>
    <t>KRT04050</t>
  </si>
  <si>
    <t xml:space="preserve">(994819000000192) CARTON 5 LAYERS CORRUGATED PAPER OUTER UK 375X375X375 MM HW EXCLUSIVE</t>
  </si>
  <si>
    <t>PUR-PO-0126/0029</t>
  </si>
  <si>
    <t>PL0076</t>
  </si>
  <si>
    <t xml:space="preserve">PT. ASAHI INDONESIA</t>
  </si>
  <si>
    <t>KRT00248</t>
  </si>
  <si>
    <t xml:space="preserve">CARTON LAYER 950X770</t>
  </si>
  <si>
    <t>PO/STP/I/2026/006</t>
  </si>
  <si>
    <t>PL0101</t>
  </si>
  <si>
    <t xml:space="preserve">PT. STAR TEC PACIFIC</t>
  </si>
  <si>
    <t>KRT02150</t>
  </si>
  <si>
    <t xml:space="preserve">SIDE REEL 10 STP</t>
  </si>
  <si>
    <t>PO/2026/A/006/RMIP</t>
  </si>
  <si>
    <t>PL0136</t>
  </si>
  <si>
    <t xml:space="preserve">PT. TECHNO INDONESIA</t>
  </si>
  <si>
    <t>KRT03849</t>
  </si>
  <si>
    <t xml:space="preserve">LAYER CTN 316X206 MM</t>
  </si>
  <si>
    <t>KRT03850</t>
  </si>
  <si>
    <t xml:space="preserve">LAYER CTN 350X310 MM</t>
  </si>
  <si>
    <t>KRT02767</t>
  </si>
  <si>
    <t xml:space="preserve">CARTON BOX 540X490X242 MM</t>
  </si>
  <si>
    <t>KRT05024</t>
  </si>
  <si>
    <t xml:space="preserve">CARTON BOX 360X326X212 MM</t>
  </si>
  <si>
    <t>KRT03725</t>
  </si>
  <si>
    <t xml:space="preserve">KARTON BOX 326 X 216 X 154 MM</t>
  </si>
  <si>
    <t>KRT03726</t>
  </si>
  <si>
    <t xml:space="preserve">PARTISI 316 X 206 X 135 MM</t>
  </si>
  <si>
    <t>001/SP/I/2026</t>
  </si>
  <si>
    <t>PL0130</t>
  </si>
  <si>
    <t xml:space="preserve">PT. SMART PRODUCTION</t>
  </si>
  <si>
    <t>IMP4402</t>
  </si>
  <si>
    <t xml:space="preserve">PARTISI EVA 460X290X85 (SPONGE BODY CALIPER) WARNA HITAM</t>
  </si>
  <si>
    <t>001/ABM/TLJP/I/26</t>
  </si>
  <si>
    <t>PL0186</t>
  </si>
  <si>
    <t xml:space="preserve">PT. AGRASINDO BERKAH MANDIRI</t>
  </si>
  <si>
    <t>KRT05023</t>
  </si>
  <si>
    <t xml:space="preserve">LAYER COAK</t>
  </si>
  <si>
    <t>SPG-PO-010/I-2026</t>
  </si>
  <si>
    <t>KRT03574</t>
  </si>
  <si>
    <t xml:space="preserve">KARTON BOX SUZUKI 14" UK 395X395X190 K150/M125X3/K150 CB/F</t>
  </si>
  <si>
    <t>120126-0010</t>
  </si>
  <si>
    <t>PL0002</t>
  </si>
  <si>
    <t xml:space="preserve">PT. MAJU TEKNIK UTAMA INDONESIA</t>
  </si>
  <si>
    <t>KRT03516</t>
  </si>
  <si>
    <t xml:space="preserve">KARTON BOX VALVE 50 KG 220X160X145 KMK 125 BF</t>
  </si>
  <si>
    <t>WP2601001</t>
  </si>
  <si>
    <t>KRT02336</t>
  </si>
  <si>
    <t xml:space="preserve">MASTER BOX 23 X 18 X 9 CM</t>
  </si>
  <si>
    <t>KRT02337</t>
  </si>
  <si>
    <t xml:space="preserve">MASTER BOX 14 X 14 X 13 CM</t>
  </si>
  <si>
    <t>KRT02338</t>
  </si>
  <si>
    <t xml:space="preserve">MASTER BOX 58 X 31 X 25 CM</t>
  </si>
  <si>
    <t>MRO/29057/PC/2026</t>
  </si>
  <si>
    <t>KRT00449</t>
  </si>
  <si>
    <t xml:space="preserve">PACKING MOTOR 04-UK 206X126X256 MM</t>
  </si>
  <si>
    <t>TLJP/26-0001</t>
  </si>
  <si>
    <t>PL0053</t>
  </si>
  <si>
    <t xml:space="preserve">PT. DAE HWA INDONESIA</t>
  </si>
  <si>
    <t>KRT00195</t>
  </si>
  <si>
    <t xml:space="preserve">CARTON BOX DH15 380X280X270 CBF</t>
  </si>
  <si>
    <t>KRT00228</t>
  </si>
  <si>
    <t xml:space="preserve">CARTON BOX DH 5 POLOS 820X450X680 MM K125/M125/K125 C/F</t>
  </si>
  <si>
    <t>002/SP/I/2026</t>
  </si>
  <si>
    <t>TRM4373</t>
  </si>
  <si>
    <t xml:space="preserve">PARTISI EVA INNER MASTER 01S WARNA BIRU</t>
  </si>
  <si>
    <t>PRI/PO/26/I/0055</t>
  </si>
  <si>
    <t>PL0108</t>
  </si>
  <si>
    <t xml:space="preserve">PT. PAPEROCKS INDONESIA TBK</t>
  </si>
  <si>
    <t>KRT02625</t>
  </si>
  <si>
    <t xml:space="preserve">Paper Tray Meat Market (P195xL125xT25mm), brown Kraft 350 GSM, Polos</t>
  </si>
  <si>
    <t>GBU/PO/C/01/2026/00014</t>
  </si>
  <si>
    <t>KRT03423</t>
  </si>
  <si>
    <t xml:space="preserve">MASTER BOX CANARY M (UK 56X32,4X40 CM)</t>
  </si>
  <si>
    <t>KRT03416</t>
  </si>
  <si>
    <t xml:space="preserve">MASTER BOX CANARY L (UK 73X40X46,5 CM)</t>
  </si>
  <si>
    <t>GBU/PO/C/01/2026/00017</t>
  </si>
  <si>
    <t>KRT01136</t>
  </si>
  <si>
    <t xml:space="preserve">DUS BASKOM SEGI RUBY S 12" (BB-004) UK. 54.6X50X33 CM</t>
  </si>
  <si>
    <t>KRT03397</t>
  </si>
  <si>
    <t xml:space="preserve">DUS SEALWARE HAVANA M UK 55X37X69,5 CM</t>
  </si>
  <si>
    <t>KRT03267</t>
  </si>
  <si>
    <t xml:space="preserve">MASTERBOX SEALWARE SNAPY CONTAINER M (UK 54X27X39 CM)</t>
  </si>
  <si>
    <t>KRT01341</t>
  </si>
  <si>
    <t xml:space="preserve">MASTER BOX SEALWARE BAHAMA L (UK. 78X55X53 CM)</t>
  </si>
  <si>
    <t>NST/PO/TLJP/2026-002</t>
  </si>
  <si>
    <t>PL0141</t>
  </si>
  <si>
    <t xml:space="preserve">PT. GESIA CIPTA BUANA</t>
  </si>
  <si>
    <t>IMP4461</t>
  </si>
  <si>
    <t xml:space="preserve">IMPRA LAYER UK 620X430X5MM BIRU MARKING : USE FOR INTERNAL SANSYU</t>
  </si>
  <si>
    <t>0001/PJ/CKRG/0126</t>
  </si>
  <si>
    <t>PL0137</t>
  </si>
  <si>
    <t xml:space="preserve">MR VASHDEV DHALAMAL</t>
  </si>
  <si>
    <t>KRT05027</t>
  </si>
  <si>
    <t xml:space="preserve">BOX POLOS UK 85X85X320 K125/M125/K125</t>
  </si>
  <si>
    <t>KRT05028</t>
  </si>
  <si>
    <t xml:space="preserve">BOX POLOS UK 185X85X320 K125/M125/K125</t>
  </si>
  <si>
    <t>KRT05029</t>
  </si>
  <si>
    <t xml:space="preserve">BOX POLOS UK 260X85X320 K125/M125/K125</t>
  </si>
  <si>
    <t>NST/PO/TLJP/2026-001</t>
  </si>
  <si>
    <t>KRT04920</t>
  </si>
  <si>
    <t xml:space="preserve">PAPER REEL 330</t>
  </si>
  <si>
    <t>KRT05025</t>
  </si>
  <si>
    <t xml:space="preserve">PAPER REEL 360</t>
  </si>
  <si>
    <t>KRT04921</t>
  </si>
  <si>
    <t xml:space="preserve">PAPER REEL 370</t>
  </si>
  <si>
    <t>KRT04922</t>
  </si>
  <si>
    <t xml:space="preserve">PAPER REEL 380</t>
  </si>
  <si>
    <t>2620037</t>
  </si>
  <si>
    <t>PL0052</t>
  </si>
  <si>
    <t xml:space="preserve">PT. ASTEER THAI SUMMIT</t>
  </si>
  <si>
    <t>KRT01420</t>
  </si>
  <si>
    <t xml:space="preserve">CARTON BOX NECK FUEL FILLER QX 810X140X320MM (K150/M125/K150 C/F)</t>
  </si>
  <si>
    <t>KRT03549</t>
  </si>
  <si>
    <t xml:space="preserve">CARTON BOX FRONT END QX 1500X630X420 MM K150/M125/K150 C/F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</si>
</sst>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[$-409]dd\-mmm\-yy;@"/>
    <numFmt numFmtId="165" formatCode="#,##0_ ;[Red]\-#,##0\ "/>
    <numFmt numFmtId="166" formatCode="_-[$Rp-3809]* #,##0_-;\-[$Rp-3809]* #,##0_-;_-[$Rp-3809]* &quot;-&quot;??_-;_-@_-"/>
  </numFmts>
  <fonts count="4">
    <font>
      <sz val="11.000000"/>
      <color theme="1"/>
      <name val="Calibri"/>
      <scheme val="minor"/>
    </font>
    <font>
      <b/>
      <sz val="8.000000"/>
      <name val="Arial"/>
    </font>
    <font>
      <sz val="8.000000"/>
      <name val="Arial"/>
    </font>
    <font>
      <sz val="10.000000"/>
      <color theme="1"/>
      <name val="Asana"/>
    </font>
  </fonts>
  <fills count="4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theme="5" tint="0.7999816888943144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1">
    <xf fontId="0" fillId="0" borderId="0" numFmtId="0" xfId="0"/>
    <xf fontId="1" fillId="2" borderId="1" numFmtId="0" xfId="0" applyFont="1" applyFill="1" applyBorder="1" applyAlignment="1">
      <alignment horizontal="center" vertical="center"/>
    </xf>
    <xf fontId="1" fillId="2" borderId="1" numFmtId="164" xfId="0" applyNumberFormat="1" applyFont="1" applyFill="1" applyBorder="1" applyAlignment="1">
      <alignment horizontal="center" vertical="center"/>
    </xf>
    <xf fontId="1" fillId="2" borderId="1" numFmtId="0" xfId="0" applyFont="1" applyFill="1" applyBorder="1" applyAlignment="1">
      <alignment vertical="center"/>
    </xf>
    <xf fontId="1" fillId="2" borderId="1" numFmtId="165" xfId="0" applyNumberFormat="1" applyFont="1" applyFill="1" applyBorder="1" applyAlignment="1">
      <alignment horizontal="center" vertical="center"/>
    </xf>
    <xf fontId="1" fillId="2" borderId="1" numFmtId="166" xfId="0" applyNumberFormat="1" applyFont="1" applyFill="1" applyBorder="1" applyAlignment="1">
      <alignment horizontal="center" vertical="center"/>
    </xf>
    <xf fontId="1" fillId="0" borderId="0" numFmtId="0" xfId="0" applyFont="1" applyAlignment="1">
      <alignment horizontal="center" vertical="center"/>
    </xf>
    <xf fontId="2" fillId="0" borderId="1" numFmtId="0" xfId="0" applyFont="1" applyBorder="1" applyAlignment="1">
      <alignment horizontal="center" vertical="center"/>
    </xf>
    <xf fontId="2" fillId="0" borderId="1" numFmtId="164" xfId="0" applyNumberFormat="1" applyFont="1" applyBorder="1" applyAlignment="1">
      <alignment horizontal="center" vertical="center"/>
    </xf>
    <xf fontId="2" fillId="3" borderId="1" numFmtId="0" xfId="0" applyFont="1" applyFill="1" applyBorder="1" applyAlignment="1">
      <alignment horizontal="left" vertical="center"/>
    </xf>
    <xf fontId="2" fillId="0" borderId="1" numFmtId="0" xfId="0" applyFont="1" applyBorder="1" applyAlignment="1">
      <alignment horizontal="left" vertical="center"/>
    </xf>
    <xf fontId="2" fillId="0" borderId="1" numFmtId="0" xfId="0" applyFont="1" applyBorder="1" applyAlignment="1">
      <alignment vertical="center"/>
    </xf>
    <xf fontId="2" fillId="0" borderId="1" numFmtId="165" xfId="0" applyNumberFormat="1" applyFont="1" applyBorder="1" applyAlignment="1">
      <alignment horizontal="center" vertical="center"/>
    </xf>
    <xf fontId="2" fillId="0" borderId="1" numFmtId="166" xfId="0" applyNumberFormat="1" applyFont="1" applyBorder="1" applyAlignment="1">
      <alignment horizontal="center" vertical="center"/>
    </xf>
    <xf fontId="2" fillId="0" borderId="0" numFmtId="0" xfId="0" applyFont="1" applyAlignment="1">
      <alignment horizontal="center" vertical="center"/>
    </xf>
    <xf fontId="3" fillId="0" borderId="1" numFmtId="0" xfId="0" applyFont="1" applyBorder="1" applyAlignment="1">
      <alignment horizontal="center"/>
    </xf>
    <xf fontId="2" fillId="0" borderId="0" numFmtId="164" xfId="0" applyNumberFormat="1" applyFont="1" applyAlignment="1">
      <alignment horizontal="center" vertical="center"/>
    </xf>
    <xf fontId="2" fillId="0" borderId="0" numFmtId="0" xfId="0" applyFont="1" applyAlignment="1">
      <alignment horizontal="left" vertical="center"/>
    </xf>
    <xf fontId="2" fillId="0" borderId="0" numFmtId="0" xfId="0" applyFont="1" applyAlignment="1">
      <alignment vertical="center"/>
    </xf>
    <xf fontId="2" fillId="0" borderId="0" numFmtId="165" xfId="0" applyNumberFormat="1" applyFont="1" applyAlignment="1">
      <alignment horizontal="center" vertical="center"/>
    </xf>
    <xf fontId="2" fillId="0" borderId="0" numFmtId="166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8.796875"/>
    <col customWidth="1" min="2" max="2" width="9.421875"/>
    <col bestFit="1" customWidth="1" min="3" max="3" width="17.46484375"/>
    <col bestFit="1" customWidth="1" min="4" max="4" width="11.73046875"/>
    <col customWidth="1" min="5" max="5" width="37.86328125"/>
    <col customWidth="1" min="6" max="6" width="9.46484375"/>
    <col customWidth="1" min="7" max="7" width="49.73046875"/>
    <col bestFit="1" customWidth="1" min="8" max="8" width="8.3984375"/>
    <col bestFit="1" customWidth="1" min="9" max="9" width="10.796875"/>
    <col customWidth="1" min="10" max="10" width="11.9296875"/>
    <col customWidth="1" min="11" max="16" width="9.1328125"/>
  </cols>
  <sheetData>
    <row r="1" ht="14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6"/>
      <c r="L1" s="6"/>
      <c r="M1" s="6"/>
      <c r="N1" s="6"/>
      <c r="O1" s="6"/>
      <c r="P1" s="6"/>
    </row>
    <row r="2" ht="14.25">
      <c r="A2" s="7" t="s">
        <v>10</v>
      </c>
      <c r="B2" s="8">
        <v>46024.474374999998</v>
      </c>
      <c r="C2" s="9" t="s">
        <v>11</v>
      </c>
      <c r="D2" s="7" t="s">
        <v>12</v>
      </c>
      <c r="E2" s="10" t="s">
        <v>13</v>
      </c>
      <c r="F2" s="7" t="s">
        <v>14</v>
      </c>
      <c r="G2" s="11" t="s">
        <v>15</v>
      </c>
      <c r="H2" s="12">
        <v>100</v>
      </c>
      <c r="I2" s="13">
        <v>105400</v>
      </c>
      <c r="J2" s="13">
        <f t="shared" ref="J2:J9" si="0">I2*H2</f>
        <v>10540000</v>
      </c>
      <c r="K2" s="14"/>
      <c r="L2" s="14"/>
      <c r="M2" s="14"/>
      <c r="N2" s="14"/>
      <c r="O2" s="14"/>
      <c r="P2" s="14"/>
    </row>
    <row r="3" ht="14.25">
      <c r="A3" s="7" t="s">
        <v>10</v>
      </c>
      <c r="B3" s="8">
        <v>46024.585833333331</v>
      </c>
      <c r="C3" s="10" t="s">
        <v>16</v>
      </c>
      <c r="D3" s="7" t="s">
        <v>17</v>
      </c>
      <c r="E3" s="10" t="s">
        <v>18</v>
      </c>
      <c r="F3" s="7" t="s">
        <v>19</v>
      </c>
      <c r="G3" s="11" t="s">
        <v>20</v>
      </c>
      <c r="H3" s="12">
        <v>255</v>
      </c>
      <c r="I3" s="13">
        <v>181070</v>
      </c>
      <c r="J3" s="13">
        <f t="shared" si="0"/>
        <v>46172850</v>
      </c>
      <c r="K3" s="14"/>
      <c r="L3" s="14"/>
      <c r="M3" s="14"/>
      <c r="N3" s="14"/>
      <c r="O3" s="14"/>
      <c r="P3" s="14"/>
    </row>
    <row r="4" ht="14.25">
      <c r="A4" s="7" t="s">
        <v>10</v>
      </c>
      <c r="B4" s="8">
        <v>46025.474641203706</v>
      </c>
      <c r="C4" s="10" t="s">
        <v>21</v>
      </c>
      <c r="D4" s="7" t="s">
        <v>22</v>
      </c>
      <c r="E4" s="10" t="s">
        <v>23</v>
      </c>
      <c r="F4" s="7" t="s">
        <v>24</v>
      </c>
      <c r="G4" s="11" t="s">
        <v>25</v>
      </c>
      <c r="H4" s="12">
        <v>500</v>
      </c>
      <c r="I4" s="13">
        <v>14090</v>
      </c>
      <c r="J4" s="13">
        <f t="shared" si="0"/>
        <v>7045000</v>
      </c>
      <c r="K4" s="14"/>
      <c r="L4" s="14"/>
      <c r="M4" s="14"/>
      <c r="N4" s="14"/>
      <c r="O4" s="14"/>
      <c r="P4" s="14"/>
    </row>
    <row r="5" ht="14.25">
      <c r="A5" s="7" t="s">
        <v>10</v>
      </c>
      <c r="B5" s="8">
        <v>46027.453680555554</v>
      </c>
      <c r="C5" s="10" t="s">
        <v>26</v>
      </c>
      <c r="D5" s="7" t="s">
        <v>27</v>
      </c>
      <c r="E5" s="10" t="s">
        <v>28</v>
      </c>
      <c r="F5" s="7" t="s">
        <v>29</v>
      </c>
      <c r="G5" s="11" t="s">
        <v>30</v>
      </c>
      <c r="H5" s="12">
        <v>4500</v>
      </c>
      <c r="I5" s="13">
        <v>949.99999999999989</v>
      </c>
      <c r="J5" s="13">
        <f t="shared" si="0"/>
        <v>4274999.9999999991</v>
      </c>
      <c r="K5" s="14"/>
      <c r="L5" s="14"/>
      <c r="M5" s="14"/>
      <c r="N5" s="14"/>
      <c r="O5" s="14"/>
      <c r="P5" s="14"/>
    </row>
    <row r="6" ht="14.25">
      <c r="A6" s="7" t="s">
        <v>10</v>
      </c>
      <c r="B6" s="8">
        <v>46027.570347222223</v>
      </c>
      <c r="C6" s="9" t="s">
        <v>31</v>
      </c>
      <c r="D6" s="7" t="s">
        <v>32</v>
      </c>
      <c r="E6" s="10" t="s">
        <v>33</v>
      </c>
      <c r="F6" s="7" t="s">
        <v>34</v>
      </c>
      <c r="G6" s="11" t="s">
        <v>35</v>
      </c>
      <c r="H6" s="12">
        <v>1500</v>
      </c>
      <c r="I6" s="13">
        <v>6000</v>
      </c>
      <c r="J6" s="13">
        <f t="shared" si="0"/>
        <v>9000000</v>
      </c>
      <c r="K6" s="14"/>
      <c r="L6" s="14"/>
      <c r="M6" s="14"/>
      <c r="N6" s="14"/>
      <c r="O6" s="14"/>
      <c r="P6" s="14"/>
    </row>
    <row r="7" ht="14.25">
      <c r="A7" s="7" t="s">
        <v>10</v>
      </c>
      <c r="B7" s="8">
        <v>46027.657858796294</v>
      </c>
      <c r="C7" s="10" t="s">
        <v>36</v>
      </c>
      <c r="D7" s="7" t="s">
        <v>37</v>
      </c>
      <c r="E7" s="10" t="s">
        <v>38</v>
      </c>
      <c r="F7" s="7" t="s">
        <v>39</v>
      </c>
      <c r="G7" s="11" t="s">
        <v>40</v>
      </c>
      <c r="H7" s="12">
        <v>20</v>
      </c>
      <c r="I7" s="13">
        <v>59500</v>
      </c>
      <c r="J7" s="13">
        <f t="shared" si="0"/>
        <v>1190000</v>
      </c>
      <c r="K7" s="14"/>
      <c r="L7" s="14"/>
      <c r="M7" s="14"/>
      <c r="N7" s="14"/>
      <c r="O7" s="14"/>
      <c r="P7" s="14"/>
    </row>
    <row r="8" ht="14.25">
      <c r="A8" s="7" t="s">
        <v>10</v>
      </c>
      <c r="B8" s="8">
        <v>46027.657858796294</v>
      </c>
      <c r="C8" s="10" t="s">
        <v>36</v>
      </c>
      <c r="D8" s="7" t="s">
        <v>37</v>
      </c>
      <c r="E8" s="10" t="s">
        <v>38</v>
      </c>
      <c r="F8" s="7" t="s">
        <v>41</v>
      </c>
      <c r="G8" s="11" t="s">
        <v>42</v>
      </c>
      <c r="H8" s="12">
        <v>20</v>
      </c>
      <c r="I8" s="13">
        <v>43000</v>
      </c>
      <c r="J8" s="13">
        <f t="shared" si="0"/>
        <v>860000</v>
      </c>
      <c r="K8" s="14"/>
      <c r="L8" s="14"/>
      <c r="M8" s="14"/>
      <c r="N8" s="14"/>
      <c r="O8" s="14"/>
      <c r="P8" s="14"/>
    </row>
    <row r="9" ht="14.25">
      <c r="A9" s="7" t="s">
        <v>10</v>
      </c>
      <c r="B9" s="8">
        <v>46027.657858796294</v>
      </c>
      <c r="C9" s="10" t="s">
        <v>36</v>
      </c>
      <c r="D9" s="7" t="s">
        <v>37</v>
      </c>
      <c r="E9" s="10" t="s">
        <v>38</v>
      </c>
      <c r="F9" s="7" t="s">
        <v>43</v>
      </c>
      <c r="G9" s="11" t="s">
        <v>44</v>
      </c>
      <c r="H9" s="12">
        <v>35</v>
      </c>
      <c r="I9" s="13">
        <v>28999.999999999996</v>
      </c>
      <c r="J9" s="13">
        <f t="shared" si="0"/>
        <v>1014999.9999999999</v>
      </c>
      <c r="K9" s="14"/>
      <c r="L9" s="14"/>
      <c r="M9" s="14"/>
      <c r="N9" s="14"/>
      <c r="O9" s="14"/>
      <c r="P9" s="14"/>
    </row>
    <row r="10" ht="14.25">
      <c r="A10" s="7" t="s">
        <v>10</v>
      </c>
      <c r="B10" s="8">
        <v>46027.657858796294</v>
      </c>
      <c r="C10" s="10" t="s">
        <v>36</v>
      </c>
      <c r="D10" s="7" t="s">
        <v>37</v>
      </c>
      <c r="E10" s="10" t="s">
        <v>38</v>
      </c>
      <c r="F10" s="7" t="s">
        <v>45</v>
      </c>
      <c r="G10" s="11" t="s">
        <v>46</v>
      </c>
      <c r="H10" s="12">
        <v>10</v>
      </c>
      <c r="I10" s="13">
        <v>22000</v>
      </c>
      <c r="J10" s="13">
        <f t="shared" ref="J10:J72" si="1">I10*H10</f>
        <v>220000</v>
      </c>
      <c r="K10" s="14"/>
      <c r="L10" s="14"/>
      <c r="M10" s="14"/>
      <c r="N10" s="14"/>
      <c r="O10" s="14"/>
      <c r="P10" s="14"/>
    </row>
    <row r="11" ht="14.25">
      <c r="A11" s="7" t="s">
        <v>10</v>
      </c>
      <c r="B11" s="8">
        <v>46027.657858796294</v>
      </c>
      <c r="C11" s="10" t="s">
        <v>36</v>
      </c>
      <c r="D11" s="7" t="s">
        <v>37</v>
      </c>
      <c r="E11" s="10" t="s">
        <v>38</v>
      </c>
      <c r="F11" s="7" t="s">
        <v>47</v>
      </c>
      <c r="G11" s="11" t="s">
        <v>48</v>
      </c>
      <c r="H11" s="12">
        <v>20</v>
      </c>
      <c r="I11" s="13">
        <v>11500</v>
      </c>
      <c r="J11" s="13">
        <f t="shared" si="1"/>
        <v>230000</v>
      </c>
      <c r="K11" s="14"/>
      <c r="L11" s="14"/>
      <c r="M11" s="14"/>
      <c r="N11" s="14"/>
      <c r="O11" s="14"/>
      <c r="P11" s="14"/>
    </row>
    <row r="12" ht="14.25">
      <c r="A12" s="7" t="s">
        <v>10</v>
      </c>
      <c r="B12" s="8">
        <v>46027.657858796294</v>
      </c>
      <c r="C12" s="10" t="s">
        <v>36</v>
      </c>
      <c r="D12" s="7" t="s">
        <v>37</v>
      </c>
      <c r="E12" s="10" t="s">
        <v>38</v>
      </c>
      <c r="F12" s="7" t="s">
        <v>49</v>
      </c>
      <c r="G12" s="11" t="s">
        <v>50</v>
      </c>
      <c r="H12" s="12">
        <v>20</v>
      </c>
      <c r="I12" s="13">
        <v>15500</v>
      </c>
      <c r="J12" s="13">
        <f t="shared" si="1"/>
        <v>310000</v>
      </c>
      <c r="K12" s="14"/>
      <c r="L12" s="14"/>
      <c r="M12" s="14"/>
      <c r="N12" s="14"/>
      <c r="O12" s="14"/>
      <c r="P12" s="14"/>
    </row>
    <row r="13" ht="14.25">
      <c r="A13" s="7" t="s">
        <v>10</v>
      </c>
      <c r="B13" s="8">
        <v>46028.456041666665</v>
      </c>
      <c r="C13" s="9" t="s">
        <v>51</v>
      </c>
      <c r="D13" s="15" t="s">
        <v>52</v>
      </c>
      <c r="E13" s="10" t="s">
        <v>53</v>
      </c>
      <c r="F13" s="7" t="s">
        <v>54</v>
      </c>
      <c r="G13" s="11" t="s">
        <v>55</v>
      </c>
      <c r="H13" s="12">
        <v>4000</v>
      </c>
      <c r="I13" s="13">
        <v>2221</v>
      </c>
      <c r="J13" s="13">
        <f t="shared" si="1"/>
        <v>8884000</v>
      </c>
      <c r="K13" s="14"/>
      <c r="L13" s="14"/>
      <c r="M13" s="14"/>
      <c r="N13" s="14"/>
      <c r="O13" s="14"/>
      <c r="P13" s="14"/>
    </row>
    <row r="14" ht="14.25">
      <c r="A14" s="7" t="s">
        <v>10</v>
      </c>
      <c r="B14" s="8">
        <v>46028.456041666665</v>
      </c>
      <c r="C14" s="9" t="s">
        <v>51</v>
      </c>
      <c r="D14" s="15" t="s">
        <v>52</v>
      </c>
      <c r="E14" s="10" t="s">
        <v>53</v>
      </c>
      <c r="F14" s="7" t="s">
        <v>56</v>
      </c>
      <c r="G14" s="11" t="s">
        <v>57</v>
      </c>
      <c r="H14" s="12">
        <v>500</v>
      </c>
      <c r="I14" s="13">
        <v>6208</v>
      </c>
      <c r="J14" s="13">
        <f t="shared" si="1"/>
        <v>3104000</v>
      </c>
      <c r="K14" s="14"/>
      <c r="L14" s="14"/>
      <c r="M14" s="14"/>
      <c r="N14" s="14"/>
      <c r="O14" s="14"/>
      <c r="P14" s="14"/>
    </row>
    <row r="15" ht="14.25">
      <c r="A15" s="7" t="s">
        <v>10</v>
      </c>
      <c r="B15" s="8">
        <v>46028.456041666665</v>
      </c>
      <c r="C15" s="10" t="s">
        <v>58</v>
      </c>
      <c r="D15" s="7" t="s">
        <v>59</v>
      </c>
      <c r="E15" s="10" t="s">
        <v>60</v>
      </c>
      <c r="F15" s="7" t="s">
        <v>61</v>
      </c>
      <c r="G15" s="11" t="s">
        <v>62</v>
      </c>
      <c r="H15" s="12">
        <v>330</v>
      </c>
      <c r="I15" s="13">
        <v>14800</v>
      </c>
      <c r="J15" s="13">
        <f t="shared" si="1"/>
        <v>4884000</v>
      </c>
      <c r="K15" s="14"/>
      <c r="L15" s="14"/>
      <c r="M15" s="14"/>
      <c r="N15" s="14"/>
      <c r="O15" s="14"/>
      <c r="P15" s="14"/>
    </row>
    <row r="16" ht="14.25">
      <c r="A16" s="7" t="s">
        <v>10</v>
      </c>
      <c r="B16" s="8">
        <v>46028.469212962962</v>
      </c>
      <c r="C16" s="10" t="s">
        <v>63</v>
      </c>
      <c r="D16" s="7" t="s">
        <v>64</v>
      </c>
      <c r="E16" s="10" t="s">
        <v>65</v>
      </c>
      <c r="F16" s="7" t="s">
        <v>66</v>
      </c>
      <c r="G16" s="11" t="s">
        <v>67</v>
      </c>
      <c r="H16" s="12">
        <v>75</v>
      </c>
      <c r="I16" s="13">
        <v>18750</v>
      </c>
      <c r="J16" s="13">
        <f t="shared" si="1"/>
        <v>1406250</v>
      </c>
      <c r="K16" s="14"/>
      <c r="L16" s="14"/>
      <c r="M16" s="14"/>
      <c r="N16" s="14"/>
      <c r="O16" s="14"/>
      <c r="P16" s="14"/>
    </row>
    <row r="17" ht="14.25">
      <c r="A17" s="7" t="s">
        <v>10</v>
      </c>
      <c r="B17" s="8">
        <v>46028.469212962962</v>
      </c>
      <c r="C17" s="10" t="s">
        <v>63</v>
      </c>
      <c r="D17" s="7" t="s">
        <v>64</v>
      </c>
      <c r="E17" s="10" t="s">
        <v>65</v>
      </c>
      <c r="F17" s="7" t="s">
        <v>66</v>
      </c>
      <c r="G17" s="11" t="s">
        <v>68</v>
      </c>
      <c r="H17" s="12">
        <v>100</v>
      </c>
      <c r="I17" s="13">
        <v>21600</v>
      </c>
      <c r="J17" s="13">
        <f t="shared" si="1"/>
        <v>2160000</v>
      </c>
      <c r="K17" s="14"/>
      <c r="L17" s="14"/>
      <c r="M17" s="14"/>
      <c r="N17" s="14"/>
      <c r="O17" s="14"/>
      <c r="P17" s="14"/>
    </row>
    <row r="18" ht="14.25">
      <c r="A18" s="7" t="s">
        <v>10</v>
      </c>
      <c r="B18" s="8">
        <v>46028.47079861111</v>
      </c>
      <c r="C18" s="10" t="s">
        <v>69</v>
      </c>
      <c r="D18" s="7" t="s">
        <v>70</v>
      </c>
      <c r="E18" s="10" t="s">
        <v>71</v>
      </c>
      <c r="F18" s="7" t="s">
        <v>72</v>
      </c>
      <c r="G18" s="11" t="s">
        <v>73</v>
      </c>
      <c r="H18" s="12">
        <v>54</v>
      </c>
      <c r="I18" s="13">
        <v>473000</v>
      </c>
      <c r="J18" s="13">
        <f t="shared" si="1"/>
        <v>25542000</v>
      </c>
      <c r="K18" s="14"/>
      <c r="L18" s="14"/>
      <c r="M18" s="14"/>
      <c r="N18" s="14"/>
      <c r="O18" s="14"/>
      <c r="P18" s="14"/>
    </row>
    <row r="19" ht="14.25">
      <c r="A19" s="7" t="s">
        <v>10</v>
      </c>
      <c r="B19" s="8">
        <v>46028.472291666665</v>
      </c>
      <c r="C19" s="10" t="s">
        <v>74</v>
      </c>
      <c r="D19" s="7" t="s">
        <v>70</v>
      </c>
      <c r="E19" s="10" t="s">
        <v>71</v>
      </c>
      <c r="F19" s="7" t="s">
        <v>72</v>
      </c>
      <c r="G19" s="11" t="s">
        <v>73</v>
      </c>
      <c r="H19" s="12">
        <v>54</v>
      </c>
      <c r="I19" s="13">
        <v>473000</v>
      </c>
      <c r="J19" s="13">
        <f t="shared" si="1"/>
        <v>25542000</v>
      </c>
      <c r="K19" s="14"/>
      <c r="L19" s="14"/>
      <c r="M19" s="14"/>
      <c r="N19" s="14"/>
      <c r="O19" s="14"/>
      <c r="P19" s="14"/>
    </row>
    <row r="20" ht="14.25">
      <c r="A20" s="7" t="s">
        <v>10</v>
      </c>
      <c r="B20" s="8">
        <v>46028.592835648145</v>
      </c>
      <c r="C20" s="9" t="s">
        <v>75</v>
      </c>
      <c r="D20" s="7" t="s">
        <v>32</v>
      </c>
      <c r="E20" s="10" t="s">
        <v>33</v>
      </c>
      <c r="F20" s="7" t="s">
        <v>76</v>
      </c>
      <c r="G20" s="11" t="s">
        <v>77</v>
      </c>
      <c r="H20" s="12">
        <v>100</v>
      </c>
      <c r="I20" s="13">
        <v>68500</v>
      </c>
      <c r="J20" s="13">
        <f t="shared" si="1"/>
        <v>6850000</v>
      </c>
      <c r="K20" s="14"/>
      <c r="L20" s="14"/>
      <c r="M20" s="14"/>
      <c r="N20" s="14"/>
      <c r="O20" s="14"/>
      <c r="P20" s="14"/>
    </row>
    <row r="21" ht="14.25">
      <c r="A21" s="7" t="s">
        <v>10</v>
      </c>
      <c r="B21" s="8">
        <v>46028.600208333337</v>
      </c>
      <c r="C21" s="10" t="s">
        <v>78</v>
      </c>
      <c r="D21" s="7" t="s">
        <v>32</v>
      </c>
      <c r="E21" s="10" t="s">
        <v>33</v>
      </c>
      <c r="F21" s="7" t="s">
        <v>79</v>
      </c>
      <c r="G21" s="11" t="s">
        <v>80</v>
      </c>
      <c r="H21" s="12">
        <v>200</v>
      </c>
      <c r="I21" s="13">
        <v>5700</v>
      </c>
      <c r="J21" s="13">
        <f t="shared" si="1"/>
        <v>1140000</v>
      </c>
      <c r="K21" s="14"/>
      <c r="L21" s="14"/>
      <c r="M21" s="14"/>
      <c r="N21" s="14"/>
      <c r="O21" s="14"/>
      <c r="P21" s="14"/>
    </row>
    <row r="22" ht="14.25">
      <c r="A22" s="7" t="s">
        <v>10</v>
      </c>
      <c r="B22" s="8">
        <v>46028.600208333337</v>
      </c>
      <c r="C22" s="10" t="s">
        <v>78</v>
      </c>
      <c r="D22" s="7" t="s">
        <v>32</v>
      </c>
      <c r="E22" s="10" t="s">
        <v>33</v>
      </c>
      <c r="F22" s="7" t="s">
        <v>81</v>
      </c>
      <c r="G22" s="11" t="s">
        <v>82</v>
      </c>
      <c r="H22" s="12">
        <v>400</v>
      </c>
      <c r="I22" s="13">
        <v>2500</v>
      </c>
      <c r="J22" s="13">
        <f t="shared" si="1"/>
        <v>1000000</v>
      </c>
      <c r="K22" s="14"/>
      <c r="L22" s="14"/>
      <c r="M22" s="14"/>
      <c r="N22" s="14"/>
      <c r="O22" s="14"/>
      <c r="P22" s="14"/>
    </row>
    <row r="23" ht="14.25">
      <c r="A23" s="7" t="s">
        <v>10</v>
      </c>
      <c r="B23" s="8">
        <v>46028.600208333337</v>
      </c>
      <c r="C23" s="10" t="s">
        <v>78</v>
      </c>
      <c r="D23" s="7" t="s">
        <v>32</v>
      </c>
      <c r="E23" s="10" t="s">
        <v>33</v>
      </c>
      <c r="F23" s="7" t="s">
        <v>83</v>
      </c>
      <c r="G23" s="11" t="s">
        <v>84</v>
      </c>
      <c r="H23" s="12">
        <v>200</v>
      </c>
      <c r="I23" s="13">
        <v>700</v>
      </c>
      <c r="J23" s="13">
        <f t="shared" si="1"/>
        <v>140000</v>
      </c>
      <c r="K23" s="14"/>
      <c r="L23" s="14"/>
      <c r="M23" s="14"/>
      <c r="N23" s="14"/>
      <c r="O23" s="14"/>
      <c r="P23" s="14"/>
    </row>
    <row r="24" ht="14.25">
      <c r="A24" s="7" t="s">
        <v>10</v>
      </c>
      <c r="B24" s="8">
        <v>46028.606886574074</v>
      </c>
      <c r="C24" s="10" t="s">
        <v>85</v>
      </c>
      <c r="D24" s="7" t="s">
        <v>86</v>
      </c>
      <c r="E24" s="10" t="s">
        <v>87</v>
      </c>
      <c r="F24" s="7" t="s">
        <v>88</v>
      </c>
      <c r="G24" s="11" t="s">
        <v>89</v>
      </c>
      <c r="H24" s="12">
        <v>20</v>
      </c>
      <c r="I24" s="13">
        <v>5800</v>
      </c>
      <c r="J24" s="13">
        <f t="shared" si="1"/>
        <v>116000</v>
      </c>
      <c r="K24" s="14"/>
      <c r="L24" s="14"/>
      <c r="M24" s="14"/>
      <c r="N24" s="14"/>
      <c r="O24" s="14"/>
      <c r="P24" s="14"/>
    </row>
    <row r="25" ht="14.25">
      <c r="A25" s="7" t="s">
        <v>10</v>
      </c>
      <c r="B25" s="8">
        <v>46028.606886574074</v>
      </c>
      <c r="C25" s="10" t="s">
        <v>85</v>
      </c>
      <c r="D25" s="7" t="s">
        <v>86</v>
      </c>
      <c r="E25" s="10" t="s">
        <v>87</v>
      </c>
      <c r="F25" s="7" t="s">
        <v>88</v>
      </c>
      <c r="G25" s="11" t="s">
        <v>89</v>
      </c>
      <c r="H25" s="12">
        <v>20</v>
      </c>
      <c r="I25" s="13">
        <v>5800</v>
      </c>
      <c r="J25" s="13">
        <f t="shared" si="1"/>
        <v>116000</v>
      </c>
      <c r="K25" s="14"/>
      <c r="L25" s="14"/>
      <c r="M25" s="14"/>
      <c r="N25" s="14"/>
      <c r="O25" s="14"/>
      <c r="P25" s="14"/>
    </row>
    <row r="26" ht="14.25">
      <c r="A26" s="7" t="s">
        <v>10</v>
      </c>
      <c r="B26" s="8">
        <v>46028.606886574074</v>
      </c>
      <c r="C26" s="10" t="s">
        <v>85</v>
      </c>
      <c r="D26" s="7" t="s">
        <v>86</v>
      </c>
      <c r="E26" s="10" t="s">
        <v>87</v>
      </c>
      <c r="F26" s="7" t="s">
        <v>88</v>
      </c>
      <c r="G26" s="11" t="s">
        <v>89</v>
      </c>
      <c r="H26" s="12">
        <v>20</v>
      </c>
      <c r="I26" s="13">
        <v>5800</v>
      </c>
      <c r="J26" s="13">
        <f t="shared" si="1"/>
        <v>116000</v>
      </c>
      <c r="K26" s="14"/>
      <c r="L26" s="14"/>
      <c r="M26" s="14"/>
      <c r="N26" s="14"/>
      <c r="O26" s="14"/>
      <c r="P26" s="14"/>
    </row>
    <row r="27" ht="14.25">
      <c r="A27" s="7" t="s">
        <v>10</v>
      </c>
      <c r="B27" s="8">
        <v>46028.702650462961</v>
      </c>
      <c r="C27" s="10" t="s">
        <v>90</v>
      </c>
      <c r="D27" s="7" t="s">
        <v>91</v>
      </c>
      <c r="E27" s="10" t="s">
        <v>92</v>
      </c>
      <c r="F27" s="7" t="s">
        <v>93</v>
      </c>
      <c r="G27" s="11" t="s">
        <v>94</v>
      </c>
      <c r="H27" s="12">
        <v>1000</v>
      </c>
      <c r="I27" s="13">
        <v>4519</v>
      </c>
      <c r="J27" s="13">
        <f t="shared" si="1"/>
        <v>4519000</v>
      </c>
      <c r="K27" s="14"/>
      <c r="L27" s="14"/>
      <c r="M27" s="14"/>
      <c r="N27" s="14"/>
      <c r="O27" s="14"/>
      <c r="P27" s="14"/>
    </row>
    <row r="28" ht="14.25">
      <c r="A28" s="7" t="s">
        <v>10</v>
      </c>
      <c r="B28" s="8">
        <v>46029.409328703703</v>
      </c>
      <c r="C28" s="10" t="s">
        <v>95</v>
      </c>
      <c r="D28" s="7" t="s">
        <v>96</v>
      </c>
      <c r="E28" s="10" t="s">
        <v>97</v>
      </c>
      <c r="F28" s="7" t="s">
        <v>98</v>
      </c>
      <c r="G28" s="11" t="s">
        <v>99</v>
      </c>
      <c r="H28" s="12">
        <v>100</v>
      </c>
      <c r="I28" s="13">
        <v>999.99999999999989</v>
      </c>
      <c r="J28" s="13">
        <f t="shared" si="1"/>
        <v>99999.999999999985</v>
      </c>
      <c r="K28" s="14"/>
      <c r="L28" s="14"/>
      <c r="M28" s="14"/>
      <c r="N28" s="14"/>
      <c r="O28" s="14"/>
      <c r="P28" s="14"/>
    </row>
    <row r="29" ht="14.25">
      <c r="A29" s="7" t="s">
        <v>10</v>
      </c>
      <c r="B29" s="8">
        <v>46029.413136574076</v>
      </c>
      <c r="C29" s="10" t="s">
        <v>100</v>
      </c>
      <c r="D29" s="7" t="s">
        <v>101</v>
      </c>
      <c r="E29" s="10" t="s">
        <v>102</v>
      </c>
      <c r="F29" s="7" t="s">
        <v>103</v>
      </c>
      <c r="G29" s="11" t="s">
        <v>104</v>
      </c>
      <c r="H29" s="12">
        <v>2000</v>
      </c>
      <c r="I29" s="13">
        <v>9500</v>
      </c>
      <c r="J29" s="13">
        <f t="shared" si="1"/>
        <v>19000000</v>
      </c>
      <c r="K29" s="14"/>
      <c r="L29" s="14"/>
      <c r="M29" s="14"/>
      <c r="N29" s="14"/>
      <c r="O29" s="14"/>
      <c r="P29" s="14"/>
    </row>
    <row r="30" ht="14.25">
      <c r="A30" s="7" t="s">
        <v>10</v>
      </c>
      <c r="B30" s="8">
        <v>46029.413136574076</v>
      </c>
      <c r="C30" s="10" t="s">
        <v>100</v>
      </c>
      <c r="D30" s="7" t="s">
        <v>101</v>
      </c>
      <c r="E30" s="10" t="s">
        <v>102</v>
      </c>
      <c r="F30" s="7" t="s">
        <v>105</v>
      </c>
      <c r="G30" s="11" t="s">
        <v>106</v>
      </c>
      <c r="H30" s="12">
        <v>50</v>
      </c>
      <c r="I30" s="13">
        <v>13000</v>
      </c>
      <c r="J30" s="13">
        <f t="shared" si="1"/>
        <v>650000</v>
      </c>
      <c r="K30" s="14"/>
      <c r="L30" s="14"/>
      <c r="M30" s="14"/>
      <c r="N30" s="14"/>
      <c r="O30" s="14"/>
      <c r="P30" s="14"/>
    </row>
    <row r="31" ht="14.25">
      <c r="A31" s="7" t="s">
        <v>10</v>
      </c>
      <c r="B31" s="8">
        <v>46029.413136574076</v>
      </c>
      <c r="C31" s="10" t="s">
        <v>100</v>
      </c>
      <c r="D31" s="7" t="s">
        <v>101</v>
      </c>
      <c r="E31" s="10" t="s">
        <v>102</v>
      </c>
      <c r="F31" s="7" t="s">
        <v>107</v>
      </c>
      <c r="G31" s="11" t="s">
        <v>108</v>
      </c>
      <c r="H31" s="12">
        <v>50</v>
      </c>
      <c r="I31" s="13">
        <v>14000</v>
      </c>
      <c r="J31" s="13">
        <f t="shared" si="1"/>
        <v>700000</v>
      </c>
      <c r="K31" s="14"/>
      <c r="L31" s="14"/>
      <c r="M31" s="14"/>
      <c r="N31" s="14"/>
      <c r="O31" s="14"/>
      <c r="P31" s="14"/>
    </row>
    <row r="32" ht="14.25">
      <c r="A32" s="7" t="s">
        <v>10</v>
      </c>
      <c r="B32" s="8">
        <v>46029.573506944442</v>
      </c>
      <c r="C32" s="10" t="s">
        <v>109</v>
      </c>
      <c r="D32" s="7" t="s">
        <v>110</v>
      </c>
      <c r="E32" s="10" t="s">
        <v>111</v>
      </c>
      <c r="F32" s="7" t="s">
        <v>112</v>
      </c>
      <c r="G32" s="11" t="s">
        <v>113</v>
      </c>
      <c r="H32" s="12">
        <v>2000</v>
      </c>
      <c r="I32" s="13">
        <v>17500</v>
      </c>
      <c r="J32" s="13">
        <f t="shared" si="1"/>
        <v>35000000</v>
      </c>
      <c r="K32" s="14"/>
      <c r="L32" s="14"/>
      <c r="M32" s="14"/>
      <c r="N32" s="14"/>
      <c r="O32" s="14"/>
      <c r="P32" s="14"/>
    </row>
    <row r="33" ht="14.25">
      <c r="A33" s="7" t="s">
        <v>10</v>
      </c>
      <c r="B33" s="8">
        <v>46029.573506944442</v>
      </c>
      <c r="C33" s="10" t="s">
        <v>109</v>
      </c>
      <c r="D33" s="7" t="s">
        <v>110</v>
      </c>
      <c r="E33" s="10" t="s">
        <v>111</v>
      </c>
      <c r="F33" s="7" t="s">
        <v>114</v>
      </c>
      <c r="G33" s="11" t="s">
        <v>115</v>
      </c>
      <c r="H33" s="12">
        <v>1000</v>
      </c>
      <c r="I33" s="13">
        <v>18600</v>
      </c>
      <c r="J33" s="13">
        <f t="shared" si="1"/>
        <v>18600000</v>
      </c>
      <c r="K33" s="14"/>
      <c r="L33" s="14"/>
      <c r="M33" s="14"/>
      <c r="N33" s="14"/>
      <c r="O33" s="14"/>
      <c r="P33" s="14"/>
    </row>
    <row r="34" ht="14.25">
      <c r="A34" s="7" t="s">
        <v>10</v>
      </c>
      <c r="B34" s="8">
        <v>46029.634988425925</v>
      </c>
      <c r="C34" s="10" t="s">
        <v>116</v>
      </c>
      <c r="D34" s="7" t="s">
        <v>117</v>
      </c>
      <c r="E34" s="10" t="s">
        <v>118</v>
      </c>
      <c r="F34" s="7" t="s">
        <v>119</v>
      </c>
      <c r="G34" s="11" t="s">
        <v>120</v>
      </c>
      <c r="H34" s="12">
        <v>500</v>
      </c>
      <c r="I34" s="13">
        <v>5600</v>
      </c>
      <c r="J34" s="13">
        <f t="shared" si="1"/>
        <v>2800000</v>
      </c>
      <c r="K34" s="14"/>
      <c r="L34" s="14"/>
      <c r="M34" s="14"/>
      <c r="N34" s="14"/>
      <c r="O34" s="14"/>
      <c r="P34" s="14"/>
    </row>
    <row r="35" ht="14.25">
      <c r="A35" s="7" t="s">
        <v>10</v>
      </c>
      <c r="B35" s="8">
        <v>46029.635810185187</v>
      </c>
      <c r="C35" s="10" t="s">
        <v>121</v>
      </c>
      <c r="D35" s="7" t="s">
        <v>122</v>
      </c>
      <c r="E35" s="10" t="s">
        <v>123</v>
      </c>
      <c r="F35" s="7" t="s">
        <v>124</v>
      </c>
      <c r="G35" s="11" t="s">
        <v>125</v>
      </c>
      <c r="H35" s="12">
        <v>3000</v>
      </c>
      <c r="I35" s="13">
        <v>5900</v>
      </c>
      <c r="J35" s="13">
        <f t="shared" si="1"/>
        <v>17700000</v>
      </c>
      <c r="K35" s="14"/>
      <c r="L35" s="14"/>
      <c r="M35" s="14"/>
      <c r="N35" s="14"/>
      <c r="O35" s="14"/>
      <c r="P35" s="14"/>
    </row>
    <row r="36" ht="14.25">
      <c r="A36" s="7" t="s">
        <v>10</v>
      </c>
      <c r="B36" s="8">
        <v>46029.708182870374</v>
      </c>
      <c r="C36" s="10" t="s">
        <v>126</v>
      </c>
      <c r="D36" s="7" t="s">
        <v>127</v>
      </c>
      <c r="E36" s="10" t="s">
        <v>128</v>
      </c>
      <c r="F36" s="7" t="s">
        <v>129</v>
      </c>
      <c r="G36" s="11" t="s">
        <v>130</v>
      </c>
      <c r="H36" s="12">
        <v>300</v>
      </c>
      <c r="I36" s="13">
        <v>520</v>
      </c>
      <c r="J36" s="13">
        <f t="shared" si="1"/>
        <v>156000</v>
      </c>
      <c r="K36" s="14"/>
      <c r="L36" s="14"/>
      <c r="M36" s="14"/>
      <c r="N36" s="14"/>
      <c r="O36" s="14"/>
      <c r="P36" s="14"/>
    </row>
    <row r="37" ht="14.25">
      <c r="A37" s="7" t="s">
        <v>10</v>
      </c>
      <c r="B37" s="8">
        <v>46029.708182870374</v>
      </c>
      <c r="C37" s="10" t="s">
        <v>126</v>
      </c>
      <c r="D37" s="7" t="s">
        <v>127</v>
      </c>
      <c r="E37" s="10" t="s">
        <v>128</v>
      </c>
      <c r="F37" s="7" t="s">
        <v>131</v>
      </c>
      <c r="G37" s="11" t="s">
        <v>132</v>
      </c>
      <c r="H37" s="12">
        <v>300</v>
      </c>
      <c r="I37" s="13">
        <v>849</v>
      </c>
      <c r="J37" s="13">
        <f t="shared" si="1"/>
        <v>254700</v>
      </c>
      <c r="K37" s="14"/>
      <c r="L37" s="14"/>
      <c r="M37" s="14"/>
      <c r="N37" s="14"/>
      <c r="O37" s="14"/>
      <c r="P37" s="14"/>
    </row>
    <row r="38" ht="14.25">
      <c r="A38" s="7" t="s">
        <v>10</v>
      </c>
      <c r="B38" s="8">
        <v>46029.708182870374</v>
      </c>
      <c r="C38" s="10" t="s">
        <v>126</v>
      </c>
      <c r="D38" s="7" t="s">
        <v>127</v>
      </c>
      <c r="E38" s="10" t="s">
        <v>128</v>
      </c>
      <c r="F38" s="7" t="s">
        <v>133</v>
      </c>
      <c r="G38" s="11" t="s">
        <v>134</v>
      </c>
      <c r="H38" s="12">
        <v>10</v>
      </c>
      <c r="I38" s="13">
        <v>16500</v>
      </c>
      <c r="J38" s="13">
        <f t="shared" si="1"/>
        <v>165000</v>
      </c>
      <c r="K38" s="14"/>
      <c r="L38" s="14"/>
      <c r="M38" s="14"/>
      <c r="N38" s="14"/>
      <c r="O38" s="14"/>
      <c r="P38" s="14"/>
    </row>
    <row r="39" ht="14.25">
      <c r="A39" s="7" t="s">
        <v>10</v>
      </c>
      <c r="B39" s="8">
        <v>46029.708182870374</v>
      </c>
      <c r="C39" s="10" t="s">
        <v>126</v>
      </c>
      <c r="D39" s="7" t="s">
        <v>127</v>
      </c>
      <c r="E39" s="10" t="s">
        <v>128</v>
      </c>
      <c r="F39" s="7" t="s">
        <v>135</v>
      </c>
      <c r="G39" s="11" t="s">
        <v>136</v>
      </c>
      <c r="H39" s="12">
        <v>200</v>
      </c>
      <c r="I39" s="13">
        <v>10242</v>
      </c>
      <c r="J39" s="13">
        <f t="shared" si="1"/>
        <v>2048400</v>
      </c>
      <c r="K39" s="14"/>
      <c r="L39" s="14"/>
      <c r="M39" s="14"/>
      <c r="N39" s="14"/>
      <c r="O39" s="14"/>
      <c r="P39" s="14"/>
    </row>
    <row r="40" ht="14.25">
      <c r="A40" s="7" t="s">
        <v>10</v>
      </c>
      <c r="B40" s="8">
        <v>46029.708182870374</v>
      </c>
      <c r="C40" s="10" t="s">
        <v>126</v>
      </c>
      <c r="D40" s="7" t="s">
        <v>127</v>
      </c>
      <c r="E40" s="10" t="s">
        <v>128</v>
      </c>
      <c r="F40" s="7" t="s">
        <v>137</v>
      </c>
      <c r="G40" s="11" t="s">
        <v>138</v>
      </c>
      <c r="H40" s="12">
        <v>200</v>
      </c>
      <c r="I40" s="13">
        <v>4105</v>
      </c>
      <c r="J40" s="13">
        <f t="shared" si="1"/>
        <v>821000</v>
      </c>
      <c r="K40" s="14"/>
      <c r="L40" s="14"/>
      <c r="M40" s="14"/>
      <c r="N40" s="14"/>
      <c r="O40" s="14"/>
      <c r="P40" s="14"/>
    </row>
    <row r="41" ht="14.25">
      <c r="A41" s="7" t="s">
        <v>10</v>
      </c>
      <c r="B41" s="8">
        <v>46029.708182870374</v>
      </c>
      <c r="C41" s="10" t="s">
        <v>126</v>
      </c>
      <c r="D41" s="7" t="s">
        <v>127</v>
      </c>
      <c r="E41" s="10" t="s">
        <v>128</v>
      </c>
      <c r="F41" s="7" t="s">
        <v>139</v>
      </c>
      <c r="G41" s="11" t="s">
        <v>140</v>
      </c>
      <c r="H41" s="12">
        <v>200</v>
      </c>
      <c r="I41" s="13">
        <v>3857</v>
      </c>
      <c r="J41" s="13">
        <f t="shared" si="1"/>
        <v>771400</v>
      </c>
      <c r="K41" s="14"/>
      <c r="L41" s="14"/>
      <c r="M41" s="14"/>
      <c r="N41" s="14"/>
      <c r="O41" s="14"/>
      <c r="P41" s="14"/>
    </row>
    <row r="42" ht="14.25">
      <c r="A42" s="7" t="s">
        <v>10</v>
      </c>
      <c r="B42" s="8">
        <v>46030.399097222224</v>
      </c>
      <c r="C42" s="10" t="s">
        <v>141</v>
      </c>
      <c r="D42" s="7" t="s">
        <v>142</v>
      </c>
      <c r="E42" s="10" t="s">
        <v>143</v>
      </c>
      <c r="F42" s="7" t="s">
        <v>144</v>
      </c>
      <c r="G42" s="11" t="s">
        <v>145</v>
      </c>
      <c r="H42" s="12">
        <v>100</v>
      </c>
      <c r="I42" s="13">
        <v>25000.000000000004</v>
      </c>
      <c r="J42" s="13">
        <f t="shared" si="1"/>
        <v>2500000.0000000005</v>
      </c>
      <c r="K42" s="14"/>
      <c r="L42" s="14"/>
      <c r="M42" s="14"/>
      <c r="N42" s="14"/>
      <c r="O42" s="14"/>
      <c r="P42" s="14"/>
    </row>
    <row r="43" ht="14.25">
      <c r="A43" s="7" t="s">
        <v>10</v>
      </c>
      <c r="B43" s="8">
        <v>46030.473055555558</v>
      </c>
      <c r="C43" s="10" t="s">
        <v>146</v>
      </c>
      <c r="D43" s="7" t="s">
        <v>147</v>
      </c>
      <c r="E43" s="10" t="s">
        <v>148</v>
      </c>
      <c r="F43" s="7" t="s">
        <v>149</v>
      </c>
      <c r="G43" s="11" t="s">
        <v>150</v>
      </c>
      <c r="H43" s="12">
        <v>2000</v>
      </c>
      <c r="I43" s="13">
        <v>1100</v>
      </c>
      <c r="J43" s="13">
        <f t="shared" si="1"/>
        <v>2200000</v>
      </c>
      <c r="K43" s="14"/>
      <c r="L43" s="14"/>
      <c r="M43" s="14"/>
      <c r="N43" s="14"/>
      <c r="O43" s="14"/>
      <c r="P43" s="14"/>
    </row>
    <row r="44" ht="14.25">
      <c r="A44" s="7" t="s">
        <v>10</v>
      </c>
      <c r="B44" s="8">
        <v>46030.636076388888</v>
      </c>
      <c r="C44" s="10" t="s">
        <v>151</v>
      </c>
      <c r="D44" s="7" t="s">
        <v>37</v>
      </c>
      <c r="E44" s="10" t="s">
        <v>38</v>
      </c>
      <c r="F44" s="7" t="s">
        <v>152</v>
      </c>
      <c r="G44" s="11" t="s">
        <v>153</v>
      </c>
      <c r="H44" s="12">
        <v>1000</v>
      </c>
      <c r="I44" s="13">
        <v>11700</v>
      </c>
      <c r="J44" s="13">
        <f t="shared" si="1"/>
        <v>11700000</v>
      </c>
      <c r="K44" s="14"/>
      <c r="L44" s="14"/>
      <c r="M44" s="14"/>
      <c r="N44" s="14"/>
      <c r="O44" s="14"/>
      <c r="P44" s="14"/>
    </row>
    <row r="45" ht="14.25">
      <c r="A45" s="7" t="s">
        <v>10</v>
      </c>
      <c r="B45" s="8">
        <v>46030.639305555553</v>
      </c>
      <c r="C45" s="10" t="s">
        <v>154</v>
      </c>
      <c r="D45" s="7" t="s">
        <v>155</v>
      </c>
      <c r="E45" s="10" t="s">
        <v>156</v>
      </c>
      <c r="F45" s="7" t="s">
        <v>157</v>
      </c>
      <c r="G45" s="11" t="s">
        <v>158</v>
      </c>
      <c r="H45" s="12">
        <v>100</v>
      </c>
      <c r="I45" s="13">
        <v>2500</v>
      </c>
      <c r="J45" s="13">
        <f t="shared" si="1"/>
        <v>250000</v>
      </c>
      <c r="K45" s="14"/>
      <c r="L45" s="14"/>
      <c r="M45" s="14"/>
      <c r="N45" s="14"/>
      <c r="O45" s="14"/>
      <c r="P45" s="14"/>
    </row>
    <row r="46" ht="14.25">
      <c r="A46" s="7" t="s">
        <v>10</v>
      </c>
      <c r="B46" s="8">
        <v>46030.699606481481</v>
      </c>
      <c r="C46" s="10" t="s">
        <v>159</v>
      </c>
      <c r="D46" s="7" t="s">
        <v>59</v>
      </c>
      <c r="E46" s="10" t="s">
        <v>60</v>
      </c>
      <c r="F46" s="7" t="s">
        <v>160</v>
      </c>
      <c r="G46" s="11" t="s">
        <v>161</v>
      </c>
      <c r="H46" s="12">
        <v>200</v>
      </c>
      <c r="I46" s="13">
        <v>4161</v>
      </c>
      <c r="J46" s="13">
        <f t="shared" si="1"/>
        <v>832200</v>
      </c>
      <c r="K46" s="14"/>
      <c r="L46" s="14"/>
      <c r="M46" s="14"/>
      <c r="N46" s="14"/>
      <c r="O46" s="14"/>
      <c r="P46" s="14"/>
    </row>
    <row r="47" ht="14.25">
      <c r="A47" s="7" t="s">
        <v>10</v>
      </c>
      <c r="B47" s="8">
        <v>46030.699606481481</v>
      </c>
      <c r="C47" s="10" t="s">
        <v>159</v>
      </c>
      <c r="D47" s="7" t="s">
        <v>59</v>
      </c>
      <c r="E47" s="10" t="s">
        <v>60</v>
      </c>
      <c r="F47" s="7" t="s">
        <v>162</v>
      </c>
      <c r="G47" s="11" t="s">
        <v>163</v>
      </c>
      <c r="H47" s="12">
        <v>300</v>
      </c>
      <c r="I47" s="13">
        <v>3150</v>
      </c>
      <c r="J47" s="13">
        <f t="shared" si="1"/>
        <v>945000</v>
      </c>
      <c r="K47" s="14"/>
      <c r="L47" s="14"/>
      <c r="M47" s="14"/>
      <c r="N47" s="14"/>
      <c r="O47" s="14"/>
      <c r="P47" s="14"/>
    </row>
    <row r="48" ht="14.25">
      <c r="A48" s="7" t="s">
        <v>10</v>
      </c>
      <c r="B48" s="8">
        <v>46030.699606481481</v>
      </c>
      <c r="C48" s="10" t="s">
        <v>159</v>
      </c>
      <c r="D48" s="7" t="s">
        <v>59</v>
      </c>
      <c r="E48" s="10" t="s">
        <v>60</v>
      </c>
      <c r="F48" s="7" t="s">
        <v>164</v>
      </c>
      <c r="G48" s="11" t="s">
        <v>165</v>
      </c>
      <c r="H48" s="12">
        <v>300</v>
      </c>
      <c r="I48" s="13">
        <v>13300</v>
      </c>
      <c r="J48" s="13">
        <f t="shared" si="1"/>
        <v>3990000</v>
      </c>
      <c r="K48" s="14"/>
      <c r="L48" s="14"/>
      <c r="M48" s="14"/>
      <c r="N48" s="14"/>
      <c r="O48" s="14"/>
      <c r="P48" s="14"/>
    </row>
    <row r="49" ht="14.25">
      <c r="A49" s="7" t="s">
        <v>10</v>
      </c>
      <c r="B49" s="8">
        <v>46031.387037037035</v>
      </c>
      <c r="C49" s="10" t="s">
        <v>166</v>
      </c>
      <c r="D49" s="7" t="s">
        <v>59</v>
      </c>
      <c r="E49" s="10" t="s">
        <v>60</v>
      </c>
      <c r="F49" s="7" t="s">
        <v>167</v>
      </c>
      <c r="G49" s="11" t="s">
        <v>168</v>
      </c>
      <c r="H49" s="12">
        <v>100</v>
      </c>
      <c r="I49" s="13">
        <v>1920</v>
      </c>
      <c r="J49" s="13">
        <f t="shared" si="1"/>
        <v>192000</v>
      </c>
      <c r="K49" s="14"/>
      <c r="L49" s="14"/>
      <c r="M49" s="14"/>
      <c r="N49" s="14"/>
      <c r="O49" s="14"/>
      <c r="P49" s="14"/>
    </row>
    <row r="50" ht="14.25">
      <c r="A50" s="7" t="s">
        <v>10</v>
      </c>
      <c r="B50" s="8">
        <v>46031.635034722225</v>
      </c>
      <c r="C50" s="10" t="s">
        <v>169</v>
      </c>
      <c r="D50" s="7" t="s">
        <v>170</v>
      </c>
      <c r="E50" s="10" t="s">
        <v>171</v>
      </c>
      <c r="F50" s="7" t="s">
        <v>172</v>
      </c>
      <c r="G50" s="11" t="s">
        <v>173</v>
      </c>
      <c r="H50" s="12">
        <v>600</v>
      </c>
      <c r="I50" s="13">
        <v>7980</v>
      </c>
      <c r="J50" s="13">
        <f t="shared" si="1"/>
        <v>4788000</v>
      </c>
      <c r="K50" s="14"/>
      <c r="L50" s="14"/>
      <c r="M50" s="14"/>
      <c r="N50" s="14"/>
      <c r="O50" s="14"/>
      <c r="P50" s="14"/>
    </row>
    <row r="51" ht="14.25">
      <c r="A51" s="7" t="s">
        <v>10</v>
      </c>
      <c r="B51" s="8">
        <v>46031.635034722225</v>
      </c>
      <c r="C51" s="10" t="s">
        <v>169</v>
      </c>
      <c r="D51" s="7" t="s">
        <v>170</v>
      </c>
      <c r="E51" s="10" t="s">
        <v>171</v>
      </c>
      <c r="F51" s="7" t="s">
        <v>174</v>
      </c>
      <c r="G51" s="11" t="s">
        <v>175</v>
      </c>
      <c r="H51" s="12">
        <v>40</v>
      </c>
      <c r="I51" s="13">
        <v>22700</v>
      </c>
      <c r="J51" s="13">
        <f t="shared" si="1"/>
        <v>908000</v>
      </c>
      <c r="K51" s="14"/>
      <c r="L51" s="14"/>
      <c r="M51" s="14"/>
      <c r="N51" s="14"/>
      <c r="O51" s="14"/>
      <c r="P51" s="14"/>
    </row>
    <row r="52" ht="14.25">
      <c r="A52" s="7" t="s">
        <v>10</v>
      </c>
      <c r="B52" s="8">
        <v>46031.637187499997</v>
      </c>
      <c r="C52" s="10" t="s">
        <v>176</v>
      </c>
      <c r="D52" s="7" t="s">
        <v>142</v>
      </c>
      <c r="E52" s="10" t="s">
        <v>143</v>
      </c>
      <c r="F52" s="7" t="s">
        <v>177</v>
      </c>
      <c r="G52" s="11" t="s">
        <v>178</v>
      </c>
      <c r="H52" s="12">
        <v>200</v>
      </c>
      <c r="I52" s="13">
        <v>50000.000000000007</v>
      </c>
      <c r="J52" s="13">
        <f t="shared" si="1"/>
        <v>10000000.000000002</v>
      </c>
      <c r="K52" s="14"/>
      <c r="L52" s="14"/>
      <c r="M52" s="14"/>
      <c r="N52" s="14"/>
      <c r="O52" s="14"/>
      <c r="P52" s="14"/>
    </row>
    <row r="53" ht="14.25">
      <c r="A53" s="7" t="s">
        <v>10</v>
      </c>
      <c r="B53" s="8">
        <v>46031.659826388888</v>
      </c>
      <c r="C53" s="10" t="s">
        <v>179</v>
      </c>
      <c r="D53" s="7" t="s">
        <v>180</v>
      </c>
      <c r="E53" s="10" t="s">
        <v>181</v>
      </c>
      <c r="F53" s="7" t="s">
        <v>182</v>
      </c>
      <c r="G53" s="11" t="s">
        <v>183</v>
      </c>
      <c r="H53" s="12">
        <v>10000</v>
      </c>
      <c r="I53" s="13">
        <v>1050</v>
      </c>
      <c r="J53" s="13">
        <f t="shared" si="1"/>
        <v>10500000</v>
      </c>
      <c r="K53" s="14"/>
      <c r="L53" s="14"/>
      <c r="M53" s="14"/>
      <c r="N53" s="14"/>
      <c r="O53" s="14"/>
      <c r="P53" s="14"/>
    </row>
    <row r="54" ht="14.25">
      <c r="A54" s="7" t="s">
        <v>10</v>
      </c>
      <c r="B54" s="8">
        <v>46031.472662037035</v>
      </c>
      <c r="C54" s="10" t="s">
        <v>169</v>
      </c>
      <c r="D54" s="7" t="s">
        <v>170</v>
      </c>
      <c r="E54" s="10" t="s">
        <v>171</v>
      </c>
      <c r="F54" s="7" t="s">
        <v>172</v>
      </c>
      <c r="G54" s="11" t="s">
        <v>173</v>
      </c>
      <c r="H54" s="12">
        <v>600</v>
      </c>
      <c r="I54" s="13">
        <v>7980</v>
      </c>
      <c r="J54" s="13">
        <f t="shared" si="1"/>
        <v>4788000</v>
      </c>
      <c r="K54" s="14"/>
      <c r="L54" s="14"/>
      <c r="M54" s="14"/>
      <c r="N54" s="14"/>
      <c r="O54" s="14"/>
      <c r="P54" s="14"/>
    </row>
    <row r="55" ht="14.25">
      <c r="A55" s="7" t="s">
        <v>10</v>
      </c>
      <c r="B55" s="8">
        <v>46031.472662037035</v>
      </c>
      <c r="C55" s="10" t="s">
        <v>169</v>
      </c>
      <c r="D55" s="7" t="s">
        <v>170</v>
      </c>
      <c r="E55" s="10" t="s">
        <v>171</v>
      </c>
      <c r="F55" s="7" t="s">
        <v>174</v>
      </c>
      <c r="G55" s="11" t="s">
        <v>175</v>
      </c>
      <c r="H55" s="12">
        <v>40</v>
      </c>
      <c r="I55" s="13">
        <v>22700</v>
      </c>
      <c r="J55" s="13">
        <f t="shared" si="1"/>
        <v>908000</v>
      </c>
      <c r="K55" s="14"/>
      <c r="L55" s="14"/>
      <c r="M55" s="14"/>
      <c r="N55" s="14"/>
      <c r="O55" s="14"/>
      <c r="P55" s="14"/>
    </row>
    <row r="56" ht="14.25">
      <c r="A56" s="7" t="s">
        <v>10</v>
      </c>
      <c r="B56" s="8">
        <v>46031.472662037035</v>
      </c>
      <c r="C56" s="10" t="s">
        <v>176</v>
      </c>
      <c r="D56" s="7" t="s">
        <v>142</v>
      </c>
      <c r="E56" s="10" t="s">
        <v>143</v>
      </c>
      <c r="F56" s="7" t="s">
        <v>177</v>
      </c>
      <c r="G56" s="11" t="s">
        <v>178</v>
      </c>
      <c r="H56" s="12">
        <v>200</v>
      </c>
      <c r="I56" s="13">
        <v>50000.000000000007</v>
      </c>
      <c r="J56" s="13">
        <f t="shared" si="1"/>
        <v>10000000.000000002</v>
      </c>
      <c r="K56" s="14"/>
      <c r="L56" s="14"/>
      <c r="M56" s="14"/>
      <c r="N56" s="14"/>
      <c r="O56" s="14"/>
      <c r="P56" s="14"/>
    </row>
    <row r="57" ht="14.25">
      <c r="A57" s="7" t="s">
        <v>10</v>
      </c>
      <c r="B57" s="8">
        <v>46031.472662037035</v>
      </c>
      <c r="C57" s="10" t="s">
        <v>184</v>
      </c>
      <c r="D57" s="7" t="s">
        <v>64</v>
      </c>
      <c r="E57" s="10" t="s">
        <v>65</v>
      </c>
      <c r="F57" s="7" t="s">
        <v>185</v>
      </c>
      <c r="G57" s="11" t="s">
        <v>186</v>
      </c>
      <c r="H57" s="12">
        <v>50</v>
      </c>
      <c r="I57" s="13">
        <v>15760.000000000002</v>
      </c>
      <c r="J57" s="13">
        <f t="shared" si="1"/>
        <v>788000.00000000012</v>
      </c>
      <c r="K57" s="14"/>
      <c r="L57" s="14"/>
      <c r="M57" s="14"/>
      <c r="N57" s="14"/>
      <c r="O57" s="14"/>
      <c r="P57" s="14"/>
    </row>
    <row r="58" ht="14.25">
      <c r="A58" s="7" t="s">
        <v>10</v>
      </c>
      <c r="B58" s="8">
        <v>46031.472662037035</v>
      </c>
      <c r="C58" s="10" t="s">
        <v>184</v>
      </c>
      <c r="D58" s="7" t="s">
        <v>64</v>
      </c>
      <c r="E58" s="10" t="s">
        <v>65</v>
      </c>
      <c r="F58" s="7" t="s">
        <v>187</v>
      </c>
      <c r="G58" s="11" t="s">
        <v>188</v>
      </c>
      <c r="H58" s="12">
        <v>50</v>
      </c>
      <c r="I58" s="13">
        <v>22200</v>
      </c>
      <c r="J58" s="13">
        <f t="shared" si="1"/>
        <v>1110000</v>
      </c>
      <c r="K58" s="14"/>
      <c r="L58" s="14"/>
      <c r="M58" s="14"/>
      <c r="N58" s="14"/>
      <c r="O58" s="14"/>
      <c r="P58" s="14"/>
    </row>
    <row r="59" ht="14.25">
      <c r="A59" s="7" t="s">
        <v>10</v>
      </c>
      <c r="B59" s="8">
        <v>46031.472662037035</v>
      </c>
      <c r="C59" s="10" t="s">
        <v>189</v>
      </c>
      <c r="D59" s="7" t="s">
        <v>64</v>
      </c>
      <c r="E59" s="10" t="s">
        <v>65</v>
      </c>
      <c r="F59" s="7" t="s">
        <v>190</v>
      </c>
      <c r="G59" s="11" t="s">
        <v>191</v>
      </c>
      <c r="H59" s="12">
        <v>50</v>
      </c>
      <c r="I59" s="13">
        <v>23000</v>
      </c>
      <c r="J59" s="13">
        <f t="shared" si="1"/>
        <v>1150000</v>
      </c>
      <c r="K59" s="14"/>
      <c r="L59" s="14"/>
      <c r="M59" s="14"/>
      <c r="N59" s="14"/>
      <c r="O59" s="14"/>
      <c r="P59" s="14"/>
    </row>
    <row r="60" ht="14.25">
      <c r="A60" s="7" t="s">
        <v>10</v>
      </c>
      <c r="B60" s="8">
        <v>46031.472662037035</v>
      </c>
      <c r="C60" s="10" t="s">
        <v>189</v>
      </c>
      <c r="D60" s="7" t="s">
        <v>64</v>
      </c>
      <c r="E60" s="10" t="s">
        <v>65</v>
      </c>
      <c r="F60" s="7" t="s">
        <v>192</v>
      </c>
      <c r="G60" s="11" t="s">
        <v>193</v>
      </c>
      <c r="H60" s="12">
        <v>100</v>
      </c>
      <c r="I60" s="13">
        <v>23600</v>
      </c>
      <c r="J60" s="13">
        <f t="shared" si="1"/>
        <v>2360000</v>
      </c>
      <c r="K60" s="14"/>
      <c r="L60" s="14"/>
      <c r="M60" s="14"/>
      <c r="N60" s="14"/>
      <c r="O60" s="14"/>
      <c r="P60" s="14"/>
    </row>
    <row r="61" ht="14.25">
      <c r="A61" s="7" t="s">
        <v>10</v>
      </c>
      <c r="B61" s="8">
        <v>46031.472662037035</v>
      </c>
      <c r="C61" s="10" t="s">
        <v>189</v>
      </c>
      <c r="D61" s="7" t="s">
        <v>64</v>
      </c>
      <c r="E61" s="10" t="s">
        <v>65</v>
      </c>
      <c r="F61" s="7" t="s">
        <v>194</v>
      </c>
      <c r="G61" s="11" t="s">
        <v>195</v>
      </c>
      <c r="H61" s="12">
        <v>100</v>
      </c>
      <c r="I61" s="13">
        <v>14190</v>
      </c>
      <c r="J61" s="13">
        <f t="shared" si="1"/>
        <v>1419000</v>
      </c>
      <c r="K61" s="14"/>
      <c r="L61" s="14"/>
      <c r="M61" s="14"/>
      <c r="N61" s="14"/>
      <c r="O61" s="14"/>
      <c r="P61" s="14"/>
    </row>
    <row r="62" ht="14.25">
      <c r="A62" s="7" t="s">
        <v>10</v>
      </c>
      <c r="B62" s="8">
        <v>46031.472662037035</v>
      </c>
      <c r="C62" s="10" t="s">
        <v>189</v>
      </c>
      <c r="D62" s="7" t="s">
        <v>64</v>
      </c>
      <c r="E62" s="10" t="s">
        <v>65</v>
      </c>
      <c r="F62" s="7" t="s">
        <v>196</v>
      </c>
      <c r="G62" s="11" t="s">
        <v>197</v>
      </c>
      <c r="H62" s="12">
        <v>75</v>
      </c>
      <c r="I62" s="13">
        <v>30250</v>
      </c>
      <c r="J62" s="13">
        <f t="shared" si="1"/>
        <v>2268750</v>
      </c>
      <c r="K62" s="14"/>
      <c r="L62" s="14"/>
      <c r="M62" s="14"/>
      <c r="N62" s="14"/>
      <c r="O62" s="14"/>
      <c r="P62" s="14"/>
    </row>
    <row r="63" ht="14.25">
      <c r="A63" s="7" t="s">
        <v>10</v>
      </c>
      <c r="B63" s="8">
        <v>46034.466666666667</v>
      </c>
      <c r="C63" s="10" t="s">
        <v>198</v>
      </c>
      <c r="D63" s="7" t="s">
        <v>199</v>
      </c>
      <c r="E63" s="10" t="s">
        <v>200</v>
      </c>
      <c r="F63" s="7" t="s">
        <v>201</v>
      </c>
      <c r="G63" s="11" t="s">
        <v>202</v>
      </c>
      <c r="H63" s="12">
        <v>525</v>
      </c>
      <c r="I63" s="13">
        <v>19500</v>
      </c>
      <c r="J63" s="13">
        <f t="shared" si="1"/>
        <v>10237500</v>
      </c>
      <c r="K63" s="14"/>
      <c r="L63" s="14"/>
      <c r="M63" s="14"/>
      <c r="N63" s="14"/>
      <c r="O63" s="14"/>
      <c r="P63" s="14"/>
    </row>
    <row r="64" ht="14.25">
      <c r="A64" s="7" t="s">
        <v>10</v>
      </c>
      <c r="B64" s="8">
        <v>46034.466666666667</v>
      </c>
      <c r="C64" s="10" t="s">
        <v>203</v>
      </c>
      <c r="D64" s="7" t="s">
        <v>204</v>
      </c>
      <c r="E64" s="10" t="s">
        <v>205</v>
      </c>
      <c r="F64" s="7" t="s">
        <v>206</v>
      </c>
      <c r="G64" s="11" t="s">
        <v>207</v>
      </c>
      <c r="H64" s="12">
        <v>200</v>
      </c>
      <c r="I64" s="13">
        <v>1654</v>
      </c>
      <c r="J64" s="13">
        <f t="shared" si="1"/>
        <v>330800</v>
      </c>
      <c r="K64" s="14"/>
      <c r="L64" s="14"/>
      <c r="M64" s="14"/>
      <c r="N64" s="14"/>
      <c r="O64" s="14"/>
      <c r="P64" s="14"/>
    </row>
    <row r="65" ht="14.25">
      <c r="A65" s="7" t="s">
        <v>10</v>
      </c>
      <c r="B65" s="8">
        <v>46034.466666666667</v>
      </c>
      <c r="C65" s="10" t="s">
        <v>203</v>
      </c>
      <c r="D65" s="7" t="s">
        <v>204</v>
      </c>
      <c r="E65" s="10" t="s">
        <v>205</v>
      </c>
      <c r="F65" s="7" t="s">
        <v>208</v>
      </c>
      <c r="G65" s="11" t="s">
        <v>209</v>
      </c>
      <c r="H65" s="12">
        <v>200</v>
      </c>
      <c r="I65" s="13">
        <v>2750</v>
      </c>
      <c r="J65" s="13">
        <f t="shared" si="1"/>
        <v>550000</v>
      </c>
      <c r="K65" s="14"/>
      <c r="L65" s="14"/>
      <c r="M65" s="14"/>
      <c r="N65" s="14"/>
      <c r="O65" s="14"/>
      <c r="P65" s="14"/>
    </row>
    <row r="66" ht="14.25">
      <c r="A66" s="7" t="s">
        <v>10</v>
      </c>
      <c r="B66" s="8">
        <v>46034.466666666667</v>
      </c>
      <c r="C66" s="10" t="s">
        <v>203</v>
      </c>
      <c r="D66" s="7" t="s">
        <v>204</v>
      </c>
      <c r="E66" s="10" t="s">
        <v>205</v>
      </c>
      <c r="F66" s="7" t="s">
        <v>210</v>
      </c>
      <c r="G66" s="11" t="s">
        <v>211</v>
      </c>
      <c r="H66" s="12">
        <v>200</v>
      </c>
      <c r="I66" s="13">
        <v>3400</v>
      </c>
      <c r="J66" s="13">
        <f t="shared" si="1"/>
        <v>680000</v>
      </c>
      <c r="K66" s="14"/>
      <c r="L66" s="14"/>
      <c r="M66" s="14"/>
      <c r="N66" s="14"/>
      <c r="O66" s="14"/>
      <c r="P66" s="14"/>
    </row>
    <row r="67" ht="14.25">
      <c r="A67" s="7" t="s">
        <v>10</v>
      </c>
      <c r="B67" s="8">
        <v>46034.466666666667</v>
      </c>
      <c r="C67" s="10" t="s">
        <v>212</v>
      </c>
      <c r="D67" s="7" t="s">
        <v>199</v>
      </c>
      <c r="E67" s="10" t="s">
        <v>200</v>
      </c>
      <c r="F67" s="7" t="s">
        <v>213</v>
      </c>
      <c r="G67" s="11" t="s">
        <v>214</v>
      </c>
      <c r="H67" s="12">
        <v>2000</v>
      </c>
      <c r="I67" s="13">
        <v>999.99999999999989</v>
      </c>
      <c r="J67" s="13">
        <f t="shared" si="1"/>
        <v>1999999.9999999998</v>
      </c>
      <c r="K67" s="14"/>
      <c r="L67" s="14"/>
      <c r="M67" s="14"/>
      <c r="N67" s="14"/>
      <c r="O67" s="14"/>
      <c r="P67" s="14"/>
    </row>
    <row r="68" ht="14.25">
      <c r="A68" s="7" t="s">
        <v>10</v>
      </c>
      <c r="B68" s="8">
        <v>46034.466666666667</v>
      </c>
      <c r="C68" s="10" t="s">
        <v>212</v>
      </c>
      <c r="D68" s="7" t="s">
        <v>199</v>
      </c>
      <c r="E68" s="10" t="s">
        <v>200</v>
      </c>
      <c r="F68" s="7" t="s">
        <v>215</v>
      </c>
      <c r="G68" s="11" t="s">
        <v>216</v>
      </c>
      <c r="H68" s="12">
        <v>1000</v>
      </c>
      <c r="I68" s="13">
        <v>1150</v>
      </c>
      <c r="J68" s="13">
        <f t="shared" si="1"/>
        <v>1150000</v>
      </c>
      <c r="K68" s="14"/>
      <c r="L68" s="14"/>
      <c r="M68" s="14"/>
      <c r="N68" s="14"/>
      <c r="O68" s="14"/>
      <c r="P68" s="14"/>
    </row>
    <row r="69" ht="14.25">
      <c r="A69" s="7" t="s">
        <v>10</v>
      </c>
      <c r="B69" s="8">
        <v>46034.466666666667</v>
      </c>
      <c r="C69" s="10" t="s">
        <v>212</v>
      </c>
      <c r="D69" s="7" t="s">
        <v>199</v>
      </c>
      <c r="E69" s="10" t="s">
        <v>200</v>
      </c>
      <c r="F69" s="7" t="s">
        <v>217</v>
      </c>
      <c r="G69" s="11" t="s">
        <v>218</v>
      </c>
      <c r="H69" s="12">
        <v>2000</v>
      </c>
      <c r="I69" s="13">
        <v>1260</v>
      </c>
      <c r="J69" s="13">
        <f t="shared" si="1"/>
        <v>2520000</v>
      </c>
      <c r="K69" s="14"/>
      <c r="L69" s="14"/>
      <c r="M69" s="14"/>
      <c r="N69" s="14"/>
      <c r="O69" s="14"/>
      <c r="P69" s="14"/>
    </row>
    <row r="70" ht="14.25">
      <c r="A70" s="7" t="s">
        <v>10</v>
      </c>
      <c r="B70" s="8">
        <v>46034.466666666667</v>
      </c>
      <c r="C70" s="10" t="s">
        <v>212</v>
      </c>
      <c r="D70" s="7" t="s">
        <v>199</v>
      </c>
      <c r="E70" s="10" t="s">
        <v>200</v>
      </c>
      <c r="F70" s="7" t="s">
        <v>219</v>
      </c>
      <c r="G70" s="11" t="s">
        <v>220</v>
      </c>
      <c r="H70" s="12">
        <v>2000</v>
      </c>
      <c r="I70" s="13">
        <v>1350</v>
      </c>
      <c r="J70" s="13">
        <f t="shared" si="1"/>
        <v>2700000</v>
      </c>
      <c r="K70" s="14"/>
      <c r="L70" s="14"/>
      <c r="M70" s="14"/>
      <c r="N70" s="14"/>
      <c r="O70" s="14"/>
      <c r="P70" s="14"/>
    </row>
    <row r="71" ht="14.25">
      <c r="A71" s="7" t="s">
        <v>10</v>
      </c>
      <c r="B71" s="8">
        <v>46034.466666666667</v>
      </c>
      <c r="C71" s="10" t="s">
        <v>221</v>
      </c>
      <c r="D71" s="7" t="s">
        <v>222</v>
      </c>
      <c r="E71" s="10" t="s">
        <v>223</v>
      </c>
      <c r="F71" s="7" t="s">
        <v>224</v>
      </c>
      <c r="G71" s="11" t="s">
        <v>225</v>
      </c>
      <c r="H71" s="12">
        <v>100</v>
      </c>
      <c r="I71" s="13">
        <v>12650</v>
      </c>
      <c r="J71" s="13">
        <f t="shared" si="1"/>
        <v>1265000</v>
      </c>
      <c r="K71" s="14"/>
      <c r="L71" s="14"/>
      <c r="M71" s="14"/>
      <c r="N71" s="14"/>
      <c r="O71" s="14"/>
      <c r="P71" s="14"/>
    </row>
    <row r="72" ht="14.25">
      <c r="A72" s="7" t="s">
        <v>10</v>
      </c>
      <c r="B72" s="8">
        <v>46034.466666666667</v>
      </c>
      <c r="C72" s="10" t="s">
        <v>221</v>
      </c>
      <c r="D72" s="7" t="s">
        <v>222</v>
      </c>
      <c r="E72" s="10" t="s">
        <v>223</v>
      </c>
      <c r="F72" s="7" t="s">
        <v>226</v>
      </c>
      <c r="G72" s="11" t="s">
        <v>227</v>
      </c>
      <c r="H72" s="12">
        <v>100</v>
      </c>
      <c r="I72" s="13">
        <v>51457.999999999993</v>
      </c>
      <c r="J72" s="13">
        <f t="shared" si="1"/>
        <v>5145799.9999999991</v>
      </c>
      <c r="K72" s="14"/>
      <c r="L72" s="14"/>
      <c r="M72" s="14"/>
      <c r="N72" s="14"/>
      <c r="O72" s="14"/>
      <c r="P72" s="14"/>
    </row>
    <row r="73" ht="14.25">
      <c r="A73" s="14"/>
      <c r="B73" s="16"/>
      <c r="C73" s="17"/>
      <c r="D73" s="14"/>
      <c r="E73" s="17"/>
      <c r="F73" s="14"/>
      <c r="G73" s="18"/>
      <c r="H73" s="19"/>
      <c r="I73" s="20"/>
      <c r="J73" s="20"/>
      <c r="K73" s="14"/>
      <c r="L73" s="14"/>
      <c r="M73" s="14"/>
      <c r="N73" s="14"/>
      <c r="O73" s="14"/>
      <c r="P73" s="14"/>
    </row>
    <row r="74" ht="14.25">
      <c r="A74" s="14"/>
      <c r="B74" s="16"/>
      <c r="C74" s="17"/>
      <c r="D74" s="14"/>
      <c r="E74" s="17"/>
      <c r="F74" s="14"/>
      <c r="G74" s="18"/>
      <c r="H74" s="19"/>
      <c r="I74" s="20"/>
      <c r="J74" s="20"/>
      <c r="K74" s="14"/>
      <c r="L74" s="14"/>
      <c r="M74" s="14"/>
      <c r="N74" s="14"/>
      <c r="O74" s="14"/>
      <c r="P74" s="14"/>
    </row>
    <row r="75" ht="14.25">
      <c r="A75" s="14"/>
      <c r="B75" s="16"/>
      <c r="C75" s="17"/>
      <c r="D75" s="14"/>
      <c r="E75" s="17"/>
      <c r="F75" s="14"/>
      <c r="G75" s="18"/>
      <c r="H75" s="19"/>
      <c r="I75" s="20"/>
      <c r="J75" s="20"/>
      <c r="K75" s="14"/>
      <c r="L75" s="14"/>
      <c r="M75" s="14"/>
      <c r="N75" s="14"/>
      <c r="O75" s="14"/>
      <c r="P75" s="14"/>
    </row>
    <row r="76" ht="14.25">
      <c r="A76" s="14"/>
      <c r="B76" s="16"/>
      <c r="C76" s="17"/>
      <c r="D76" s="14"/>
      <c r="E76" s="17"/>
      <c r="F76" s="14"/>
      <c r="G76" s="18"/>
      <c r="H76" s="19"/>
      <c r="I76" s="20"/>
      <c r="J76" s="20"/>
      <c r="K76" s="14"/>
      <c r="L76" s="14"/>
      <c r="M76" s="14"/>
      <c r="N76" s="14"/>
      <c r="O76" s="14"/>
      <c r="P76" s="14"/>
    </row>
    <row r="77" ht="14.25">
      <c r="A77" s="14"/>
      <c r="B77" s="16"/>
      <c r="C77" s="17"/>
      <c r="D77" s="14"/>
      <c r="E77" s="17"/>
      <c r="F77" s="14"/>
      <c r="G77" s="18"/>
      <c r="H77" s="19"/>
      <c r="I77" s="20"/>
      <c r="J77" s="20"/>
      <c r="K77" s="14"/>
      <c r="L77" s="14"/>
      <c r="M77" s="14"/>
      <c r="N77" s="14"/>
      <c r="O77" s="14"/>
      <c r="P77" s="14"/>
    </row>
    <row r="78" ht="14.25">
      <c r="A78" s="14"/>
      <c r="B78" s="16"/>
      <c r="C78" s="17"/>
      <c r="D78" s="14"/>
      <c r="E78" s="17"/>
      <c r="F78" s="14"/>
      <c r="G78" s="18"/>
      <c r="H78" s="19"/>
      <c r="I78" s="20"/>
      <c r="J78" s="20"/>
      <c r="K78" s="14"/>
      <c r="L78" s="14"/>
      <c r="M78" s="14"/>
      <c r="N78" s="14"/>
      <c r="O78" s="14"/>
      <c r="P78" s="14"/>
    </row>
    <row r="79" ht="14.25">
      <c r="A79" s="14"/>
      <c r="B79" s="16"/>
      <c r="C79" s="17"/>
      <c r="D79" s="14"/>
      <c r="E79" s="17"/>
      <c r="F79" s="14"/>
      <c r="G79" s="18"/>
      <c r="H79" s="19"/>
      <c r="I79" s="20"/>
      <c r="J79" s="20"/>
      <c r="K79" s="14"/>
      <c r="L79" s="14"/>
      <c r="M79" s="14"/>
      <c r="N79" s="14"/>
      <c r="O79" s="14"/>
      <c r="P79" s="14"/>
    </row>
    <row r="80" ht="14.25">
      <c r="A80" s="14"/>
      <c r="B80" s="16"/>
      <c r="C80" s="17"/>
      <c r="D80" s="14"/>
      <c r="E80" s="17"/>
      <c r="F80" s="14"/>
      <c r="G80" s="18"/>
      <c r="H80" s="19"/>
      <c r="I80" s="20"/>
      <c r="J80" s="20"/>
      <c r="K80" s="14"/>
      <c r="L80" s="14"/>
      <c r="M80" s="14"/>
      <c r="N80" s="14"/>
      <c r="O80" s="14"/>
      <c r="P80" s="14"/>
    </row>
    <row r="81" ht="14.25">
      <c r="A81" s="14"/>
      <c r="B81" s="16"/>
      <c r="C81" s="17"/>
      <c r="D81" s="14"/>
      <c r="E81" s="17"/>
      <c r="F81" s="14"/>
      <c r="G81" s="18"/>
      <c r="H81" s="19"/>
      <c r="I81" s="20"/>
      <c r="J81" s="20"/>
      <c r="K81" s="14"/>
      <c r="L81" s="14"/>
      <c r="M81" s="14"/>
      <c r="N81" s="14"/>
      <c r="O81" s="14"/>
      <c r="P81" s="14"/>
    </row>
    <row r="82" ht="14.25">
      <c r="A82" s="14"/>
      <c r="B82" s="16"/>
      <c r="C82" s="17"/>
      <c r="D82" s="14"/>
      <c r="E82" s="17"/>
      <c r="F82" s="14"/>
      <c r="G82" s="18"/>
      <c r="H82" s="19"/>
      <c r="I82" s="20"/>
      <c r="J82" s="20"/>
      <c r="K82" s="14"/>
      <c r="L82" s="14"/>
      <c r="M82" s="14"/>
      <c r="N82" s="14"/>
      <c r="O82" s="14"/>
      <c r="P82" s="14"/>
    </row>
    <row r="83" ht="14.25">
      <c r="A83" s="14"/>
      <c r="B83" s="16"/>
      <c r="C83" s="17"/>
      <c r="D83" s="14"/>
      <c r="E83" s="17"/>
      <c r="F83" s="14"/>
      <c r="G83" s="18"/>
      <c r="H83" s="19"/>
      <c r="I83" s="20"/>
      <c r="J83" s="20"/>
      <c r="K83" s="14"/>
      <c r="L83" s="14"/>
      <c r="M83" s="14"/>
      <c r="N83" s="14"/>
      <c r="O83" s="14"/>
      <c r="P83" s="14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2026-01-13T16:44:27Z</dcterms:modified>
</cp:coreProperties>
</file>